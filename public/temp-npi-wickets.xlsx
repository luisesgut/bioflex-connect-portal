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onzalez\Documents\NPI\"/>
    </mc:Choice>
  </mc:AlternateContent>
  <xr:revisionPtr revIDLastSave="0" documentId="13_ncr:1_{9E7AFAE9-544C-4D0A-9BB6-CFC174B75C91}" xr6:coauthVersionLast="47" xr6:coauthVersionMax="47" xr10:uidLastSave="{00000000-0000-0000-0000-000000000000}"/>
  <bookViews>
    <workbookView xWindow="-120" yWindow="-120" windowWidth="20730" windowHeight="11040" activeTab="2" xr2:uid="{13D6AB06-424B-1842-B638-7730952D6CB5}"/>
  </bookViews>
  <sheets>
    <sheet name="NPI" sheetId="1" r:id="rId1"/>
    <sheet name="FIGURA DE EMBOBINADO" sheetId="4" r:id="rId2"/>
    <sheet name="DA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20" i="1" l="1"/>
  <c r="C21" i="1" l="1"/>
  <c r="C22" i="1"/>
  <c r="C23" i="1" l="1"/>
</calcChain>
</file>

<file path=xl/sharedStrings.xml><?xml version="1.0" encoding="utf-8"?>
<sst xmlns="http://schemas.openxmlformats.org/spreadsheetml/2006/main" count="284" uniqueCount="222">
  <si>
    <t>CLIENTE:</t>
  </si>
  <si>
    <t>BIOFLEX</t>
  </si>
  <si>
    <t>DESCRIPCION:</t>
  </si>
  <si>
    <t>EJECUTIVO DE VENTA:</t>
  </si>
  <si>
    <t>X</t>
  </si>
  <si>
    <t>CLIENTE</t>
  </si>
  <si>
    <t>PELICULA DE IMPRESIÓN</t>
  </si>
  <si>
    <t>TIPO DE PELICULA:</t>
  </si>
  <si>
    <t>LDPE</t>
  </si>
  <si>
    <t>NATURAL</t>
  </si>
  <si>
    <t>AUTORIZACION DE PRODUCTO</t>
  </si>
  <si>
    <t>BOBINA</t>
  </si>
  <si>
    <t>CIRCULAR</t>
  </si>
  <si>
    <t>SOMBRERO</t>
  </si>
  <si>
    <t>BASE MUESTRA</t>
  </si>
  <si>
    <t>BOLSA</t>
  </si>
  <si>
    <t>VISITA CLIENTE</t>
  </si>
  <si>
    <t>ZIPPER</t>
  </si>
  <si>
    <t>TIPO DE EMPAQUE</t>
  </si>
  <si>
    <t>APLICA PIE DE CASA</t>
  </si>
  <si>
    <t>PRIMARIO</t>
  </si>
  <si>
    <t>SI</t>
  </si>
  <si>
    <t>SECUNDARIO</t>
  </si>
  <si>
    <t>FIGURA DE EMBOBINADO</t>
  </si>
  <si>
    <t>NO</t>
  </si>
  <si>
    <t>CONTACTO COMPRAS:</t>
  </si>
  <si>
    <t>TIPO DE PRODUCTO:</t>
  </si>
  <si>
    <t>FUELLES</t>
  </si>
  <si>
    <t>TIPO DE MATERIAL</t>
  </si>
  <si>
    <t>TIPO DE PRODUCTO</t>
  </si>
  <si>
    <t>IMPRESIÓN</t>
  </si>
  <si>
    <t>SOLICITANTE</t>
  </si>
  <si>
    <t>LATERALES</t>
  </si>
  <si>
    <t>N/A</t>
  </si>
  <si>
    <t>TRASLAPE</t>
  </si>
  <si>
    <t>INFERIOR</t>
  </si>
  <si>
    <t>BOPP OXO</t>
  </si>
  <si>
    <t>OTRO</t>
  </si>
  <si>
    <t>ALTA CLARIDAD</t>
  </si>
  <si>
    <t>BOPP CAVITADO</t>
  </si>
  <si>
    <t>CPP OXO</t>
  </si>
  <si>
    <t>WICKET</t>
  </si>
  <si>
    <t>POUCH</t>
  </si>
  <si>
    <t>ACABADO</t>
  </si>
  <si>
    <t>IMPRESO</t>
  </si>
  <si>
    <t>SIN IMPRESIÓN</t>
  </si>
  <si>
    <t>TIPO DE ENTRADA:</t>
  </si>
  <si>
    <t>ENTRADA</t>
  </si>
  <si>
    <t>PROTOTIPO/MUESTRA</t>
  </si>
  <si>
    <t>MODIFICACION</t>
  </si>
  <si>
    <t>FORMATOS</t>
  </si>
  <si>
    <t>FORMATO</t>
  </si>
  <si>
    <t xml:space="preserve">FORMATO:   </t>
  </si>
  <si>
    <t>PRODUCTO NUEVO</t>
  </si>
  <si>
    <t>INFORMACIÓN GENERAL</t>
  </si>
  <si>
    <t>INFORMACIÓN DEL PRODUCTO</t>
  </si>
  <si>
    <t>MERCADO</t>
  </si>
  <si>
    <t>ACABADO:</t>
  </si>
  <si>
    <t>CALIBRE (micras):</t>
  </si>
  <si>
    <t>TERMINADO</t>
  </si>
  <si>
    <t>METALIZADO</t>
  </si>
  <si>
    <t>BLANCO</t>
  </si>
  <si>
    <t>MATE</t>
  </si>
  <si>
    <t>TIPO EMPAQUE</t>
  </si>
  <si>
    <t>RIÑON</t>
  </si>
  <si>
    <t>DIMENSIONES (mm)</t>
  </si>
  <si>
    <t>SELLO</t>
  </si>
  <si>
    <t>ALETA</t>
  </si>
  <si>
    <t>SELLO "K"</t>
  </si>
  <si>
    <t>3 SELLOS</t>
  </si>
  <si>
    <t>SELLO "U"</t>
  </si>
  <si>
    <t>TIPO IMPRESIÓN</t>
  </si>
  <si>
    <t>TIPO TINTA</t>
  </si>
  <si>
    <t>TINTA</t>
  </si>
  <si>
    <t>OTRA</t>
  </si>
  <si>
    <t>INFORMACIÓN COMPLEMENTARIA</t>
  </si>
  <si>
    <t>PRUEBA DE COLOR</t>
  </si>
  <si>
    <t>SELEC</t>
  </si>
  <si>
    <t xml:space="preserve"> COMPLEMENTOS</t>
  </si>
  <si>
    <t xml:space="preserve">OTROS.  </t>
  </si>
  <si>
    <t xml:space="preserve">ESPECIFICAR  </t>
  </si>
  <si>
    <t>FRENANDO CAMARENA</t>
  </si>
  <si>
    <t>HECTOR PONS</t>
  </si>
  <si>
    <t>MANUEL DELGADILLO</t>
  </si>
  <si>
    <t>LILIANA GUTIERREZ</t>
  </si>
  <si>
    <t>MARIA MARQUEZ</t>
  </si>
  <si>
    <t xml:space="preserve">COSTO DE PREPRENSA    </t>
  </si>
  <si>
    <t>PREPRENSA</t>
  </si>
  <si>
    <t>FORMULA LDPE</t>
  </si>
  <si>
    <t>PIGMENTADO</t>
  </si>
  <si>
    <t>LDPE OXO</t>
  </si>
  <si>
    <t>BOPP</t>
  </si>
  <si>
    <t>CPP</t>
  </si>
  <si>
    <t>PET</t>
  </si>
  <si>
    <t>COEXLDPE</t>
  </si>
  <si>
    <t>FRENTE + BARNIZ</t>
  </si>
  <si>
    <t>CONGELADO</t>
  </si>
  <si>
    <t>EMPAQUE AUTOMÁTICO</t>
  </si>
  <si>
    <t>ALIMENTO LIQUIDO</t>
  </si>
  <si>
    <t>ALIMENTO SECO</t>
  </si>
  <si>
    <t>NO ALIMENTO LIQUIDO</t>
  </si>
  <si>
    <t>NO ALIMENTO SECO</t>
  </si>
  <si>
    <t>SUB MERCADO</t>
  </si>
  <si>
    <t>LATERAL</t>
  </si>
  <si>
    <t xml:space="preserve">ANCHO:  </t>
  </si>
  <si>
    <t xml:space="preserve">ELEMENTOS   </t>
  </si>
  <si>
    <t>CINTA</t>
  </si>
  <si>
    <t>COMPLEMENTOS</t>
  </si>
  <si>
    <t>SPOUT</t>
  </si>
  <si>
    <t>FONDO</t>
  </si>
  <si>
    <t>BASE PANTONE</t>
  </si>
  <si>
    <t>LUIS VEGA</t>
  </si>
  <si>
    <t>FECHA SOLICITUD:</t>
  </si>
  <si>
    <t>BOLSA EN ROLLO</t>
  </si>
  <si>
    <t>BOLSA DE CAMISETA</t>
  </si>
  <si>
    <t>BOLSA BOUTIQUE</t>
  </si>
  <si>
    <t>LAMINA</t>
  </si>
  <si>
    <t>POUCH 3 SELLOS</t>
  </si>
  <si>
    <t>POUCH 2 SELLOS</t>
  </si>
  <si>
    <t>STANDUP POUCH (SELLO K)</t>
  </si>
  <si>
    <t>DOYPACK (SELLO "U"/SONRISA)</t>
  </si>
  <si>
    <t>BOLSA SELLO LATERAL</t>
  </si>
  <si>
    <t>BOLSA SELLO DE FONDO</t>
  </si>
  <si>
    <t>BOBINA TUBULAR</t>
  </si>
  <si>
    <t>BOBINA PLANA</t>
  </si>
  <si>
    <t>CODIGO PROD CLIENTE:</t>
  </si>
  <si>
    <t>LDPE SUSTENTABLE</t>
  </si>
  <si>
    <t>COEXLDPE EVOH/PA</t>
  </si>
  <si>
    <t>BOPA(NY)</t>
  </si>
  <si>
    <t>INTERNA (REVERSO)</t>
  </si>
  <si>
    <t>EXTERNA (FRENTE)</t>
  </si>
  <si>
    <t>LAMINACION</t>
  </si>
  <si>
    <t>FRENTE TERMORESISTENTE</t>
  </si>
  <si>
    <t>DIMENSIONES PRODUCTO (mm)</t>
  </si>
  <si>
    <t>ALTO</t>
  </si>
  <si>
    <t>ALTO TOTAL</t>
  </si>
  <si>
    <t>ELEMENTOS</t>
  </si>
  <si>
    <t>CIERRE</t>
  </si>
  <si>
    <t>ULTRASONICO</t>
  </si>
  <si>
    <t>INFORMACIÓN DE EMPAQUE Y EMBALAJE</t>
  </si>
  <si>
    <t xml:space="preserve">DIM TARIMA:    </t>
  </si>
  <si>
    <t>ARCHIVOS EDITABLES:</t>
  </si>
  <si>
    <t>MUESTRAS FISICAS:</t>
  </si>
  <si>
    <t>ESPECIFICACIONES:</t>
  </si>
  <si>
    <t>FUELLE EXTENDIDO</t>
  </si>
  <si>
    <t>ESPACIO DESTINADO PARA COLOCAR LA IMAGEN DEL PRODUCTO EN CASO DE CONTAR CON ELLA</t>
  </si>
  <si>
    <t xml:space="preserve">CARACTERÍSTICA LDPE   </t>
  </si>
  <si>
    <t>MOISES JIMENEZ</t>
  </si>
  <si>
    <t>CATEGORÍA SAP</t>
  </si>
  <si>
    <t>CINTA ACRÍLICA</t>
  </si>
  <si>
    <t>VASO IMPRESO</t>
  </si>
  <si>
    <t>COMPUESTOS</t>
  </si>
  <si>
    <t>New Product Input (NPI)</t>
  </si>
  <si>
    <t>VTS-FOR-01</t>
  </si>
  <si>
    <t>Revisión 00</t>
  </si>
  <si>
    <t>BOPP NATURAL /  IMPRESO</t>
  </si>
  <si>
    <t>COMPLEMENTOS Y OTROS</t>
  </si>
  <si>
    <t>STRETCH</t>
  </si>
  <si>
    <t>LAMINADOS</t>
  </si>
  <si>
    <t>BOLSA STAND UP POUCH</t>
  </si>
  <si>
    <t>BOLSA STAND UP POUCH DIGITAL</t>
  </si>
  <si>
    <t>BOBINA ESTRUCTURAS</t>
  </si>
  <si>
    <t>BOBINA ESTRUCTURAS DIGITAL</t>
  </si>
  <si>
    <t>BOBINA PE / PE</t>
  </si>
  <si>
    <t>REYMA BOBINA Y BOLSA</t>
  </si>
  <si>
    <t>BOLSA ZIPPER</t>
  </si>
  <si>
    <t>BOLSA WICKET</t>
  </si>
  <si>
    <t>BARRERA / VACIO</t>
  </si>
  <si>
    <t>TERMOENCOGIBLE</t>
  </si>
  <si>
    <t>DAYANA PUGA</t>
  </si>
  <si>
    <t>GUILLERMO DIEZ</t>
  </si>
  <si>
    <t>JOAQUÍN COSÍO</t>
  </si>
  <si>
    <t>RODRIGO MARTÍNEZ</t>
  </si>
  <si>
    <t>ALEXIA CRUZ</t>
  </si>
  <si>
    <t>MARIA PÉREZ</t>
  </si>
  <si>
    <t>DANIEL NAVARRO</t>
  </si>
  <si>
    <t>MONICA MARMOLEJO</t>
  </si>
  <si>
    <t>HUGO AGUIAR</t>
  </si>
  <si>
    <t>Destiny Packaging</t>
  </si>
  <si>
    <t>40 x 48</t>
  </si>
  <si>
    <t>Elsie / Natali</t>
  </si>
  <si>
    <t>Moisés Jiménez Ramírez</t>
  </si>
  <si>
    <t>61370-17 TA Romaine Hearts 3 Count (Destiny)</t>
  </si>
  <si>
    <t>ZANAHORIA</t>
  </si>
  <si>
    <t>LECHUGA</t>
  </si>
  <si>
    <t>COLIFLOR</t>
  </si>
  <si>
    <t>PAPA</t>
  </si>
  <si>
    <t>APIO</t>
  </si>
  <si>
    <t>TIPO DE EMPACADO:</t>
  </si>
  <si>
    <t>TIPO DE EMPACADO</t>
  </si>
  <si>
    <t>AUTOMATICO</t>
  </si>
  <si>
    <t>MANUAL</t>
  </si>
  <si>
    <t>SOLAPA / PESTAÑA / LABIO</t>
  </si>
  <si>
    <t>PERFORACIONES</t>
  </si>
  <si>
    <t>6MM</t>
  </si>
  <si>
    <t>PRECORTE PUNTEADO EN PESTAÑA:</t>
  </si>
  <si>
    <t>PRECORTE DE WICKET</t>
  </si>
  <si>
    <t>6"</t>
  </si>
  <si>
    <t>REMOLACHA</t>
  </si>
  <si>
    <t>FONDO CUADRADO</t>
  </si>
  <si>
    <t>SEPARACIÓN DE WICKET</t>
  </si>
  <si>
    <t>BACKFLIP</t>
  </si>
  <si>
    <t>NUECES</t>
  </si>
  <si>
    <t>IMPRESIÓN:</t>
  </si>
  <si>
    <t>POR DENTRO</t>
  </si>
  <si>
    <t>POR FUERA</t>
  </si>
  <si>
    <t>PIEZAS X CAJA</t>
  </si>
  <si>
    <t>PIEZAS X WICKET</t>
  </si>
  <si>
    <t>CAJAS X PALLET</t>
  </si>
  <si>
    <t>ALTURA MÁXIMA DE TARIMA:</t>
  </si>
  <si>
    <t>1.4 mts</t>
  </si>
  <si>
    <t>OBSERVACIONES Y/O PUNTOS CRITICOS</t>
  </si>
  <si>
    <t>TIPO DE ALAMBRE</t>
  </si>
  <si>
    <t>TIPO DE WICKET</t>
  </si>
  <si>
    <t>TIPO DE ALAMBRE:</t>
  </si>
  <si>
    <t>REVERSO</t>
  </si>
  <si>
    <t>ESTÁNDAR</t>
  </si>
  <si>
    <t>GOTA</t>
  </si>
  <si>
    <t>PANADERÍA</t>
  </si>
  <si>
    <t>LISO</t>
  </si>
  <si>
    <t>MANZANA</t>
  </si>
  <si>
    <t>AYUDA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</si>
</sst>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"/>
      <family val="2"/>
    </font>
    <font>
      <sz val="12"/>
      <name val="Calibri"/>
      <family val="2"/>
    </font>
    <font>
      <b/>
      <i/>
      <sz val="9"/>
      <color theme="1"/>
      <name val="Calibri Light"/>
      <family val="2"/>
      <scheme val="major"/>
    </font>
    <font>
      <sz val="16"/>
      <color theme="0"/>
      <name val="Barlow SemiBold"/>
    </font>
    <font>
      <sz val="22"/>
      <color rgb="FF000000"/>
      <name val="Barlow ExtraBold"/>
    </font>
    <font>
      <b/>
      <sz val="11"/>
      <color theme="1"/>
      <name val="Barlow Medium"/>
    </font>
    <font>
      <b/>
      <sz val="12"/>
      <color theme="1"/>
      <name val="Barlow Medium"/>
    </font>
    <font>
      <b/>
      <sz val="10"/>
      <color theme="1"/>
      <name val="Barlow Medium"/>
    </font>
    <font>
      <b/>
      <sz val="16"/>
      <color theme="0"/>
      <name val="Calibri"/>
      <family val="2"/>
      <scheme val="minor"/>
    </font>
    <font>
      <sz val="11"/>
      <color theme="1"/>
      <name val="Barlow Light"/>
    </font>
    <font>
      <b/>
      <sz val="11"/>
      <name val="Barlow Light"/>
    </font>
    <font>
      <sz val="11"/>
      <name val="Barlow Light"/>
    </font>
    <font>
      <b/>
      <sz val="11"/>
      <color theme="1"/>
      <name val="Barlow Light"/>
    </font>
    <font>
      <sz val="11"/>
      <color theme="1"/>
      <name val="Barlow Medium"/>
    </font>
    <font>
      <i/>
      <sz val="11"/>
      <color theme="1"/>
      <name val="Barlow Medium"/>
    </font>
    <font>
      <sz val="18"/>
      <color rgb="FF222222"/>
      <name val="Barlow Medium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 Light"/>
      <family val="2"/>
      <scheme val="major"/>
    </font>
    <font>
      <b/>
      <sz val="11"/>
      <color theme="4" tint="-0.249977111117893"/>
      <name val="Calibri"/>
      <family val="2"/>
      <scheme val="minor"/>
    </font>
    <font>
      <b/>
      <sz val="16"/>
      <color rgb="FFFF000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63C3C"/>
        <bgColor indexed="64"/>
      </patternFill>
    </fill>
    <fill>
      <patternFill patternType="solid">
        <fgColor rgb="FF6BB7C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4" fillId="0" borderId="0"/>
    <xf numFmtId="0" fontId="27" fillId="8" borderId="29" applyNumberFormat="0" applyAlignment="0" applyProtection="0"/>
    <xf numFmtId="0" fontId="28" fillId="9" borderId="30" applyNumberFormat="0" applyAlignment="0" applyProtection="0"/>
  </cellStyleXfs>
  <cellXfs count="17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2" fillId="0" borderId="8" xfId="0" applyFont="1" applyBorder="1"/>
    <xf numFmtId="0" fontId="5" fillId="2" borderId="7" xfId="0" applyFont="1" applyFill="1" applyBorder="1" applyAlignment="1">
      <alignment horizontal="center" vertical="center"/>
    </xf>
    <xf numFmtId="0" fontId="8" fillId="2" borderId="0" xfId="0" applyFont="1" applyFill="1"/>
    <xf numFmtId="0" fontId="2" fillId="2" borderId="10" xfId="0" applyFont="1" applyFill="1" applyBorder="1"/>
    <xf numFmtId="0" fontId="2" fillId="2" borderId="12" xfId="0" applyFont="1" applyFill="1" applyBorder="1"/>
    <xf numFmtId="0" fontId="6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11" fillId="2" borderId="0" xfId="1" applyFont="1" applyFill="1" applyAlignment="1">
      <alignment horizontal="right" vertical="center" wrapText="1"/>
    </xf>
    <xf numFmtId="0" fontId="12" fillId="2" borderId="0" xfId="1" applyFont="1" applyFill="1" applyAlignment="1">
      <alignment vertical="center" wrapText="1"/>
    </xf>
    <xf numFmtId="0" fontId="12" fillId="2" borderId="0" xfId="1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2" borderId="0" xfId="1" applyFont="1" applyFill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6" xfId="0" applyFont="1" applyBorder="1"/>
    <xf numFmtId="0" fontId="2" fillId="2" borderId="18" xfId="0" applyFont="1" applyFill="1" applyBorder="1"/>
    <xf numFmtId="0" fontId="2" fillId="0" borderId="18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1" xfId="0" applyFont="1" applyBorder="1"/>
    <xf numFmtId="0" fontId="10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2" borderId="18" xfId="1" applyFont="1" applyFill="1" applyBorder="1" applyAlignment="1">
      <alignment vertical="center" wrapText="1"/>
    </xf>
    <xf numFmtId="0" fontId="11" fillId="2" borderId="18" xfId="1" applyFont="1" applyFill="1" applyBorder="1" applyAlignment="1">
      <alignment horizontal="right" vertical="center" wrapText="1"/>
    </xf>
    <xf numFmtId="0" fontId="12" fillId="2" borderId="18" xfId="1" applyFont="1" applyFill="1" applyBorder="1" applyAlignment="1">
      <alignment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16" fillId="2" borderId="4" xfId="0" applyFont="1" applyFill="1" applyBorder="1"/>
    <xf numFmtId="0" fontId="16" fillId="2" borderId="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12" xfId="0" applyFont="1" applyFill="1" applyBorder="1"/>
    <xf numFmtId="0" fontId="16" fillId="2" borderId="0" xfId="0" applyFont="1" applyFill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0" fillId="0" borderId="6" xfId="0" applyFont="1" applyBorder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20" fillId="0" borderId="0" xfId="0" applyFont="1"/>
    <xf numFmtId="0" fontId="16" fillId="5" borderId="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vertical="center"/>
    </xf>
    <xf numFmtId="0" fontId="18" fillId="5" borderId="22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4" fillId="3" borderId="0" xfId="0" applyFont="1" applyFill="1"/>
    <xf numFmtId="0" fontId="24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16" fillId="0" borderId="0" xfId="0" applyFont="1"/>
    <xf numFmtId="0" fontId="25" fillId="0" borderId="0" xfId="0" applyFont="1"/>
    <xf numFmtId="0" fontId="26" fillId="0" borderId="0" xfId="0" applyFont="1"/>
    <xf numFmtId="0" fontId="1" fillId="0" borderId="0" xfId="0" applyFont="1"/>
    <xf numFmtId="0" fontId="7" fillId="7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0" fontId="22" fillId="2" borderId="16" xfId="1" applyFont="1" applyFill="1" applyBorder="1" applyAlignment="1">
      <alignment horizontal="center" vertical="center" wrapText="1"/>
    </xf>
    <xf numFmtId="16" fontId="20" fillId="0" borderId="24" xfId="0" applyNumberFormat="1" applyFont="1" applyBorder="1" applyAlignment="1">
      <alignment horizontal="center"/>
    </xf>
    <xf numFmtId="0" fontId="20" fillId="0" borderId="19" xfId="0" applyFont="1" applyBorder="1"/>
    <xf numFmtId="0" fontId="15" fillId="2" borderId="16" xfId="1" applyFont="1" applyFill="1" applyBorder="1" applyAlignment="1">
      <alignment vertical="center" wrapText="1"/>
    </xf>
    <xf numFmtId="0" fontId="28" fillId="10" borderId="30" xfId="3" applyFill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9" fillId="2" borderId="16" xfId="0" applyFont="1" applyFill="1" applyBorder="1" applyAlignment="1">
      <alignment vertical="center" wrapText="1"/>
    </xf>
    <xf numFmtId="0" fontId="30" fillId="8" borderId="29" xfId="2" applyFont="1" applyAlignment="1">
      <alignment vertical="center"/>
    </xf>
    <xf numFmtId="0" fontId="16" fillId="0" borderId="0" xfId="0" applyFont="1" applyAlignment="1">
      <alignment vertical="center"/>
    </xf>
    <xf numFmtId="49" fontId="10" fillId="2" borderId="7" xfId="0" applyNumberFormat="1" applyFont="1" applyFill="1" applyBorder="1" applyAlignment="1">
      <alignment horizontal="center" vertical="center"/>
    </xf>
    <xf numFmtId="49" fontId="15" fillId="2" borderId="28" xfId="1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5" fontId="10" fillId="2" borderId="7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5" fillId="2" borderId="15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 wrapText="1"/>
    </xf>
    <xf numFmtId="0" fontId="15" fillId="2" borderId="33" xfId="1" applyFont="1" applyFill="1" applyBorder="1" applyAlignment="1">
      <alignment horizontal="center" vertical="center" wrapText="1"/>
    </xf>
    <xf numFmtId="0" fontId="15" fillId="2" borderId="34" xfId="1" applyFont="1" applyFill="1" applyBorder="1" applyAlignment="1">
      <alignment horizontal="center" vertical="center" wrapText="1"/>
    </xf>
    <xf numFmtId="0" fontId="15" fillId="2" borderId="35" xfId="1" applyFont="1" applyFill="1" applyBorder="1" applyAlignment="1">
      <alignment horizontal="center" vertical="center" wrapText="1"/>
    </xf>
    <xf numFmtId="0" fontId="15" fillId="2" borderId="26" xfId="1" applyFont="1" applyFill="1" applyBorder="1" applyAlignment="1">
      <alignment horizontal="center" vertical="center" wrapText="1"/>
    </xf>
    <xf numFmtId="0" fontId="15" fillId="2" borderId="27" xfId="1" applyFont="1" applyFill="1" applyBorder="1" applyAlignment="1">
      <alignment horizontal="center" vertical="center" wrapText="1"/>
    </xf>
    <xf numFmtId="0" fontId="15" fillId="2" borderId="36" xfId="1" applyFont="1" applyFill="1" applyBorder="1" applyAlignment="1">
      <alignment horizontal="center" vertical="center" wrapText="1"/>
    </xf>
    <xf numFmtId="0" fontId="15" fillId="2" borderId="37" xfId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álculo" xfId="2" builtinId="22"/>
    <cellStyle name="Celda de comprobación" xfId="3" builtinId="23"/>
    <cellStyle name="Normal" xfId="0" builtinId="0"/>
    <cellStyle name="Normal 3" xfId="1" xr:uid="{E1424FFB-D7AD-1B42-90CB-0815E2AB01AD}"/>
  </cellStyles>
  <dxfs count="3">
    <dxf>
      <fill>
        <patternFill>
          <bgColor theme="2" tint="-0.24994659260841701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7A538"/>
      <color rgb="FF163C3C"/>
      <color rgb="FF6BB7C6"/>
      <color rgb="FFEC6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237724</xdr:colOff>
      <xdr:row>0</xdr:row>
      <xdr:rowOff>0</xdr:rowOff>
    </xdr:from>
    <xdr:to>
      <xdr:col>2</xdr:col>
      <xdr:colOff>1688121</xdr:colOff>
      <xdr:row>2</xdr:row>
      <xdr:rowOff>9807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16BE70-2EB6-BFFA-C854-5EF27C514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24" y="0"/>
          <a:ext cx="4329545" cy="87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785027</xdr:colOff>
      <xdr:row>34</xdr:row>
      <xdr:rowOff>34123</xdr:rowOff>
    </xdr:from>
    <xdr:to>
      <xdr:col>11</xdr:col>
      <xdr:colOff>1084261</xdr:colOff>
      <xdr:row>56</xdr:row>
      <xdr:rowOff>154060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80EA19-F477-247E-193D-C21D5436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336550" y="11072850"/>
          <a:ext cx="6374687" cy="2997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68036</xdr:colOff>
      <xdr:row>0</xdr:row>
      <xdr:rowOff>0</xdr:rowOff>
    </xdr:from>
    <xdr:to>
      <xdr:col>12</xdr:col>
      <xdr:colOff>163286</xdr:colOff>
      <xdr:row>26</xdr:row>
      <xdr:rowOff>22336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B1BAA95-4E82-76EA-B684-87A82E416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0"/>
          <a:ext cx="9239250" cy="4975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40B-D947-5947-B3E6-025CD19505A3}">
  <sheetPr>
    <tabColor rgb="FFC00000"/>
    <pageSetUpPr fitToPage="1"/>
  </sheetPr>
  <dimension ref="B1:O57"/>
  <sheetViews>
    <sheetView showGridLines="0" topLeftCell="A8" zoomScale="60" zoomScaleNormal="60" zoomScaleSheetLayoutView="100" zoomScalePageLayoutView="55" workbookViewId="0">
      <selection activeCell="F11" sqref="F11"/>
    </sheetView>
  </sheetViews>
  <sheetFormatPr baseColWidth="10" defaultColWidth="10.85546875" defaultRowHeight="15.75" x14ac:dyDescent="0.25"/>
  <cols>
    <col min="1" max="1" width="3.28515625" style="6" customWidth="1"/>
    <col min="2" max="2" width="36" style="6" customWidth="1"/>
    <col min="3" max="3" width="32.85546875" style="6" customWidth="1"/>
    <col min="4" max="4" width="16.85546875" style="6" customWidth="1"/>
    <col min="5" max="5" width="27" style="6" customWidth="1"/>
    <col min="6" max="6" width="24.42578125" style="6" customWidth="1"/>
    <col min="7" max="7" width="32" style="6" customWidth="1"/>
    <col min="8" max="8" width="30.5703125" style="6" customWidth="1"/>
    <col min="9" max="9" width="20.85546875" style="6" customWidth="1"/>
    <col min="10" max="10" width="24.5703125" style="6" customWidth="1"/>
    <col min="11" max="11" width="37.5703125" style="6" customWidth="1"/>
    <col min="12" max="13" width="20.85546875" style="6" customWidth="1"/>
    <col min="14" max="16384" width="10.85546875" style="6"/>
  </cols>
  <sheetData>
    <row r="1" spans="2:13" ht="33.950000000000003" customHeight="1" x14ac:dyDescent="0.25">
      <c r="B1" s="58"/>
      <c r="C1" s="58"/>
      <c r="E1" s="116" t="s">
        <v>152</v>
      </c>
      <c r="F1" s="117"/>
      <c r="G1" s="118"/>
      <c r="H1" s="122" t="s">
        <v>153</v>
      </c>
      <c r="I1" s="123"/>
      <c r="J1" s="100" t="s">
        <v>153</v>
      </c>
      <c r="K1" s="100"/>
      <c r="L1" s="100"/>
      <c r="M1" s="100"/>
    </row>
    <row r="2" spans="2:13" ht="33.950000000000003" customHeight="1" thickBot="1" x14ac:dyDescent="0.3">
      <c r="B2" s="58"/>
      <c r="C2" s="58"/>
      <c r="E2" s="119" t="s">
        <v>154</v>
      </c>
      <c r="F2" s="120"/>
      <c r="G2" s="121"/>
      <c r="H2" s="124"/>
      <c r="I2" s="125"/>
      <c r="J2" s="107"/>
      <c r="K2" s="107"/>
      <c r="L2" s="107"/>
      <c r="M2" s="107"/>
    </row>
    <row r="3" spans="2:13" ht="27.95" customHeight="1" thickBot="1" x14ac:dyDescent="0.3">
      <c r="B3" s="111" t="s">
        <v>54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</row>
    <row r="4" spans="2:13" ht="24" customHeight="1" x14ac:dyDescent="0.35">
      <c r="B4" s="59" t="s">
        <v>112</v>
      </c>
      <c r="C4" s="114">
        <v>45807</v>
      </c>
      <c r="D4" s="115"/>
      <c r="E4" s="115"/>
      <c r="F4" s="36"/>
      <c r="J4" s="36"/>
      <c r="K4" s="36"/>
      <c r="L4" s="37"/>
      <c r="M4" s="38"/>
    </row>
    <row r="5" spans="2:13" ht="24" customHeight="1" x14ac:dyDescent="0.25">
      <c r="B5" s="60" t="s">
        <v>0</v>
      </c>
      <c r="C5" s="110" t="s">
        <v>178</v>
      </c>
      <c r="D5" s="110"/>
      <c r="E5" s="110"/>
      <c r="F5" s="7"/>
      <c r="G5" s="63" t="s">
        <v>46</v>
      </c>
      <c r="H5" s="9" t="s">
        <v>53</v>
      </c>
      <c r="K5" s="64"/>
      <c r="L5" s="64"/>
      <c r="M5" s="39"/>
    </row>
    <row r="6" spans="2:13" ht="24" customHeight="1" x14ac:dyDescent="0.25">
      <c r="B6" s="60" t="s">
        <v>125</v>
      </c>
      <c r="C6" s="106" t="s">
        <v>182</v>
      </c>
      <c r="D6" s="106"/>
      <c r="E6" s="106"/>
      <c r="F6" s="10"/>
      <c r="G6" s="63" t="s">
        <v>26</v>
      </c>
      <c r="H6" s="94" t="s">
        <v>15</v>
      </c>
      <c r="J6" s="7"/>
      <c r="K6" s="64"/>
      <c r="L6" s="64"/>
      <c r="M6" s="8"/>
    </row>
    <row r="7" spans="2:13" ht="24" customHeight="1" thickBot="1" x14ac:dyDescent="0.3">
      <c r="B7" s="60" t="s">
        <v>2</v>
      </c>
      <c r="C7" s="106" t="s">
        <v>182</v>
      </c>
      <c r="D7" s="106"/>
      <c r="E7" s="106"/>
      <c r="F7" s="7"/>
      <c r="G7" s="63" t="s">
        <v>52</v>
      </c>
      <c r="H7" s="95" t="s">
        <v>121</v>
      </c>
      <c r="J7" s="42"/>
      <c r="K7" s="64"/>
      <c r="L7" s="64"/>
      <c r="M7" s="39"/>
    </row>
    <row r="8" spans="2:13" ht="24" customHeight="1" thickTop="1" thickBot="1" x14ac:dyDescent="0.3">
      <c r="B8" s="60" t="s">
        <v>25</v>
      </c>
      <c r="C8" s="106" t="s">
        <v>180</v>
      </c>
      <c r="D8" s="106"/>
      <c r="E8" s="106"/>
      <c r="F8" s="7"/>
      <c r="G8" s="64" t="s">
        <v>148</v>
      </c>
      <c r="H8" s="101" t="s">
        <v>166</v>
      </c>
      <c r="J8" s="42"/>
      <c r="K8" s="64"/>
      <c r="L8" s="64"/>
      <c r="M8" s="8"/>
    </row>
    <row r="9" spans="2:13" ht="24" customHeight="1" thickTop="1" x14ac:dyDescent="0.25">
      <c r="B9" s="60" t="s">
        <v>3</v>
      </c>
      <c r="C9" s="106" t="s">
        <v>181</v>
      </c>
      <c r="D9" s="106"/>
      <c r="E9" s="106"/>
      <c r="F9" s="7"/>
      <c r="M9" s="8"/>
    </row>
    <row r="10" spans="2:13" ht="24" customHeight="1" x14ac:dyDescent="0.25">
      <c r="B10" s="60"/>
      <c r="C10" s="92"/>
      <c r="D10" s="92"/>
      <c r="E10" s="92"/>
      <c r="F10" s="7"/>
      <c r="G10" s="63" t="s">
        <v>56</v>
      </c>
      <c r="H10" s="102" t="s">
        <v>99</v>
      </c>
      <c r="J10" s="64"/>
      <c r="K10" s="64"/>
      <c r="L10" s="64"/>
      <c r="M10" s="8"/>
    </row>
    <row r="11" spans="2:13" ht="24" customHeight="1" x14ac:dyDescent="0.25">
      <c r="B11" s="60"/>
      <c r="C11" s="92"/>
      <c r="D11" s="92"/>
      <c r="E11" s="92"/>
      <c r="F11" s="7"/>
      <c r="G11" s="63" t="s">
        <v>102</v>
      </c>
      <c r="H11" s="102" t="s">
        <v>184</v>
      </c>
      <c r="J11" s="64"/>
      <c r="K11" s="64"/>
      <c r="L11" s="64"/>
      <c r="M11" s="8"/>
    </row>
    <row r="12" spans="2:13" ht="24" customHeight="1" x14ac:dyDescent="0.25">
      <c r="B12" s="60"/>
      <c r="C12" s="92"/>
      <c r="D12" s="92"/>
      <c r="E12" s="92"/>
      <c r="F12" s="7"/>
      <c r="G12" s="93" t="s">
        <v>188</v>
      </c>
      <c r="H12" s="103" t="s">
        <v>191</v>
      </c>
      <c r="J12" s="64"/>
      <c r="K12" s="64"/>
      <c r="L12" s="64"/>
      <c r="M12" s="8"/>
    </row>
    <row r="13" spans="2:13" ht="24" customHeight="1" x14ac:dyDescent="0.25">
      <c r="B13" s="60"/>
      <c r="C13" s="92"/>
      <c r="D13" s="92"/>
      <c r="E13" s="92"/>
      <c r="F13" s="7"/>
      <c r="G13" s="63" t="s">
        <v>203</v>
      </c>
      <c r="H13" s="104" t="s">
        <v>204</v>
      </c>
      <c r="J13" s="64"/>
      <c r="K13" s="64"/>
      <c r="L13" s="64"/>
      <c r="M13" s="8"/>
    </row>
    <row r="14" spans="2:13" ht="24" customHeight="1" x14ac:dyDescent="0.25">
      <c r="B14" s="60"/>
      <c r="C14" s="92"/>
      <c r="D14" s="92"/>
      <c r="E14" s="92"/>
      <c r="F14" s="7"/>
      <c r="G14" s="61"/>
      <c r="J14" s="64"/>
      <c r="K14" s="64"/>
      <c r="L14" s="64"/>
      <c r="M14" s="8"/>
    </row>
    <row r="15" spans="2:13" ht="24" customHeight="1" thickBot="1" x14ac:dyDescent="0.4">
      <c r="B15" s="11"/>
      <c r="C15" s="12"/>
      <c r="D15" s="12"/>
      <c r="E15" s="12"/>
      <c r="F15" s="12"/>
      <c r="G15" s="62"/>
      <c r="I15" s="12"/>
      <c r="J15" s="12"/>
      <c r="K15" s="64"/>
      <c r="L15" s="64"/>
      <c r="M15" s="41"/>
    </row>
    <row r="16" spans="2:13" ht="27.95" customHeight="1" thickBot="1" x14ac:dyDescent="0.3">
      <c r="B16" s="132" t="s">
        <v>55</v>
      </c>
      <c r="C16" s="133"/>
      <c r="D16" s="133"/>
      <c r="E16" s="133"/>
      <c r="F16" s="133"/>
      <c r="G16" s="133"/>
      <c r="H16" s="133"/>
      <c r="I16" s="133"/>
      <c r="J16" s="133"/>
      <c r="K16" s="134"/>
      <c r="L16" s="134"/>
      <c r="M16" s="135"/>
    </row>
    <row r="17" spans="2:13" ht="24" customHeight="1" thickBot="1" x14ac:dyDescent="0.3">
      <c r="B17" s="50"/>
      <c r="C17" s="51"/>
      <c r="D17" s="51"/>
      <c r="E17" s="36"/>
      <c r="F17" s="36"/>
      <c r="G17" s="36"/>
      <c r="H17" s="16"/>
      <c r="I17" s="16"/>
      <c r="J17" s="16"/>
      <c r="K17" s="7"/>
      <c r="L17" s="7"/>
      <c r="M17" s="52"/>
    </row>
    <row r="18" spans="2:13" ht="24" customHeight="1" thickBot="1" x14ac:dyDescent="0.3">
      <c r="B18" s="108" t="s">
        <v>133</v>
      </c>
      <c r="C18" s="109"/>
      <c r="E18" s="108" t="s">
        <v>6</v>
      </c>
      <c r="F18" s="109"/>
      <c r="G18" s="2"/>
      <c r="H18" s="16"/>
      <c r="I18" s="16"/>
      <c r="J18" s="16"/>
      <c r="K18" s="7"/>
      <c r="L18" s="7"/>
      <c r="M18" s="8"/>
    </row>
    <row r="19" spans="2:13" ht="24" customHeight="1" x14ac:dyDescent="0.25">
      <c r="B19" s="65" t="s">
        <v>104</v>
      </c>
      <c r="C19" s="32">
        <f>D19*25.4</f>
        <v>254</v>
      </c>
      <c r="D19" s="57">
        <v>10</v>
      </c>
      <c r="E19" s="66" t="s">
        <v>7</v>
      </c>
      <c r="F19" s="15" t="s">
        <v>8</v>
      </c>
      <c r="G19" s="16"/>
      <c r="H19" s="16"/>
      <c r="I19" s="16"/>
      <c r="J19" s="16"/>
      <c r="K19" s="7"/>
      <c r="L19" s="7"/>
      <c r="M19" s="8"/>
    </row>
    <row r="20" spans="2:13" ht="24" customHeight="1" x14ac:dyDescent="0.25">
      <c r="B20" s="65" t="s">
        <v>134</v>
      </c>
      <c r="C20" s="32">
        <f>D20*25.4</f>
        <v>355.59999999999997</v>
      </c>
      <c r="D20" s="57">
        <v>14</v>
      </c>
      <c r="E20" s="66" t="s">
        <v>57</v>
      </c>
      <c r="F20" s="17" t="s">
        <v>9</v>
      </c>
      <c r="G20" s="16"/>
      <c r="H20" s="16"/>
      <c r="I20" s="16"/>
      <c r="J20" s="16"/>
      <c r="K20" s="7"/>
      <c r="L20" s="7"/>
      <c r="M20" s="8"/>
    </row>
    <row r="21" spans="2:13" ht="24" customHeight="1" x14ac:dyDescent="0.25">
      <c r="B21" s="65" t="s">
        <v>144</v>
      </c>
      <c r="C21" s="32">
        <f t="shared" ref="C21:C22" si="0">CONVERT(D21,"in","mm")</f>
        <v>0</v>
      </c>
      <c r="D21" s="57"/>
      <c r="E21" s="66" t="s">
        <v>58</v>
      </c>
      <c r="F21" s="17">
        <v>37.5</v>
      </c>
      <c r="G21" s="91">
        <v>150</v>
      </c>
      <c r="H21" s="16"/>
      <c r="I21" s="16"/>
      <c r="J21" s="16"/>
      <c r="K21" s="7"/>
      <c r="L21" s="7"/>
      <c r="M21" s="18"/>
    </row>
    <row r="22" spans="2:13" ht="24" customHeight="1" x14ac:dyDescent="0.25">
      <c r="B22" s="65" t="s">
        <v>192</v>
      </c>
      <c r="C22" s="32">
        <f t="shared" si="0"/>
        <v>96.774000000000001</v>
      </c>
      <c r="D22" s="57">
        <v>3.81</v>
      </c>
      <c r="E22" s="13"/>
      <c r="F22" s="4"/>
      <c r="G22" s="16"/>
      <c r="H22" s="16"/>
      <c r="I22" s="16"/>
      <c r="J22" s="16"/>
      <c r="K22" s="7"/>
      <c r="L22" s="7"/>
      <c r="M22" s="18"/>
    </row>
    <row r="23" spans="2:13" ht="24" customHeight="1" thickBot="1" x14ac:dyDescent="0.3">
      <c r="B23" s="65" t="s">
        <v>135</v>
      </c>
      <c r="C23" s="72">
        <f>(C20*2)+C21+C22</f>
        <v>807.97399999999993</v>
      </c>
      <c r="D23" s="4"/>
      <c r="E23" s="19"/>
      <c r="F23" s="20"/>
      <c r="G23" s="20"/>
      <c r="H23" s="20"/>
      <c r="I23" s="19"/>
      <c r="J23" s="19"/>
      <c r="K23" s="7"/>
      <c r="L23" s="7"/>
      <c r="M23" s="8"/>
    </row>
    <row r="24" spans="2:13" ht="24" customHeight="1" thickBot="1" x14ac:dyDescent="0.3">
      <c r="B24" s="35"/>
      <c r="D24" s="21"/>
      <c r="E24" s="130" t="s">
        <v>146</v>
      </c>
      <c r="F24" s="136" t="s">
        <v>38</v>
      </c>
      <c r="G24" s="23"/>
      <c r="H24" s="130" t="s">
        <v>146</v>
      </c>
      <c r="I24" s="136" t="s">
        <v>33</v>
      </c>
      <c r="J24" s="54"/>
      <c r="K24" s="7"/>
      <c r="L24" s="7"/>
      <c r="M24" s="8"/>
    </row>
    <row r="25" spans="2:13" ht="24" customHeight="1" thickBot="1" x14ac:dyDescent="0.3">
      <c r="B25" s="73" t="s">
        <v>71</v>
      </c>
      <c r="C25" s="74" t="s">
        <v>72</v>
      </c>
      <c r="D25" s="21"/>
      <c r="E25" s="131"/>
      <c r="F25" s="137"/>
      <c r="G25" s="23"/>
      <c r="H25" s="131"/>
      <c r="I25" s="137"/>
      <c r="K25" s="7"/>
      <c r="L25" s="7"/>
      <c r="M25" s="8"/>
    </row>
    <row r="26" spans="2:13" ht="24" customHeight="1" thickBot="1" x14ac:dyDescent="0.3">
      <c r="B26" s="128" t="s">
        <v>130</v>
      </c>
      <c r="C26" s="126" t="s">
        <v>132</v>
      </c>
      <c r="D26" s="14"/>
      <c r="G26" s="23"/>
      <c r="K26" s="5"/>
      <c r="M26" s="8"/>
    </row>
    <row r="27" spans="2:13" ht="24" customHeight="1" thickBot="1" x14ac:dyDescent="0.3">
      <c r="B27" s="129"/>
      <c r="C27" s="127"/>
      <c r="E27" s="77" t="s">
        <v>105</v>
      </c>
      <c r="F27" s="78" t="s">
        <v>51</v>
      </c>
      <c r="G27" s="79" t="s">
        <v>65</v>
      </c>
      <c r="H27" s="78" t="s">
        <v>105</v>
      </c>
      <c r="I27" s="78" t="s">
        <v>51</v>
      </c>
      <c r="J27" s="80" t="s">
        <v>65</v>
      </c>
      <c r="M27" s="8"/>
    </row>
    <row r="28" spans="2:13" ht="35.25" customHeight="1" x14ac:dyDescent="0.35">
      <c r="B28" s="35"/>
      <c r="D28" s="31"/>
      <c r="E28" s="97" t="s">
        <v>196</v>
      </c>
      <c r="F28" s="67" t="s">
        <v>24</v>
      </c>
      <c r="G28" s="67"/>
      <c r="H28" s="97" t="s">
        <v>17</v>
      </c>
      <c r="I28" s="68" t="s">
        <v>24</v>
      </c>
      <c r="J28" s="99"/>
      <c r="M28" s="8"/>
    </row>
    <row r="29" spans="2:13" ht="36.75" customHeight="1" thickBot="1" x14ac:dyDescent="0.3">
      <c r="B29" s="75" t="s">
        <v>18</v>
      </c>
      <c r="C29" s="76" t="s">
        <v>19</v>
      </c>
      <c r="D29" s="21"/>
      <c r="E29" s="97" t="s">
        <v>195</v>
      </c>
      <c r="F29" s="67" t="s">
        <v>21</v>
      </c>
      <c r="G29" s="67"/>
      <c r="H29" s="97" t="s">
        <v>199</v>
      </c>
      <c r="I29" s="68" t="s">
        <v>24</v>
      </c>
      <c r="J29" s="81" t="s">
        <v>197</v>
      </c>
      <c r="M29" s="8"/>
    </row>
    <row r="30" spans="2:13" ht="24" customHeight="1" thickBot="1" x14ac:dyDescent="0.4">
      <c r="B30" s="146" t="s">
        <v>20</v>
      </c>
      <c r="C30" s="144" t="s">
        <v>21</v>
      </c>
      <c r="D30" s="5"/>
      <c r="E30" s="97" t="s">
        <v>193</v>
      </c>
      <c r="F30" s="82" t="s">
        <v>21</v>
      </c>
      <c r="G30" s="98" t="s">
        <v>194</v>
      </c>
      <c r="H30" s="97" t="s">
        <v>201</v>
      </c>
      <c r="I30" s="68" t="s">
        <v>24</v>
      </c>
      <c r="J30" s="96"/>
      <c r="K30" s="55"/>
      <c r="M30" s="8"/>
    </row>
    <row r="31" spans="2:13" ht="39" customHeight="1" thickBot="1" x14ac:dyDescent="0.4">
      <c r="B31" s="147"/>
      <c r="C31" s="145"/>
      <c r="E31" s="97" t="s">
        <v>200</v>
      </c>
      <c r="F31" s="82" t="s">
        <v>21</v>
      </c>
      <c r="G31" s="98" t="s">
        <v>197</v>
      </c>
      <c r="H31" s="97"/>
      <c r="I31" s="68"/>
      <c r="J31" s="96"/>
      <c r="M31" s="8"/>
    </row>
    <row r="32" spans="2:13" ht="27.95" customHeight="1" thickBot="1" x14ac:dyDescent="0.3">
      <c r="B32" s="53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1"/>
    </row>
    <row r="33" spans="2:15" ht="36.75" customHeight="1" thickBot="1" x14ac:dyDescent="0.3">
      <c r="B33" s="111" t="s">
        <v>139</v>
      </c>
      <c r="C33" s="161"/>
      <c r="D33" s="161"/>
      <c r="E33" s="161"/>
      <c r="F33" s="161"/>
      <c r="G33" s="161"/>
      <c r="H33" s="161"/>
      <c r="I33" s="161"/>
      <c r="J33" s="162"/>
      <c r="K33" s="164" t="s">
        <v>145</v>
      </c>
      <c r="L33" s="165"/>
      <c r="M33" s="166"/>
    </row>
    <row r="34" spans="2:15" ht="30.75" customHeight="1" thickBot="1" x14ac:dyDescent="0.3">
      <c r="K34" s="167"/>
      <c r="L34" s="168"/>
      <c r="M34" s="169"/>
    </row>
    <row r="35" spans="2:15" ht="24" customHeight="1" thickBot="1" x14ac:dyDescent="0.3">
      <c r="B35" s="77" t="s">
        <v>206</v>
      </c>
      <c r="C35" s="56">
        <v>2000</v>
      </c>
      <c r="D35" s="105"/>
      <c r="E35" s="77" t="s">
        <v>214</v>
      </c>
      <c r="F35" s="56" t="s">
        <v>219</v>
      </c>
      <c r="K35" s="153"/>
      <c r="L35" s="154"/>
      <c r="M35" s="155"/>
    </row>
    <row r="36" spans="2:15" ht="24" customHeight="1" thickBot="1" x14ac:dyDescent="0.3">
      <c r="B36" s="77" t="s">
        <v>207</v>
      </c>
      <c r="C36" s="3">
        <v>250</v>
      </c>
      <c r="D36" s="69"/>
      <c r="E36" s="77" t="s">
        <v>213</v>
      </c>
      <c r="F36" s="56" t="s">
        <v>216</v>
      </c>
      <c r="H36" s="90" t="s">
        <v>221</v>
      </c>
      <c r="K36" s="156"/>
      <c r="L36" s="157"/>
      <c r="M36" s="158"/>
    </row>
    <row r="37" spans="2:15" ht="24" customHeight="1" thickBot="1" x14ac:dyDescent="0.3">
      <c r="B37" s="77" t="s">
        <v>208</v>
      </c>
      <c r="C37" s="3">
        <v>50</v>
      </c>
      <c r="D37" s="28"/>
      <c r="K37" s="156"/>
      <c r="L37" s="157"/>
      <c r="M37" s="158"/>
    </row>
    <row r="38" spans="2:15" ht="24" customHeight="1" thickBot="1" x14ac:dyDescent="0.3">
      <c r="B38" s="77" t="s">
        <v>140</v>
      </c>
      <c r="C38" s="32" t="s">
        <v>179</v>
      </c>
      <c r="K38" s="156"/>
      <c r="L38" s="157"/>
      <c r="M38" s="158"/>
    </row>
    <row r="39" spans="2:15" ht="24" customHeight="1" x14ac:dyDescent="0.25">
      <c r="B39" s="77" t="s">
        <v>209</v>
      </c>
      <c r="C39" s="32" t="s">
        <v>210</v>
      </c>
      <c r="D39" s="34"/>
      <c r="E39" s="34"/>
      <c r="K39" s="156"/>
      <c r="L39" s="157"/>
      <c r="M39" s="158"/>
    </row>
    <row r="40" spans="2:15" ht="24" customHeight="1" x14ac:dyDescent="0.25">
      <c r="C40" s="27"/>
      <c r="D40" s="25"/>
      <c r="E40" s="25"/>
      <c r="F40" s="21"/>
      <c r="G40" s="23"/>
      <c r="H40" s="27"/>
      <c r="I40" s="25"/>
      <c r="J40" s="25"/>
      <c r="K40" s="156"/>
      <c r="L40" s="157"/>
      <c r="M40" s="158"/>
    </row>
    <row r="41" spans="2:15" ht="24" customHeight="1" thickBot="1" x14ac:dyDescent="0.3">
      <c r="B41" s="23"/>
      <c r="C41" s="25"/>
      <c r="D41" s="21"/>
      <c r="E41" s="22"/>
      <c r="F41" s="21"/>
      <c r="G41" s="23"/>
      <c r="H41" s="27"/>
      <c r="I41" s="25"/>
      <c r="J41" s="25"/>
      <c r="K41" s="156"/>
      <c r="L41" s="157"/>
      <c r="M41" s="158"/>
    </row>
    <row r="42" spans="2:15" ht="24" customHeight="1" thickBot="1" x14ac:dyDescent="0.3">
      <c r="B42" s="111" t="s">
        <v>75</v>
      </c>
      <c r="C42" s="161"/>
      <c r="D42" s="161"/>
      <c r="E42" s="161"/>
      <c r="F42" s="161"/>
      <c r="G42" s="161"/>
      <c r="H42" s="161"/>
      <c r="I42" s="161"/>
      <c r="J42" s="162"/>
      <c r="K42" s="156"/>
      <c r="L42" s="157"/>
      <c r="M42" s="158"/>
    </row>
    <row r="43" spans="2:15" ht="24" customHeight="1" thickBot="1" x14ac:dyDescent="0.3">
      <c r="B43" s="44"/>
      <c r="C43" s="45"/>
      <c r="D43" s="46"/>
      <c r="E43" s="47"/>
      <c r="F43" s="46"/>
      <c r="G43" s="48"/>
      <c r="H43" s="49"/>
      <c r="I43" s="45"/>
      <c r="J43" s="45"/>
      <c r="K43" s="156"/>
      <c r="L43" s="157"/>
      <c r="M43" s="158"/>
    </row>
    <row r="44" spans="2:15" ht="18.75" thickBot="1" x14ac:dyDescent="0.3">
      <c r="B44" s="108" t="s">
        <v>10</v>
      </c>
      <c r="C44" s="109"/>
      <c r="D44" s="33"/>
      <c r="E44" s="170" t="s">
        <v>78</v>
      </c>
      <c r="F44" s="171"/>
      <c r="I44" s="31"/>
      <c r="K44" s="156"/>
      <c r="L44" s="157"/>
      <c r="M44" s="158"/>
      <c r="N44" s="20"/>
      <c r="O44" s="43"/>
    </row>
    <row r="45" spans="2:15" ht="18" x14ac:dyDescent="0.35">
      <c r="B45" s="65" t="s">
        <v>110</v>
      </c>
      <c r="C45" s="32" t="s">
        <v>4</v>
      </c>
      <c r="D45" s="31"/>
      <c r="E45" s="70" t="s">
        <v>141</v>
      </c>
      <c r="F45" s="32" t="s">
        <v>4</v>
      </c>
      <c r="G45" s="70" t="s">
        <v>86</v>
      </c>
      <c r="H45" s="26" t="s">
        <v>1</v>
      </c>
      <c r="I45" s="71" t="s">
        <v>1</v>
      </c>
      <c r="K45" s="156"/>
      <c r="L45" s="157"/>
      <c r="M45" s="158"/>
      <c r="N45" s="20"/>
      <c r="O45" s="43"/>
    </row>
    <row r="46" spans="2:15" ht="18" x14ac:dyDescent="0.25">
      <c r="B46" s="65" t="s">
        <v>14</v>
      </c>
      <c r="C46" s="3"/>
      <c r="D46" s="31"/>
      <c r="E46" s="70" t="s">
        <v>142</v>
      </c>
      <c r="F46" s="3"/>
      <c r="I46" s="2"/>
      <c r="K46" s="156"/>
      <c r="L46" s="157"/>
      <c r="M46" s="158"/>
      <c r="N46" s="20"/>
      <c r="O46" s="43"/>
    </row>
    <row r="47" spans="2:15" ht="18" x14ac:dyDescent="0.25">
      <c r="B47" s="65" t="s">
        <v>16</v>
      </c>
      <c r="C47" s="3"/>
      <c r="D47" s="31"/>
      <c r="E47" s="70" t="s">
        <v>143</v>
      </c>
      <c r="F47" s="3"/>
      <c r="G47" s="70" t="s">
        <v>80</v>
      </c>
      <c r="H47" s="152"/>
      <c r="I47" s="152"/>
      <c r="K47" s="156"/>
      <c r="L47" s="157"/>
      <c r="M47" s="158"/>
      <c r="N47" s="20"/>
      <c r="O47" s="43"/>
    </row>
    <row r="48" spans="2:15" ht="24" customHeight="1" x14ac:dyDescent="0.25">
      <c r="B48" s="65" t="s">
        <v>76</v>
      </c>
      <c r="C48" s="3"/>
      <c r="D48" s="31"/>
      <c r="E48" s="70" t="s">
        <v>79</v>
      </c>
      <c r="F48" s="3"/>
      <c r="H48" s="152"/>
      <c r="I48" s="152"/>
      <c r="K48" s="156"/>
      <c r="L48" s="157"/>
      <c r="M48" s="158"/>
      <c r="N48" s="20"/>
      <c r="O48" s="43"/>
    </row>
    <row r="49" spans="2:13" ht="24" customHeight="1" thickBot="1" x14ac:dyDescent="0.3">
      <c r="B49" s="24"/>
      <c r="C49" s="29"/>
      <c r="D49" s="30"/>
      <c r="G49" s="163"/>
      <c r="H49" s="163"/>
      <c r="K49" s="156"/>
      <c r="L49" s="157"/>
      <c r="M49" s="158"/>
    </row>
    <row r="50" spans="2:13" ht="24" customHeight="1" x14ac:dyDescent="0.25">
      <c r="B50" s="148" t="s">
        <v>211</v>
      </c>
      <c r="C50" s="149"/>
      <c r="D50" s="149"/>
      <c r="E50" s="149"/>
      <c r="F50" s="149"/>
      <c r="G50" s="149"/>
      <c r="H50" s="149"/>
      <c r="I50" s="149"/>
      <c r="J50" s="149"/>
      <c r="K50" s="156"/>
      <c r="L50" s="157"/>
      <c r="M50" s="158"/>
    </row>
    <row r="51" spans="2:13" ht="24" customHeight="1" x14ac:dyDescent="0.25">
      <c r="B51" s="150"/>
      <c r="C51" s="151"/>
      <c r="D51" s="151"/>
      <c r="E51" s="151"/>
      <c r="F51" s="151"/>
      <c r="G51" s="151"/>
      <c r="H51" s="151"/>
      <c r="I51" s="151"/>
      <c r="J51" s="151"/>
      <c r="K51" s="156"/>
      <c r="L51" s="157"/>
      <c r="M51" s="158"/>
    </row>
    <row r="52" spans="2:13" ht="24" customHeight="1" x14ac:dyDescent="0.25">
      <c r="F52" s="90"/>
      <c r="K52" s="157"/>
      <c r="L52" s="157"/>
      <c r="M52" s="158"/>
    </row>
    <row r="53" spans="2:13" ht="24" customHeight="1" x14ac:dyDescent="0.25">
      <c r="B53" s="141"/>
      <c r="C53" s="142"/>
      <c r="D53" s="142"/>
      <c r="E53" s="142"/>
      <c r="F53" s="142"/>
      <c r="G53" s="142"/>
      <c r="H53" s="142"/>
      <c r="I53" s="142"/>
      <c r="J53" s="143"/>
      <c r="K53" s="157"/>
      <c r="L53" s="157"/>
      <c r="M53" s="158"/>
    </row>
    <row r="54" spans="2:13" ht="24" customHeight="1" x14ac:dyDescent="0.25">
      <c r="B54" s="141"/>
      <c r="C54" s="142"/>
      <c r="D54" s="142"/>
      <c r="E54" s="142"/>
      <c r="F54" s="142"/>
      <c r="G54" s="142"/>
      <c r="H54" s="142"/>
      <c r="I54" s="142"/>
      <c r="J54" s="143"/>
      <c r="K54" s="157"/>
      <c r="L54" s="157"/>
      <c r="M54" s="158"/>
    </row>
    <row r="55" spans="2:13" ht="24" customHeight="1" x14ac:dyDescent="0.25">
      <c r="B55" s="141"/>
      <c r="C55" s="142"/>
      <c r="D55" s="142"/>
      <c r="E55" s="142"/>
      <c r="F55" s="142"/>
      <c r="G55" s="142"/>
      <c r="H55" s="142"/>
      <c r="I55" s="142"/>
      <c r="J55" s="143"/>
      <c r="K55" s="157"/>
      <c r="L55" s="157"/>
      <c r="M55" s="158"/>
    </row>
    <row r="56" spans="2:13" ht="24" customHeight="1" x14ac:dyDescent="0.25">
      <c r="B56" s="141"/>
      <c r="C56" s="142"/>
      <c r="D56" s="142"/>
      <c r="E56" s="142"/>
      <c r="F56" s="142"/>
      <c r="G56" s="142"/>
      <c r="H56" s="142"/>
      <c r="I56" s="142"/>
      <c r="J56" s="143"/>
      <c r="K56" s="157"/>
      <c r="L56" s="157"/>
      <c r="M56" s="158"/>
    </row>
    <row r="57" spans="2:13" ht="24" customHeight="1" thickBot="1" x14ac:dyDescent="0.3">
      <c r="B57" s="138"/>
      <c r="C57" s="139"/>
      <c r="D57" s="139"/>
      <c r="E57" s="139"/>
      <c r="F57" s="139"/>
      <c r="G57" s="139"/>
      <c r="H57" s="139"/>
      <c r="I57" s="139"/>
      <c r="J57" s="140"/>
      <c r="K57" s="159"/>
      <c r="L57" s="159"/>
      <c r="M57" s="160"/>
    </row>
  </sheetData>
  <mergeCells count="36">
    <mergeCell ref="K35:M57"/>
    <mergeCell ref="B42:J42"/>
    <mergeCell ref="G49:H49"/>
    <mergeCell ref="B44:C44"/>
    <mergeCell ref="K33:M34"/>
    <mergeCell ref="B54:J54"/>
    <mergeCell ref="B55:J55"/>
    <mergeCell ref="B56:J56"/>
    <mergeCell ref="B33:J33"/>
    <mergeCell ref="E44:F44"/>
    <mergeCell ref="B57:J57"/>
    <mergeCell ref="H24:H25"/>
    <mergeCell ref="B53:J53"/>
    <mergeCell ref="C30:C31"/>
    <mergeCell ref="B30:B31"/>
    <mergeCell ref="B50:J51"/>
    <mergeCell ref="H47:I48"/>
    <mergeCell ref="E1:G1"/>
    <mergeCell ref="E2:G2"/>
    <mergeCell ref="H1:I2"/>
    <mergeCell ref="C26:C27"/>
    <mergeCell ref="B26:B27"/>
    <mergeCell ref="E24:E25"/>
    <mergeCell ref="B16:M16"/>
    <mergeCell ref="E18:F18"/>
    <mergeCell ref="F24:F25"/>
    <mergeCell ref="I24:I25"/>
    <mergeCell ref="C8:E8"/>
    <mergeCell ref="C9:E9"/>
    <mergeCell ref="J2:M2"/>
    <mergeCell ref="B18:C18"/>
    <mergeCell ref="C5:E5"/>
    <mergeCell ref="B3:M3"/>
    <mergeCell ref="C4:E4"/>
    <mergeCell ref="C6:E6"/>
    <mergeCell ref="C7:E7"/>
  </mergeCells>
  <conditionalFormatting sqref="G11:H11">
    <cfRule type="duplicateValues" dxfId="2" priority="1"/>
  </conditionalFormatting>
  <conditionalFormatting sqref="H45 I46">
    <cfRule type="notContainsText" dxfId="1" priority="13" stopIfTrue="1" operator="notContains" text="true">
      <formula>ISERROR(SEARCH("true",H45))</formula>
    </cfRule>
    <cfRule type="containsText" dxfId="0" priority="14" stopIfTrue="1" operator="containsText" text="true">
      <formula>NOT(ISERROR(SEARCH("true",H45)))</formula>
    </cfRule>
  </conditionalFormatting>
  <printOptions horizontalCentered="1" verticalCentered="1"/>
  <pageMargins left="0.25" right="0.25" top="0.75" bottom="0.75" header="0" footer="0"/>
  <pageSetup scale="42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B8FC8051-488D-2147-A1D8-1F48B9659CFF}">
          <x14:formula1>
            <xm:f>DATOS!$E$2:$E$9</xm:f>
          </x14:formula1>
          <xm:sqref>H6</xm:sqref>
        </x14:dataValidation>
        <x14:dataValidation type="list" allowBlank="1" showInputMessage="1" showErrorMessage="1" xr:uid="{50F3B1AA-293E-0442-B587-D30E5C466FD3}">
          <x14:formula1>
            <xm:f>DATOS!$F$2:$F$3</xm:f>
          </x14:formula1>
          <xm:sqref>M7 M5</xm:sqref>
        </x14:dataValidation>
        <x14:dataValidation type="list" allowBlank="1" showInputMessage="1" showErrorMessage="1" xr:uid="{CB8EFEAF-CCE2-7B44-A22D-0EAC4CF49BBD}">
          <x14:formula1>
            <xm:f>DATOS!$D$2:$D$3</xm:f>
          </x14:formula1>
          <xm:sqref>B30</xm:sqref>
        </x14:dataValidation>
        <x14:dataValidation type="list" allowBlank="1" showInputMessage="1" showErrorMessage="1" xr:uid="{ED82DCDB-B1C0-A543-8043-E2DBF9906D61}">
          <x14:formula1>
            <xm:f>DATOS!$T$2:$T$3</xm:f>
          </x14:formula1>
          <xm:sqref>C30:C31 F28:F31 I28:I31</xm:sqref>
        </x14:dataValidation>
        <x14:dataValidation type="list" allowBlank="1" showInputMessage="1" showErrorMessage="1" xr:uid="{965A515A-E6E4-4043-8464-B43F59A7F482}">
          <x14:formula1>
            <xm:f>DATOS!$O$2:$O$4</xm:f>
          </x14:formula1>
          <xm:sqref>D28</xm:sqref>
        </x14:dataValidation>
        <x14:dataValidation type="list" allowBlank="1" showInputMessage="1" showErrorMessage="1" xr:uid="{10BA0891-1531-B640-B411-49ABB62B3694}">
          <x14:formula1>
            <xm:f>DATOS!$P$2:$P$4</xm:f>
          </x14:formula1>
          <xm:sqref>B26:B27</xm:sqref>
        </x14:dataValidation>
        <x14:dataValidation type="list" allowBlank="1" showInputMessage="1" showErrorMessage="1" xr:uid="{9DE902DD-CAB9-5849-8B0F-AED036160276}">
          <x14:formula1>
            <xm:f>DATOS!$U$2:$U$3</xm:f>
          </x14:formula1>
          <xm:sqref>F45:F48 C45:D48</xm:sqref>
        </x14:dataValidation>
        <x14:dataValidation type="list" allowBlank="1" showInputMessage="1" showErrorMessage="1" xr:uid="{0ABA21A0-5F62-A648-BED7-FAF8A7B1E279}">
          <x14:formula1>
            <xm:f>DATOS!$V$2:$V$3</xm:f>
          </x14:formula1>
          <xm:sqref>H45</xm:sqref>
        </x14:dataValidation>
        <x14:dataValidation type="list" allowBlank="1" showInputMessage="1" showErrorMessage="1" xr:uid="{01BCD1EF-33BE-8B4E-80D1-CD398E0FA629}">
          <x14:formula1>
            <xm:f>DATOS!$C$2:$C$6</xm:f>
          </x14:formula1>
          <xm:sqref>F20</xm:sqref>
        </x14:dataValidation>
        <x14:dataValidation type="list" allowBlank="1" showInputMessage="1" showErrorMessage="1" xr:uid="{25670F36-BB68-024F-ABE5-3E423A6DBDFC}">
          <x14:formula1>
            <xm:f>DATOS!$B$2:$B$16</xm:f>
          </x14:formula1>
          <xm:sqref>F19</xm:sqref>
        </x14:dataValidation>
        <x14:dataValidation type="list" allowBlank="1" showInputMessage="1" showErrorMessage="1" xr:uid="{CA0400E6-F90A-F847-B4D5-D38195C319FE}">
          <x14:formula1>
            <xm:f>DATOS!$N$2:$N$11</xm:f>
          </x14:formula1>
          <xm:sqref>F24 I24</xm:sqref>
        </x14:dataValidation>
        <x14:dataValidation type="list" allowBlank="1" showInputMessage="1" showErrorMessage="1" xr:uid="{E00E2A9A-E0BB-5A45-8261-91E3B5DDEA57}">
          <x14:formula1>
            <xm:f>DATOS!$J$2:$J$26</xm:f>
          </x14:formula1>
          <xm:sqref>H7</xm:sqref>
        </x14:dataValidation>
        <x14:dataValidation type="list" allowBlank="1" showInputMessage="1" showErrorMessage="1" xr:uid="{C90BA57B-A8D4-AB49-A02B-96FCD9803F9D}">
          <x14:formula1>
            <xm:f>DATOS!$L$2:$L$7</xm:f>
          </x14:formula1>
          <xm:sqref>H10</xm:sqref>
        </x14:dataValidation>
        <x14:dataValidation type="list" allowBlank="1" showInputMessage="1" showErrorMessage="1" xr:uid="{E58DB0D5-2D5D-3C48-8AAD-326A84099790}">
          <x14:formula1>
            <xm:f>DATOS!$Q$2:$Q$8</xm:f>
          </x14:formula1>
          <xm:sqref>C26:C27</xm:sqref>
        </x14:dataValidation>
        <x14:dataValidation type="list" allowBlank="1" showInputMessage="1" showErrorMessage="1" xr:uid="{98F1087B-E2A7-438F-9E04-4865CB431033}">
          <x14:formula1>
            <xm:f>DATOS!$W$2:$W$20</xm:f>
          </x14:formula1>
          <xm:sqref>H8</xm:sqref>
        </x14:dataValidation>
        <x14:dataValidation type="list" allowBlank="1" showInputMessage="1" showErrorMessage="1" xr:uid="{58DD2D3E-93C6-4343-AC12-275C19CDBA36}">
          <x14:formula1>
            <xm:f>DATOS!$Z$2:$Z$3</xm:f>
          </x14:formula1>
          <xm:sqref>H12</xm:sqref>
        </x14:dataValidation>
        <x14:dataValidation type="list" allowBlank="1" showInputMessage="1" showErrorMessage="1" xr:uid="{C5EECDB4-90FE-AA49-9ECE-E5CEE3918C5E}">
          <x14:formula1>
            <xm:f>DATOS!$G$2:$G$5</xm:f>
          </x14:formula1>
          <xm:sqref>H5</xm:sqref>
        </x14:dataValidation>
        <x14:dataValidation type="list" allowBlank="1" showInputMessage="1" showErrorMessage="1" xr:uid="{972C33D8-B0FB-2446-A90B-4166BC7612C7}">
          <x14:formula1>
            <xm:f>DATOS!$M$2:$M$26</xm:f>
          </x14:formula1>
          <xm:sqref>H11</xm:sqref>
        </x14:dataValidation>
        <x14:dataValidation type="list" allowBlank="1" showInputMessage="1" showErrorMessage="1" xr:uid="{809DBC5C-2856-40A5-A8A4-C6F80EEA15F5}">
          <x14:formula1>
            <xm:f>DATOS!$AA$2:$AA$3</xm:f>
          </x14:formula1>
          <xm:sqref>H13</xm:sqref>
        </x14:dataValidation>
        <x14:dataValidation type="list" allowBlank="1" showInputMessage="1" showErrorMessage="1" xr:uid="{5A18E6C9-FD67-497B-92C1-E20A83FA090C}">
          <x14:formula1>
            <xm:f>DATOS!$AB$2:$AB$3</xm:f>
          </x14:formula1>
          <xm:sqref>F36</xm:sqref>
        </x14:dataValidation>
        <x14:dataValidation type="list" allowBlank="1" showInputMessage="1" showErrorMessage="1" xr:uid="{30DF8A62-46AA-421C-9A37-3C7E1A8EEF5B}">
          <x14:formula1>
            <xm:f>DATOS!$AC$2:$AC$3</xm:f>
          </x14:formula1>
          <xm:sqref>F35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4453-EDD0-2D44-AADD-6F08508C5E8D}">
  <dimension ref="A1:N31"/>
  <sheetViews>
    <sheetView zoomScale="70" zoomScaleNormal="70" workbookViewId="0">
      <selection activeCell="O20" sqref="O20"/>
    </sheetView>
  </sheetViews>
  <sheetFormatPr baseColWidth="10" defaultRowHeight="15" x14ac:dyDescent="0.25"/>
  <sheetData>
    <row r="1" spans="1:14" x14ac:dyDescent="0.25">
      <c r="A1" s="172"/>
      <c r="B1" s="172"/>
      <c r="C1" s="172"/>
      <c r="D1" s="172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2"/>
      <c r="B2" s="172"/>
      <c r="C2" s="172"/>
      <c r="D2" s="172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2"/>
      <c r="B3" s="172"/>
      <c r="C3" s="172"/>
      <c r="D3" s="172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2"/>
      <c r="B4" s="172"/>
      <c r="C4" s="172"/>
      <c r="D4" s="172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2"/>
      <c r="B5" s="172"/>
      <c r="C5" s="172"/>
      <c r="D5" s="172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2"/>
      <c r="B6" s="172"/>
      <c r="C6" s="172"/>
      <c r="D6" s="172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72"/>
      <c r="B7" s="172"/>
      <c r="C7" s="172"/>
      <c r="D7" s="17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2"/>
      <c r="B8" s="172"/>
      <c r="C8" s="172"/>
      <c r="D8" s="17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72"/>
      <c r="B9" s="172"/>
      <c r="C9" s="172"/>
      <c r="D9" s="172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mergeCells count="1">
    <mergeCell ref="A1:D9"/>
  </mergeCells>
  <pageMargins left="0" right="0" top="0" bottom="0" header="0" footer="0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7C3C-C110-1849-9EDC-5328E31947D3}">
  <dimension ref="A1:AC40"/>
  <sheetViews>
    <sheetView tabSelected="1" topLeftCell="O1" zoomScale="85" zoomScaleNormal="85" workbookViewId="0">
      <selection activeCell="Q5" sqref="Q5"/>
    </sheetView>
  </sheetViews>
  <sheetFormatPr baseColWidth="10" defaultColWidth="13.140625" defaultRowHeight="18" x14ac:dyDescent="0.35"/>
  <cols>
    <col min="1" max="1" width="10" style="84" bestFit="1" customWidth="1"/>
    <col min="2" max="2" width="19.28515625" style="84" bestFit="1" customWidth="1"/>
    <col min="3" max="4" width="17.42578125" style="84" customWidth="1"/>
    <col min="5" max="5" width="23.7109375" style="84" bestFit="1" customWidth="1"/>
    <col min="6" max="9" width="23.7109375" style="84" customWidth="1"/>
    <col min="10" max="10" width="37.42578125" style="84" customWidth="1"/>
    <col min="11" max="11" width="20.85546875" style="84" customWidth="1"/>
    <col min="12" max="13" width="24.28515625" style="84" customWidth="1"/>
    <col min="14" max="14" width="25.85546875" style="84" customWidth="1"/>
    <col min="15" max="15" width="17.85546875" style="84" customWidth="1"/>
    <col min="16" max="16" width="16" style="84" bestFit="1" customWidth="1"/>
    <col min="17" max="17" width="21.42578125" style="84" bestFit="1" customWidth="1"/>
    <col min="18" max="18" width="13.140625" style="84"/>
    <col min="19" max="19" width="33.85546875" style="84" customWidth="1"/>
    <col min="20" max="23" width="13.140625" style="84"/>
    <col min="24" max="24" width="6.42578125" style="84" customWidth="1"/>
    <col min="25" max="25" width="13.140625" style="84"/>
    <col min="26" max="26" width="19.42578125" style="84" customWidth="1"/>
    <col min="27" max="27" width="20.140625" style="84" customWidth="1"/>
    <col min="28" max="28" width="20.85546875" style="84" customWidth="1"/>
    <col min="29" max="29" width="17.28515625" style="84" customWidth="1"/>
    <col min="30" max="16384" width="13.140625" style="84"/>
  </cols>
  <sheetData>
    <row r="1" spans="1:29" x14ac:dyDescent="0.35">
      <c r="A1" s="83" t="s">
        <v>27</v>
      </c>
      <c r="B1" s="83" t="s">
        <v>28</v>
      </c>
      <c r="C1" s="83" t="s">
        <v>59</v>
      </c>
      <c r="D1" s="83" t="s">
        <v>63</v>
      </c>
      <c r="E1" s="83" t="s">
        <v>29</v>
      </c>
      <c r="F1" s="83" t="s">
        <v>43</v>
      </c>
      <c r="G1" s="83" t="s">
        <v>47</v>
      </c>
      <c r="H1" s="83" t="s">
        <v>137</v>
      </c>
      <c r="I1" s="83" t="s">
        <v>107</v>
      </c>
      <c r="J1" s="83" t="s">
        <v>50</v>
      </c>
      <c r="K1" s="83" t="s">
        <v>23</v>
      </c>
      <c r="L1" s="83" t="s">
        <v>56</v>
      </c>
      <c r="M1" s="83" t="s">
        <v>102</v>
      </c>
      <c r="N1" s="83" t="s">
        <v>88</v>
      </c>
      <c r="O1" s="83" t="s">
        <v>136</v>
      </c>
      <c r="P1" s="83" t="s">
        <v>30</v>
      </c>
      <c r="Q1" s="83" t="s">
        <v>73</v>
      </c>
      <c r="R1" s="83" t="s">
        <v>66</v>
      </c>
      <c r="S1" s="83" t="s">
        <v>31</v>
      </c>
      <c r="T1" s="83" t="s">
        <v>37</v>
      </c>
      <c r="U1" s="83" t="s">
        <v>77</v>
      </c>
      <c r="V1" s="83" t="s">
        <v>87</v>
      </c>
      <c r="W1" s="83" t="s">
        <v>148</v>
      </c>
      <c r="Z1" s="83" t="s">
        <v>189</v>
      </c>
      <c r="AA1" s="83" t="s">
        <v>203</v>
      </c>
      <c r="AB1" s="83" t="s">
        <v>213</v>
      </c>
      <c r="AC1" s="83" t="s">
        <v>212</v>
      </c>
    </row>
    <row r="2" spans="1:29" x14ac:dyDescent="0.35">
      <c r="A2" s="84" t="s">
        <v>32</v>
      </c>
      <c r="B2" s="84" t="s">
        <v>8</v>
      </c>
      <c r="C2" s="84" t="s">
        <v>9</v>
      </c>
      <c r="D2" s="84" t="s">
        <v>20</v>
      </c>
      <c r="E2" s="84" t="s">
        <v>42</v>
      </c>
      <c r="F2" s="84" t="s">
        <v>44</v>
      </c>
      <c r="G2" s="84" t="s">
        <v>48</v>
      </c>
      <c r="H2" s="84" t="s">
        <v>17</v>
      </c>
      <c r="I2" s="84" t="s">
        <v>108</v>
      </c>
      <c r="J2" s="84" t="s">
        <v>119</v>
      </c>
      <c r="K2" s="85" t="s">
        <v>33</v>
      </c>
      <c r="L2" s="84" t="s">
        <v>98</v>
      </c>
      <c r="M2" s="84" t="s">
        <v>187</v>
      </c>
      <c r="N2" s="84" t="s">
        <v>96</v>
      </c>
      <c r="O2" s="84" t="s">
        <v>12</v>
      </c>
      <c r="P2" s="84" t="s">
        <v>129</v>
      </c>
      <c r="Q2" s="84" t="s">
        <v>131</v>
      </c>
      <c r="R2" s="84" t="s">
        <v>67</v>
      </c>
      <c r="S2" s="84" t="s">
        <v>81</v>
      </c>
      <c r="T2" s="84" t="s">
        <v>21</v>
      </c>
      <c r="U2" s="84" t="s">
        <v>4</v>
      </c>
      <c r="V2" s="86" t="s">
        <v>5</v>
      </c>
      <c r="W2" t="s">
        <v>155</v>
      </c>
      <c r="X2" s="87"/>
      <c r="Y2" s="88"/>
      <c r="Z2" s="84" t="s">
        <v>190</v>
      </c>
      <c r="AA2" s="84" t="s">
        <v>204</v>
      </c>
      <c r="AB2" s="88" t="s">
        <v>216</v>
      </c>
      <c r="AC2" s="84" t="s">
        <v>217</v>
      </c>
    </row>
    <row r="3" spans="1:29" x14ac:dyDescent="0.35">
      <c r="A3" s="84" t="s">
        <v>35</v>
      </c>
      <c r="B3" s="84" t="s">
        <v>90</v>
      </c>
      <c r="C3" s="84" t="s">
        <v>61</v>
      </c>
      <c r="D3" s="84" t="s">
        <v>22</v>
      </c>
      <c r="E3" s="84" t="s">
        <v>15</v>
      </c>
      <c r="F3" s="84" t="s">
        <v>45</v>
      </c>
      <c r="G3" s="84" t="s">
        <v>53</v>
      </c>
      <c r="H3" s="84" t="s">
        <v>106</v>
      </c>
      <c r="I3" s="84" t="s">
        <v>41</v>
      </c>
      <c r="J3" s="84" t="s">
        <v>120</v>
      </c>
      <c r="K3" s="85">
        <v>1</v>
      </c>
      <c r="L3" s="84" t="s">
        <v>99</v>
      </c>
      <c r="M3" s="84" t="s">
        <v>185</v>
      </c>
      <c r="N3" s="84" t="s">
        <v>38</v>
      </c>
      <c r="O3" s="84" t="s">
        <v>13</v>
      </c>
      <c r="P3" s="84" t="s">
        <v>130</v>
      </c>
      <c r="Q3" s="84" t="s">
        <v>95</v>
      </c>
      <c r="R3" s="84" t="s">
        <v>34</v>
      </c>
      <c r="S3" s="84" t="s">
        <v>82</v>
      </c>
      <c r="T3" s="84" t="s">
        <v>24</v>
      </c>
      <c r="V3" s="86" t="s">
        <v>1</v>
      </c>
      <c r="W3" t="s">
        <v>149</v>
      </c>
      <c r="X3" s="87"/>
      <c r="Y3" s="88"/>
      <c r="Z3" s="84" t="s">
        <v>191</v>
      </c>
      <c r="AA3" s="84" t="s">
        <v>205</v>
      </c>
      <c r="AB3" s="88" t="s">
        <v>215</v>
      </c>
      <c r="AC3" s="84" t="s">
        <v>219</v>
      </c>
    </row>
    <row r="4" spans="1:29" x14ac:dyDescent="0.35">
      <c r="A4" s="84" t="s">
        <v>33</v>
      </c>
      <c r="B4" s="84" t="s">
        <v>126</v>
      </c>
      <c r="C4" s="84" t="s">
        <v>89</v>
      </c>
      <c r="E4" s="84" t="s">
        <v>11</v>
      </c>
      <c r="G4" s="84" t="s">
        <v>49</v>
      </c>
      <c r="H4" s="84" t="s">
        <v>138</v>
      </c>
      <c r="I4" s="84" t="s">
        <v>37</v>
      </c>
      <c r="J4" s="84" t="s">
        <v>117</v>
      </c>
      <c r="K4" s="85">
        <v>2</v>
      </c>
      <c r="L4" s="84" t="s">
        <v>100</v>
      </c>
      <c r="M4" s="84" t="s">
        <v>184</v>
      </c>
      <c r="N4" s="84" t="s">
        <v>97</v>
      </c>
      <c r="O4" s="84" t="s">
        <v>64</v>
      </c>
      <c r="P4" s="84" t="s">
        <v>33</v>
      </c>
      <c r="Q4" s="84" t="s">
        <v>132</v>
      </c>
      <c r="R4" s="84" t="s">
        <v>103</v>
      </c>
      <c r="S4" s="84" t="s">
        <v>111</v>
      </c>
      <c r="W4" t="s">
        <v>156</v>
      </c>
      <c r="X4" s="87"/>
      <c r="Y4" s="88"/>
      <c r="AA4" s="87"/>
      <c r="AB4" s="88"/>
    </row>
    <row r="5" spans="1:29" x14ac:dyDescent="0.35">
      <c r="B5" s="84" t="s">
        <v>94</v>
      </c>
      <c r="C5" s="84" t="s">
        <v>60</v>
      </c>
      <c r="E5" s="84" t="s">
        <v>113</v>
      </c>
      <c r="G5" s="84" t="s">
        <v>37</v>
      </c>
      <c r="H5" s="84" t="s">
        <v>33</v>
      </c>
      <c r="I5" s="84" t="s">
        <v>33</v>
      </c>
      <c r="J5" s="84" t="s">
        <v>118</v>
      </c>
      <c r="K5" s="85">
        <v>3</v>
      </c>
      <c r="L5" s="84" t="s">
        <v>101</v>
      </c>
      <c r="M5" s="84" t="s">
        <v>202</v>
      </c>
      <c r="O5" s="84" t="s">
        <v>33</v>
      </c>
      <c r="Q5" s="84" t="s">
        <v>96</v>
      </c>
      <c r="R5" s="84" t="s">
        <v>109</v>
      </c>
      <c r="S5" s="84" t="s">
        <v>83</v>
      </c>
      <c r="W5" t="s">
        <v>157</v>
      </c>
    </row>
    <row r="6" spans="1:29" x14ac:dyDescent="0.35">
      <c r="B6" s="84" t="s">
        <v>127</v>
      </c>
      <c r="C6" s="84" t="s">
        <v>62</v>
      </c>
      <c r="E6" s="84" t="s">
        <v>114</v>
      </c>
      <c r="J6" s="84" t="s">
        <v>121</v>
      </c>
      <c r="K6" s="85">
        <v>4</v>
      </c>
      <c r="L6" s="84" t="s">
        <v>22</v>
      </c>
      <c r="M6" s="84" t="s">
        <v>218</v>
      </c>
      <c r="Q6" s="84" t="s">
        <v>74</v>
      </c>
      <c r="R6" s="84" t="s">
        <v>68</v>
      </c>
      <c r="S6" s="84" t="s">
        <v>84</v>
      </c>
      <c r="W6" t="s">
        <v>158</v>
      </c>
    </row>
    <row r="7" spans="1:29" x14ac:dyDescent="0.35">
      <c r="B7" s="84" t="s">
        <v>91</v>
      </c>
      <c r="E7" s="84" t="s">
        <v>115</v>
      </c>
      <c r="J7" s="84" t="s">
        <v>122</v>
      </c>
      <c r="K7" s="85">
        <v>5</v>
      </c>
      <c r="L7" s="84" t="s">
        <v>37</v>
      </c>
      <c r="M7" s="84" t="s">
        <v>186</v>
      </c>
      <c r="Q7" s="84" t="s">
        <v>33</v>
      </c>
      <c r="R7" s="84" t="s">
        <v>69</v>
      </c>
      <c r="S7" s="84" t="s">
        <v>171</v>
      </c>
      <c r="W7" t="s">
        <v>159</v>
      </c>
    </row>
    <row r="8" spans="1:29" x14ac:dyDescent="0.35">
      <c r="B8" s="84" t="s">
        <v>39</v>
      </c>
      <c r="E8" s="84" t="s">
        <v>116</v>
      </c>
      <c r="J8" s="84" t="s">
        <v>124</v>
      </c>
      <c r="K8" s="85">
        <v>6</v>
      </c>
      <c r="M8" s="84" t="s">
        <v>198</v>
      </c>
      <c r="R8" s="84" t="s">
        <v>70</v>
      </c>
      <c r="S8" s="84" t="s">
        <v>85</v>
      </c>
      <c r="W8" t="s">
        <v>160</v>
      </c>
    </row>
    <row r="9" spans="1:29" x14ac:dyDescent="0.35">
      <c r="B9" s="84" t="s">
        <v>36</v>
      </c>
      <c r="E9" s="84" t="s">
        <v>37</v>
      </c>
      <c r="J9" s="84" t="s">
        <v>123</v>
      </c>
      <c r="K9" s="85">
        <v>7</v>
      </c>
      <c r="M9" s="84" t="s">
        <v>183</v>
      </c>
      <c r="R9" s="84" t="s">
        <v>37</v>
      </c>
      <c r="S9" s="84" t="s">
        <v>172</v>
      </c>
      <c r="W9" t="s">
        <v>161</v>
      </c>
    </row>
    <row r="10" spans="1:29" x14ac:dyDescent="0.35">
      <c r="B10" s="84" t="s">
        <v>92</v>
      </c>
      <c r="J10" s="84" t="s">
        <v>37</v>
      </c>
      <c r="K10" s="85">
        <v>8</v>
      </c>
      <c r="M10" s="84" t="s">
        <v>220</v>
      </c>
      <c r="R10" s="84" t="s">
        <v>33</v>
      </c>
      <c r="S10" s="84" t="s">
        <v>147</v>
      </c>
      <c r="W10" t="s">
        <v>162</v>
      </c>
    </row>
    <row r="11" spans="1:29" x14ac:dyDescent="0.35">
      <c r="B11" s="84" t="s">
        <v>40</v>
      </c>
      <c r="J11" s="84" t="s">
        <v>33</v>
      </c>
      <c r="S11" s="84" t="s">
        <v>169</v>
      </c>
      <c r="W11" t="s">
        <v>163</v>
      </c>
    </row>
    <row r="12" spans="1:29" x14ac:dyDescent="0.35">
      <c r="B12" s="84" t="s">
        <v>93</v>
      </c>
      <c r="S12" s="84" t="s">
        <v>170</v>
      </c>
      <c r="W12" t="s">
        <v>164</v>
      </c>
    </row>
    <row r="13" spans="1:29" x14ac:dyDescent="0.35">
      <c r="B13" s="84" t="s">
        <v>128</v>
      </c>
      <c r="S13" s="84" t="s">
        <v>173</v>
      </c>
      <c r="W13" t="s">
        <v>124</v>
      </c>
    </row>
    <row r="14" spans="1:29" x14ac:dyDescent="0.35">
      <c r="B14" s="84" t="s">
        <v>33</v>
      </c>
      <c r="S14" s="84" t="s">
        <v>174</v>
      </c>
      <c r="W14" t="s">
        <v>121</v>
      </c>
    </row>
    <row r="15" spans="1:29" x14ac:dyDescent="0.35">
      <c r="S15" s="84" t="s">
        <v>175</v>
      </c>
      <c r="W15" t="s">
        <v>165</v>
      </c>
    </row>
    <row r="16" spans="1:29" x14ac:dyDescent="0.35">
      <c r="S16" s="84" t="s">
        <v>176</v>
      </c>
      <c r="W16" t="s">
        <v>166</v>
      </c>
    </row>
    <row r="17" spans="19:23" x14ac:dyDescent="0.35">
      <c r="S17" s="84" t="s">
        <v>177</v>
      </c>
      <c r="W17" t="s">
        <v>167</v>
      </c>
    </row>
    <row r="18" spans="19:23" x14ac:dyDescent="0.35">
      <c r="S18" s="84" t="s">
        <v>37</v>
      </c>
      <c r="W18" t="s">
        <v>168</v>
      </c>
    </row>
    <row r="19" spans="19:23" x14ac:dyDescent="0.35">
      <c r="W19" t="s">
        <v>150</v>
      </c>
    </row>
    <row r="20" spans="19:23" x14ac:dyDescent="0.35">
      <c r="W20" t="s">
        <v>151</v>
      </c>
    </row>
    <row r="40" spans="19:19" ht="27.75" x14ac:dyDescent="0.5">
      <c r="S40" s="89"/>
    </row>
  </sheetData>
  <sheetProtection selectLockedCells="1" selectUnlockedCell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NPI</vt:lpstr>
      <vt:lpstr>FIGURA DE EMBOBINADO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Cano</dc:creator>
  <cp:keywords/>
  <dc:description/>
  <cp:lastModifiedBy>González Diaz, Zandra Michel</cp:lastModifiedBy>
  <cp:lastPrinted>2023-10-09T15:45:09Z</cp:lastPrinted>
  <dcterms:created xsi:type="dcterms:W3CDTF">2020-01-09T17:10:15Z</dcterms:created>
  <dcterms:modified xsi:type="dcterms:W3CDTF">2026-01-29T15:16:33Z</dcterms:modified>
  <cp:category/>
</cp:coreProperties>
</file>