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franco\Desktop\DESTINY ENVIOS\4.-2026\FEBRERO\07.- LOAD 26-016.18.02.2026\"/>
    </mc:Choice>
  </mc:AlternateContent>
  <xr:revisionPtr revIDLastSave="0" documentId="13_ncr:1_{9A91538D-505C-4C61-8E97-7F80F81EAD94}" xr6:coauthVersionLast="47" xr6:coauthVersionMax="47" xr10:uidLastSave="{00000000-0000-0000-0000-000000000000}"/>
  <bookViews>
    <workbookView xWindow="20370" yWindow="-120" windowWidth="29040" windowHeight="15720" tabRatio="236" firstSheet="1" activeTab="1" xr2:uid="{37F0076E-A74F-4799-892F-9FE1547CE0B7}"/>
  </bookViews>
  <sheets>
    <sheet name="17 de julio sin HEB" sheetId="23" state="hidden" r:id="rId1"/>
    <sheet name="Envío" sheetId="22" r:id="rId2"/>
    <sheet name="Hoja4" sheetId="24" r:id="rId3"/>
    <sheet name="catálogo" sheetId="27" r:id="rId4"/>
    <sheet name="Hoja3" sheetId="28" r:id="rId5"/>
    <sheet name="Hoja2" sheetId="14" state="hidden" r:id="rId6"/>
    <sheet name="Hoja1" sheetId="13" state="hidden" r:id="rId7"/>
    <sheet name="Acomodo en camión Final" sheetId="6" state="hidden" r:id="rId8"/>
  </sheets>
  <definedNames>
    <definedName name="_xlnm._FilterDatabase" localSheetId="3" hidden="1">catálogo!$A$1:$I$1375</definedName>
    <definedName name="DATOS1">catálogo!$A$2:$G$1379</definedName>
    <definedName name="DATOS2">catálogo!$E$2:$H$1380</definedName>
    <definedName name="DATOS3">catálogo!$E$2:$H$1276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22" l="1"/>
  <c r="H31" i="22"/>
  <c r="G57" i="22"/>
  <c r="G56" i="22"/>
  <c r="H1267" i="27"/>
  <c r="H1268" i="27"/>
  <c r="H1269" i="27"/>
  <c r="H1270" i="27"/>
  <c r="H1271" i="27"/>
  <c r="H1272" i="27"/>
  <c r="H1273" i="27"/>
  <c r="H1274" i="27"/>
  <c r="H1275" i="27"/>
  <c r="AK45" i="22"/>
  <c r="AK47" i="22" s="1"/>
  <c r="AK40" i="22"/>
  <c r="AK31" i="22"/>
  <c r="AK49" i="22" s="1"/>
  <c r="AJ31" i="22"/>
  <c r="AJ49" i="22" s="1"/>
  <c r="AI30" i="22"/>
  <c r="AG45" i="22"/>
  <c r="AG47" i="22" s="1"/>
  <c r="AG40" i="22"/>
  <c r="AG31" i="22"/>
  <c r="AG49" i="22" s="1"/>
  <c r="AF31" i="22"/>
  <c r="AF49" i="22" s="1"/>
  <c r="AE30" i="22"/>
  <c r="H1260" i="27"/>
  <c r="H1261" i="27"/>
  <c r="H1262" i="27"/>
  <c r="H1263" i="27"/>
  <c r="H1264" i="27"/>
  <c r="H1265" i="27"/>
  <c r="H1266" i="27"/>
  <c r="H1252" i="27"/>
  <c r="H1253" i="27"/>
  <c r="H1254" i="27"/>
  <c r="H1255" i="27"/>
  <c r="H1256" i="27"/>
  <c r="H1257" i="27"/>
  <c r="H1258" i="27"/>
  <c r="H1259" i="27"/>
  <c r="AE2" i="22" s="1"/>
  <c r="AE33" i="22" s="1"/>
  <c r="AI2" i="22" l="1"/>
  <c r="AI33" i="22" s="1"/>
  <c r="AJ50" i="22"/>
  <c r="AJ51" i="22" s="1"/>
  <c r="AK51" i="22" s="1"/>
  <c r="AF50" i="22"/>
  <c r="AF51" i="22" s="1"/>
  <c r="AG51" i="22" s="1"/>
  <c r="AC45" i="22"/>
  <c r="AC47" i="22" s="1"/>
  <c r="AC40" i="22"/>
  <c r="AC31" i="22"/>
  <c r="AC49" i="22" s="1"/>
  <c r="AB31" i="22"/>
  <c r="AB49" i="22" s="1"/>
  <c r="AA30" i="22"/>
  <c r="AB50" i="22" l="1"/>
  <c r="AB51" i="22" s="1"/>
  <c r="AC51" i="22" s="1"/>
  <c r="H1246" i="27"/>
  <c r="H1247" i="27"/>
  <c r="H1248" i="27"/>
  <c r="H1249" i="27"/>
  <c r="H1250" i="27"/>
  <c r="H1251" i="27"/>
  <c r="Y45" i="22"/>
  <c r="Y47" i="22" s="1"/>
  <c r="Y40" i="22"/>
  <c r="Y31" i="22"/>
  <c r="Y49" i="22" s="1"/>
  <c r="X31" i="22"/>
  <c r="X49" i="22" s="1"/>
  <c r="W30" i="22"/>
  <c r="U45" i="22"/>
  <c r="U47" i="22" s="1"/>
  <c r="U40" i="22"/>
  <c r="U31" i="22"/>
  <c r="U49" i="22" s="1"/>
  <c r="T31" i="22"/>
  <c r="T49" i="22" s="1"/>
  <c r="S30" i="22"/>
  <c r="C56" i="22"/>
  <c r="AA2" i="22" l="1"/>
  <c r="AA33" i="22" s="1"/>
  <c r="X50" i="22"/>
  <c r="X51" i="22" s="1"/>
  <c r="Y51" i="22" s="1"/>
  <c r="T50" i="22"/>
  <c r="T51" i="22" s="1"/>
  <c r="U51" i="22" s="1"/>
  <c r="H1241" i="27"/>
  <c r="H1242" i="27"/>
  <c r="H1243" i="27"/>
  <c r="H1244" i="27"/>
  <c r="H1245" i="27"/>
  <c r="W2" i="22" l="1"/>
  <c r="W33" i="22" s="1"/>
  <c r="H1234" i="27"/>
  <c r="H1235" i="27"/>
  <c r="H1236" i="27"/>
  <c r="H1237" i="27"/>
  <c r="H1238" i="27"/>
  <c r="H1239" i="27"/>
  <c r="H1240" i="27"/>
  <c r="M40" i="22"/>
  <c r="H1228" i="27" l="1"/>
  <c r="S2" i="22" s="1"/>
  <c r="S33" i="22" s="1"/>
  <c r="H1229" i="27"/>
  <c r="H1230" i="27"/>
  <c r="H1231" i="27"/>
  <c r="H1232" i="27"/>
  <c r="H1233" i="27"/>
  <c r="H1216" i="27"/>
  <c r="H1217" i="27"/>
  <c r="H1218" i="27"/>
  <c r="H1219" i="27"/>
  <c r="H1220" i="27"/>
  <c r="H1221" i="27"/>
  <c r="H1222" i="27"/>
  <c r="H1223" i="27"/>
  <c r="H1224" i="27"/>
  <c r="H1225" i="27"/>
  <c r="H1226" i="27"/>
  <c r="H1227" i="27"/>
  <c r="H1211" i="27" l="1"/>
  <c r="H1212" i="27"/>
  <c r="H1213" i="27"/>
  <c r="H1214" i="27"/>
  <c r="H1215" i="27"/>
  <c r="Q45" i="22"/>
  <c r="Q47" i="22" s="1"/>
  <c r="Q40" i="22"/>
  <c r="Q31" i="22"/>
  <c r="Q49" i="22" s="1"/>
  <c r="P31" i="22"/>
  <c r="P49" i="22" s="1"/>
  <c r="O30" i="22"/>
  <c r="P50" i="22" l="1"/>
  <c r="P51" i="22" s="1"/>
  <c r="Q51" i="22" s="1"/>
  <c r="H1202" i="27"/>
  <c r="H1203" i="27"/>
  <c r="H1204" i="27"/>
  <c r="H1205" i="27"/>
  <c r="H1206" i="27"/>
  <c r="H1207" i="27"/>
  <c r="H1208" i="27"/>
  <c r="H1209" i="27"/>
  <c r="H1210" i="27"/>
  <c r="O2" i="22" l="1"/>
  <c r="O33" i="22" s="1"/>
  <c r="H1197" i="27"/>
  <c r="H1198" i="27"/>
  <c r="H1199" i="27"/>
  <c r="H1200" i="27"/>
  <c r="H1201" i="27"/>
  <c r="H1195" i="27" l="1"/>
  <c r="H1196" i="27"/>
  <c r="H1185" i="27" l="1"/>
  <c r="H1186" i="27"/>
  <c r="H1187" i="27"/>
  <c r="H1188" i="27"/>
  <c r="H1189" i="27"/>
  <c r="H1190" i="27"/>
  <c r="H1191" i="27"/>
  <c r="H1192" i="27"/>
  <c r="H1193" i="27"/>
  <c r="H1194" i="27"/>
  <c r="H1176" i="27" l="1"/>
  <c r="H1177" i="27"/>
  <c r="H1178" i="27"/>
  <c r="H1179" i="27"/>
  <c r="H1180" i="27"/>
  <c r="H1181" i="27"/>
  <c r="H1182" i="27"/>
  <c r="H1183" i="27"/>
  <c r="H1184" i="27"/>
  <c r="M45" i="22" l="1"/>
  <c r="M47" i="22" s="1"/>
  <c r="M31" i="22"/>
  <c r="M49" i="22" s="1"/>
  <c r="L31" i="22"/>
  <c r="L49" i="22" s="1"/>
  <c r="K30" i="22"/>
  <c r="H1174" i="27"/>
  <c r="H1175" i="27"/>
  <c r="K2" i="22" s="1"/>
  <c r="K33" i="22" s="1"/>
  <c r="L50" i="22" l="1"/>
  <c r="L51" i="22" s="1"/>
  <c r="M51" i="22" s="1"/>
  <c r="H1171" i="27"/>
  <c r="H1172" i="27"/>
  <c r="H1173" i="27"/>
  <c r="H1163" i="27"/>
  <c r="H1164" i="27"/>
  <c r="H1165" i="27"/>
  <c r="H1166" i="27"/>
  <c r="H1167" i="27"/>
  <c r="H1168" i="27"/>
  <c r="H1169" i="27"/>
  <c r="H1170" i="27"/>
  <c r="H1155" i="27"/>
  <c r="H1156" i="27"/>
  <c r="H1157" i="27"/>
  <c r="H1158" i="27"/>
  <c r="H1159" i="27"/>
  <c r="H1160" i="27"/>
  <c r="H1161" i="27"/>
  <c r="H1162" i="27"/>
  <c r="H1152" i="27"/>
  <c r="H1153" i="27"/>
  <c r="H1154" i="27"/>
  <c r="H1151" i="27"/>
  <c r="H1143" i="27"/>
  <c r="H1144" i="27"/>
  <c r="H1145" i="27"/>
  <c r="H1146" i="27"/>
  <c r="H1147" i="27"/>
  <c r="H1148" i="27"/>
  <c r="H1149" i="27"/>
  <c r="H1150" i="27"/>
  <c r="H1139" i="27"/>
  <c r="H1140" i="27"/>
  <c r="H1141" i="27"/>
  <c r="H1142" i="27"/>
  <c r="D31" i="22"/>
  <c r="C31" i="22"/>
  <c r="H1137" i="27"/>
  <c r="H1138" i="27"/>
  <c r="H1276" i="27"/>
  <c r="B30" i="22" l="1"/>
  <c r="H1130" i="27"/>
  <c r="H1131" i="27"/>
  <c r="H1132" i="27"/>
  <c r="H1133" i="27"/>
  <c r="H1134" i="27"/>
  <c r="H1135" i="27"/>
  <c r="H1136" i="27"/>
  <c r="H1123" i="27"/>
  <c r="H1124" i="27"/>
  <c r="H1125" i="27"/>
  <c r="H1126" i="27"/>
  <c r="H1127" i="27"/>
  <c r="H1128" i="27"/>
  <c r="H1129" i="27"/>
  <c r="H1118" i="27" l="1"/>
  <c r="H1119" i="27"/>
  <c r="H1120" i="27"/>
  <c r="H1121" i="27"/>
  <c r="H1122" i="27"/>
  <c r="I40" i="22" l="1"/>
  <c r="D40" i="22"/>
  <c r="H1114" i="27"/>
  <c r="H1115" i="27"/>
  <c r="H1116" i="27"/>
  <c r="H1117" i="27"/>
  <c r="H1109" i="27" l="1"/>
  <c r="H1110" i="27"/>
  <c r="H1111" i="27"/>
  <c r="H1112" i="27"/>
  <c r="H1113" i="27"/>
  <c r="H1101" i="27"/>
  <c r="H1102" i="27"/>
  <c r="H1103" i="27"/>
  <c r="H1104" i="27"/>
  <c r="H1105" i="27"/>
  <c r="H1106" i="27"/>
  <c r="H1107" i="27"/>
  <c r="H1108" i="27"/>
  <c r="H1091" i="27" l="1"/>
  <c r="H1092" i="27"/>
  <c r="H1093" i="27"/>
  <c r="H1094" i="27"/>
  <c r="H1095" i="27"/>
  <c r="H1096" i="27"/>
  <c r="H1097" i="27"/>
  <c r="H1098" i="27"/>
  <c r="H1099" i="27"/>
  <c r="H1100" i="27"/>
  <c r="H1084" i="27"/>
  <c r="H1085" i="27"/>
  <c r="H1086" i="27"/>
  <c r="H1087" i="27"/>
  <c r="H1088" i="27"/>
  <c r="H1089" i="27"/>
  <c r="H1090" i="27"/>
  <c r="H1071" i="27" l="1"/>
  <c r="H1072" i="27"/>
  <c r="H1073" i="27"/>
  <c r="H1074" i="27"/>
  <c r="H1075" i="27"/>
  <c r="H1076" i="27"/>
  <c r="H1077" i="27"/>
  <c r="H1078" i="27"/>
  <c r="H1079" i="27"/>
  <c r="H1080" i="27"/>
  <c r="H1081" i="27"/>
  <c r="H1082" i="27"/>
  <c r="H1083" i="27"/>
  <c r="H1064" i="27" l="1"/>
  <c r="H1065" i="27"/>
  <c r="H1066" i="27"/>
  <c r="H1067" i="27"/>
  <c r="H1068" i="27"/>
  <c r="H1069" i="27"/>
  <c r="H1070" i="27"/>
  <c r="H1051" i="27" l="1"/>
  <c r="H1052" i="27"/>
  <c r="H1053" i="27"/>
  <c r="H1054" i="27"/>
  <c r="H1055" i="27"/>
  <c r="H1056" i="27"/>
  <c r="H1057" i="27"/>
  <c r="H1058" i="27"/>
  <c r="H1059" i="27"/>
  <c r="H1060" i="27"/>
  <c r="H1061" i="27"/>
  <c r="H1062" i="27"/>
  <c r="H1063" i="27"/>
  <c r="D56" i="22" l="1"/>
  <c r="H1044" i="27"/>
  <c r="H1045" i="27"/>
  <c r="H1046" i="27"/>
  <c r="H1047" i="27"/>
  <c r="H1048" i="27"/>
  <c r="H1049" i="27"/>
  <c r="H1050" i="27"/>
  <c r="G30" i="22" l="1"/>
  <c r="G55" i="22" s="1"/>
  <c r="H1034" i="27"/>
  <c r="H1035" i="27"/>
  <c r="H1036" i="27"/>
  <c r="H1037" i="27"/>
  <c r="H1038" i="27"/>
  <c r="H1039" i="27"/>
  <c r="H1040" i="27"/>
  <c r="H1041" i="27"/>
  <c r="H1042" i="27"/>
  <c r="H1043" i="27"/>
  <c r="H1033" i="27"/>
  <c r="H1032" i="27"/>
  <c r="H1027" i="27" l="1"/>
  <c r="H1028" i="27"/>
  <c r="H1029" i="27"/>
  <c r="H1030" i="27"/>
  <c r="H1031" i="27"/>
  <c r="H1020" i="27" l="1"/>
  <c r="H1021" i="27"/>
  <c r="H1022" i="27"/>
  <c r="H1023" i="27"/>
  <c r="H1024" i="27"/>
  <c r="H1025" i="27"/>
  <c r="H1026" i="27"/>
  <c r="I45" i="22" l="1"/>
  <c r="I47" i="22" s="1"/>
  <c r="I49" i="22"/>
  <c r="H49" i="22"/>
  <c r="H1012" i="27"/>
  <c r="H1013" i="27"/>
  <c r="H1014" i="27"/>
  <c r="H1015" i="27"/>
  <c r="H1016" i="27"/>
  <c r="H1017" i="27"/>
  <c r="H1018" i="27"/>
  <c r="H1019" i="27"/>
  <c r="H1004" i="27"/>
  <c r="H1005" i="27"/>
  <c r="H1006" i="27"/>
  <c r="H1007" i="27"/>
  <c r="H1008" i="27"/>
  <c r="H1009" i="27"/>
  <c r="H1010" i="27"/>
  <c r="H1011" i="27"/>
  <c r="H50" i="22" l="1"/>
  <c r="H51" i="22" s="1"/>
  <c r="I51" i="22" s="1"/>
  <c r="C60" i="22" s="1"/>
  <c r="H1000" i="27"/>
  <c r="H1001" i="27"/>
  <c r="H1002" i="27"/>
  <c r="H1003" i="27"/>
  <c r="H988" i="27" l="1"/>
  <c r="H989" i="27"/>
  <c r="H990" i="27"/>
  <c r="H991" i="27"/>
  <c r="H992" i="27"/>
  <c r="H993" i="27"/>
  <c r="H994" i="27"/>
  <c r="H995" i="27"/>
  <c r="H996" i="27"/>
  <c r="H997" i="27"/>
  <c r="H998" i="27"/>
  <c r="H999" i="27"/>
  <c r="H978" i="27" l="1"/>
  <c r="H979" i="27"/>
  <c r="H980" i="27"/>
  <c r="H981" i="27"/>
  <c r="H982" i="27"/>
  <c r="H983" i="27"/>
  <c r="H984" i="27"/>
  <c r="H985" i="27"/>
  <c r="H986" i="27"/>
  <c r="H974" i="27" l="1"/>
  <c r="H975" i="27"/>
  <c r="H976" i="27"/>
  <c r="H977" i="27"/>
  <c r="H987" i="27"/>
  <c r="H969" i="27"/>
  <c r="H970" i="27"/>
  <c r="H971" i="27"/>
  <c r="H972" i="27"/>
  <c r="H973" i="27"/>
  <c r="H964" i="27"/>
  <c r="H965" i="27"/>
  <c r="H966" i="27"/>
  <c r="H967" i="27"/>
  <c r="H968" i="27"/>
  <c r="H958" i="27"/>
  <c r="H959" i="27"/>
  <c r="H960" i="27"/>
  <c r="H961" i="27"/>
  <c r="H962" i="27"/>
  <c r="H963" i="27"/>
  <c r="H947" i="27"/>
  <c r="H948" i="27"/>
  <c r="H949" i="27"/>
  <c r="H950" i="27"/>
  <c r="H951" i="27"/>
  <c r="H952" i="27"/>
  <c r="H953" i="27"/>
  <c r="H954" i="27"/>
  <c r="H955" i="27"/>
  <c r="H956" i="27"/>
  <c r="H957" i="27"/>
  <c r="H943" i="27"/>
  <c r="H944" i="27"/>
  <c r="H945" i="27"/>
  <c r="H946" i="27"/>
  <c r="H939" i="27"/>
  <c r="H940" i="27"/>
  <c r="H941" i="27"/>
  <c r="H942" i="27"/>
  <c r="H933" i="27"/>
  <c r="H934" i="27"/>
  <c r="H935" i="27"/>
  <c r="H936" i="27"/>
  <c r="H937" i="27"/>
  <c r="H930" i="27"/>
  <c r="H931" i="27"/>
  <c r="H932" i="27"/>
  <c r="H938" i="27"/>
  <c r="H926" i="27"/>
  <c r="H927" i="27"/>
  <c r="H928" i="27"/>
  <c r="H929" i="27"/>
  <c r="G2" i="22" s="1"/>
  <c r="G33" i="22" s="1"/>
  <c r="H918" i="27"/>
  <c r="H919" i="27"/>
  <c r="H920" i="27"/>
  <c r="H921" i="27"/>
  <c r="H922" i="27"/>
  <c r="H923" i="27"/>
  <c r="H924" i="27"/>
  <c r="H925" i="27"/>
  <c r="H911" i="27" l="1"/>
  <c r="H912" i="27"/>
  <c r="H913" i="27"/>
  <c r="H914" i="27"/>
  <c r="H915" i="27"/>
  <c r="H916" i="27"/>
  <c r="H917" i="27"/>
  <c r="H909" i="27" l="1"/>
  <c r="H910" i="27"/>
  <c r="H901" i="27" l="1"/>
  <c r="H902" i="27"/>
  <c r="H903" i="27"/>
  <c r="H904" i="27"/>
  <c r="H905" i="27"/>
  <c r="H906" i="27"/>
  <c r="H907" i="27"/>
  <c r="H908" i="27"/>
  <c r="H895" i="27" l="1"/>
  <c r="H896" i="27"/>
  <c r="H897" i="27"/>
  <c r="H898" i="27"/>
  <c r="H899" i="27"/>
  <c r="H900" i="27"/>
  <c r="H892" i="27" l="1"/>
  <c r="H893" i="27"/>
  <c r="H894" i="27"/>
  <c r="H888" i="27" l="1"/>
  <c r="H889" i="27"/>
  <c r="H890" i="27"/>
  <c r="H891" i="27"/>
  <c r="H887" i="27"/>
  <c r="H875" i="27" l="1"/>
  <c r="H876" i="27"/>
  <c r="H877" i="27"/>
  <c r="H878" i="27"/>
  <c r="H879" i="27"/>
  <c r="H880" i="27"/>
  <c r="H881" i="27"/>
  <c r="H882" i="27"/>
  <c r="H883" i="27"/>
  <c r="H884" i="27"/>
  <c r="H885" i="27"/>
  <c r="H886" i="27"/>
  <c r="H869" i="27" l="1"/>
  <c r="H870" i="27"/>
  <c r="H871" i="27"/>
  <c r="H872" i="27"/>
  <c r="H873" i="27"/>
  <c r="H874" i="27"/>
  <c r="H863" i="27"/>
  <c r="H864" i="27"/>
  <c r="H865" i="27"/>
  <c r="H866" i="27"/>
  <c r="H867" i="27"/>
  <c r="H868" i="27"/>
  <c r="H858" i="27"/>
  <c r="H859" i="27"/>
  <c r="H860" i="27"/>
  <c r="H861" i="27"/>
  <c r="H862" i="27"/>
  <c r="H850" i="27" l="1"/>
  <c r="H851" i="27"/>
  <c r="H852" i="27"/>
  <c r="H853" i="27"/>
  <c r="H854" i="27"/>
  <c r="H855" i="27"/>
  <c r="H856" i="27"/>
  <c r="H857" i="27"/>
  <c r="H847" i="27" l="1"/>
  <c r="H848" i="27"/>
  <c r="H849" i="27"/>
  <c r="H836" i="27" l="1"/>
  <c r="H837" i="27"/>
  <c r="H838" i="27"/>
  <c r="H839" i="27"/>
  <c r="H840" i="27"/>
  <c r="H841" i="27"/>
  <c r="H842" i="27"/>
  <c r="H843" i="27"/>
  <c r="H844" i="27"/>
  <c r="H845" i="27"/>
  <c r="H846" i="27"/>
  <c r="H829" i="27"/>
  <c r="H830" i="27"/>
  <c r="H831" i="27"/>
  <c r="H832" i="27"/>
  <c r="H833" i="27"/>
  <c r="H834" i="27"/>
  <c r="H835" i="27"/>
  <c r="H824" i="27" l="1"/>
  <c r="H825" i="27"/>
  <c r="H826" i="27"/>
  <c r="H827" i="27"/>
  <c r="H828" i="27"/>
  <c r="H822" i="27"/>
  <c r="H823" i="27"/>
  <c r="H815" i="27" l="1"/>
  <c r="H816" i="27"/>
  <c r="H817" i="27"/>
  <c r="H818" i="27"/>
  <c r="H819" i="27"/>
  <c r="H820" i="27"/>
  <c r="H821" i="27"/>
  <c r="H809" i="27" l="1"/>
  <c r="H810" i="27"/>
  <c r="H811" i="27"/>
  <c r="H812" i="27"/>
  <c r="H813" i="27"/>
  <c r="H814" i="27"/>
  <c r="H802" i="27" l="1"/>
  <c r="H803" i="27"/>
  <c r="H804" i="27"/>
  <c r="H805" i="27"/>
  <c r="H806" i="27"/>
  <c r="H807" i="27"/>
  <c r="H808" i="27"/>
  <c r="H801" i="27"/>
  <c r="H793" i="27" l="1"/>
  <c r="H794" i="27"/>
  <c r="H795" i="27"/>
  <c r="H796" i="27"/>
  <c r="H797" i="27"/>
  <c r="H798" i="27"/>
  <c r="H799" i="27"/>
  <c r="H800" i="27"/>
  <c r="H791" i="27"/>
  <c r="H792" i="27"/>
  <c r="H779" i="27" l="1"/>
  <c r="H780" i="27"/>
  <c r="H781" i="27"/>
  <c r="H782" i="27"/>
  <c r="H783" i="27"/>
  <c r="H784" i="27"/>
  <c r="H785" i="27"/>
  <c r="H786" i="27"/>
  <c r="H787" i="27"/>
  <c r="H788" i="27"/>
  <c r="H789" i="27"/>
  <c r="H790" i="27"/>
  <c r="H770" i="27" l="1"/>
  <c r="H771" i="27"/>
  <c r="H772" i="27"/>
  <c r="H773" i="27"/>
  <c r="H774" i="27"/>
  <c r="H775" i="27"/>
  <c r="H776" i="27"/>
  <c r="H777" i="27"/>
  <c r="H778" i="27"/>
  <c r="H759" i="27"/>
  <c r="H760" i="27"/>
  <c r="H761" i="27"/>
  <c r="H762" i="27"/>
  <c r="H763" i="27"/>
  <c r="H764" i="27"/>
  <c r="H765" i="27"/>
  <c r="H766" i="27"/>
  <c r="H767" i="27"/>
  <c r="H768" i="27"/>
  <c r="H769" i="27"/>
  <c r="H749" i="27" l="1"/>
  <c r="H750" i="27"/>
  <c r="H751" i="27"/>
  <c r="H752" i="27"/>
  <c r="H753" i="27"/>
  <c r="H754" i="27"/>
  <c r="H755" i="27"/>
  <c r="H756" i="27"/>
  <c r="H757" i="27"/>
  <c r="H758" i="27"/>
  <c r="H742" i="27" l="1"/>
  <c r="H743" i="27"/>
  <c r="H744" i="27"/>
  <c r="H745" i="27"/>
  <c r="H746" i="27"/>
  <c r="H747" i="27"/>
  <c r="H748" i="27"/>
  <c r="H729" i="27" l="1"/>
  <c r="H730" i="27"/>
  <c r="H731" i="27"/>
  <c r="H732" i="27"/>
  <c r="H733" i="27"/>
  <c r="H734" i="27"/>
  <c r="H735" i="27"/>
  <c r="H736" i="27"/>
  <c r="H737" i="27"/>
  <c r="H738" i="27"/>
  <c r="H739" i="27"/>
  <c r="H740" i="27"/>
  <c r="H741" i="27"/>
  <c r="H723" i="27" l="1"/>
  <c r="H724" i="27"/>
  <c r="H725" i="27"/>
  <c r="H726" i="27"/>
  <c r="H727" i="27"/>
  <c r="H721" i="27"/>
  <c r="H722" i="27"/>
  <c r="D45" i="22"/>
  <c r="D47" i="22" s="1"/>
  <c r="C55" i="22" s="1"/>
  <c r="D49" i="22"/>
  <c r="C49" i="22"/>
  <c r="C59" i="22" s="1"/>
  <c r="C57" i="22" l="1"/>
  <c r="D57" i="22" s="1"/>
  <c r="C50" i="22"/>
  <c r="C51" i="22" s="1"/>
  <c r="D51" i="22" s="1"/>
  <c r="H711" i="27" l="1"/>
  <c r="H712" i="27"/>
  <c r="H713" i="27"/>
  <c r="H714" i="27"/>
  <c r="H715" i="27"/>
  <c r="H716" i="27"/>
  <c r="H717" i="27"/>
  <c r="H718" i="27"/>
  <c r="H719" i="27"/>
  <c r="H720" i="27"/>
  <c r="H728" i="27"/>
  <c r="H702" i="27"/>
  <c r="H703" i="27"/>
  <c r="H704" i="27"/>
  <c r="H705" i="27"/>
  <c r="H706" i="27"/>
  <c r="H707" i="27"/>
  <c r="H708" i="27"/>
  <c r="H709" i="27"/>
  <c r="H710" i="27"/>
  <c r="H695" i="27"/>
  <c r="H696" i="27"/>
  <c r="H697" i="27"/>
  <c r="H698" i="27"/>
  <c r="H699" i="27"/>
  <c r="H700" i="27"/>
  <c r="H701" i="27"/>
  <c r="H689" i="27" l="1"/>
  <c r="H690" i="27"/>
  <c r="H691" i="27"/>
  <c r="H692" i="27"/>
  <c r="H693" i="27"/>
  <c r="H694" i="27"/>
  <c r="H686" i="27" l="1"/>
  <c r="H687" i="27"/>
  <c r="H688" i="27"/>
  <c r="H678" i="27" l="1"/>
  <c r="H679" i="27"/>
  <c r="H680" i="27"/>
  <c r="H681" i="27"/>
  <c r="H682" i="27"/>
  <c r="H683" i="27"/>
  <c r="H684" i="27"/>
  <c r="H685" i="27"/>
  <c r="H671" i="27" l="1"/>
  <c r="H672" i="27"/>
  <c r="H673" i="27"/>
  <c r="H674" i="27"/>
  <c r="H675" i="27"/>
  <c r="H676" i="27"/>
  <c r="H677" i="27"/>
  <c r="H659" i="27" l="1"/>
  <c r="H660" i="27"/>
  <c r="H661" i="27"/>
  <c r="H662" i="27"/>
  <c r="H663" i="27"/>
  <c r="H664" i="27"/>
  <c r="H665" i="27"/>
  <c r="H666" i="27"/>
  <c r="H667" i="27"/>
  <c r="H668" i="27"/>
  <c r="H669" i="27"/>
  <c r="H670" i="27"/>
  <c r="H657" i="27"/>
  <c r="H658" i="27"/>
  <c r="H648" i="27"/>
  <c r="H649" i="27"/>
  <c r="H650" i="27"/>
  <c r="H651" i="27"/>
  <c r="H652" i="27"/>
  <c r="H653" i="27"/>
  <c r="H654" i="27"/>
  <c r="H655" i="27"/>
  <c r="H656" i="27"/>
  <c r="H646" i="27" l="1"/>
  <c r="H647" i="27"/>
  <c r="H640" i="27" l="1"/>
  <c r="H641" i="27"/>
  <c r="H642" i="27"/>
  <c r="H643" i="27"/>
  <c r="H644" i="27"/>
  <c r="H645" i="27"/>
  <c r="H626" i="27" l="1"/>
  <c r="H627" i="27"/>
  <c r="H628" i="27"/>
  <c r="H629" i="27"/>
  <c r="H630" i="27"/>
  <c r="H631" i="27"/>
  <c r="H632" i="27"/>
  <c r="H633" i="27"/>
  <c r="H634" i="27"/>
  <c r="H635" i="27"/>
  <c r="H636" i="27"/>
  <c r="H637" i="27"/>
  <c r="H638" i="27"/>
  <c r="H639" i="27"/>
  <c r="H621" i="27" l="1"/>
  <c r="H622" i="27"/>
  <c r="H623" i="27"/>
  <c r="H624" i="27"/>
  <c r="H625" i="27"/>
  <c r="H613" i="27" l="1"/>
  <c r="H614" i="27"/>
  <c r="H615" i="27"/>
  <c r="H616" i="27"/>
  <c r="H617" i="27"/>
  <c r="H618" i="27"/>
  <c r="H619" i="27"/>
  <c r="H620" i="27"/>
  <c r="H610" i="27" l="1"/>
  <c r="H611" i="27"/>
  <c r="H612" i="27"/>
  <c r="H606" i="27" l="1"/>
  <c r="H607" i="27"/>
  <c r="H608" i="27"/>
  <c r="H609" i="27"/>
  <c r="H601" i="27"/>
  <c r="H602" i="27"/>
  <c r="H603" i="27"/>
  <c r="H604" i="27"/>
  <c r="H605" i="27"/>
  <c r="H595" i="27"/>
  <c r="H596" i="27"/>
  <c r="H597" i="27"/>
  <c r="H598" i="27"/>
  <c r="H599" i="27"/>
  <c r="H600" i="27"/>
  <c r="H594" i="27"/>
  <c r="H588" i="27"/>
  <c r="H589" i="27"/>
  <c r="H590" i="27"/>
  <c r="H591" i="27"/>
  <c r="H592" i="27"/>
  <c r="H593" i="27"/>
  <c r="H585" i="27"/>
  <c r="H586" i="27"/>
  <c r="H587" i="27"/>
  <c r="H580" i="27"/>
  <c r="H581" i="27"/>
  <c r="H582" i="27"/>
  <c r="H583" i="27"/>
  <c r="H584" i="27"/>
  <c r="H574" i="27"/>
  <c r="H575" i="27"/>
  <c r="H576" i="27"/>
  <c r="H577" i="27"/>
  <c r="H578" i="27"/>
  <c r="H579" i="27"/>
  <c r="H569" i="27" l="1"/>
  <c r="H570" i="27"/>
  <c r="H571" i="27"/>
  <c r="H572" i="27"/>
  <c r="H573" i="27"/>
  <c r="H565" i="27" l="1"/>
  <c r="H566" i="27"/>
  <c r="H567" i="27"/>
  <c r="H568" i="27"/>
  <c r="H556" i="27"/>
  <c r="H557" i="27"/>
  <c r="H558" i="27"/>
  <c r="H559" i="27"/>
  <c r="H560" i="27"/>
  <c r="H561" i="27"/>
  <c r="H562" i="27"/>
  <c r="H563" i="27"/>
  <c r="H564" i="27"/>
  <c r="H550" i="27" l="1"/>
  <c r="H551" i="27"/>
  <c r="H552" i="27"/>
  <c r="H553" i="27"/>
  <c r="H554" i="27"/>
  <c r="H555" i="27"/>
  <c r="H541" i="27" l="1"/>
  <c r="H542" i="27"/>
  <c r="H543" i="27"/>
  <c r="H544" i="27"/>
  <c r="H545" i="27"/>
  <c r="H546" i="27"/>
  <c r="H547" i="27"/>
  <c r="H548" i="27"/>
  <c r="H549" i="27"/>
  <c r="H537" i="27" l="1"/>
  <c r="H538" i="27"/>
  <c r="H539" i="27"/>
  <c r="H540" i="27"/>
  <c r="H529" i="27" l="1"/>
  <c r="H530" i="27"/>
  <c r="H531" i="27"/>
  <c r="H532" i="27"/>
  <c r="H533" i="27"/>
  <c r="H534" i="27"/>
  <c r="H535" i="27"/>
  <c r="H536" i="27"/>
  <c r="H517" i="27" l="1"/>
  <c r="H518" i="27"/>
  <c r="H519" i="27"/>
  <c r="H520" i="27"/>
  <c r="H521" i="27"/>
  <c r="H522" i="27"/>
  <c r="H523" i="27"/>
  <c r="H524" i="27"/>
  <c r="H525" i="27"/>
  <c r="H526" i="27"/>
  <c r="H527" i="27"/>
  <c r="H528" i="27"/>
  <c r="H511" i="27" l="1"/>
  <c r="H512" i="27"/>
  <c r="H513" i="27"/>
  <c r="H514" i="27"/>
  <c r="H515" i="27"/>
  <c r="H516" i="27"/>
  <c r="H501" i="27" l="1"/>
  <c r="H502" i="27"/>
  <c r="H503" i="27"/>
  <c r="H504" i="27"/>
  <c r="H505" i="27"/>
  <c r="H506" i="27"/>
  <c r="H507" i="27"/>
  <c r="H508" i="27"/>
  <c r="H509" i="27"/>
  <c r="H510" i="27"/>
  <c r="H491" i="27" l="1"/>
  <c r="H492" i="27"/>
  <c r="H493" i="27"/>
  <c r="H494" i="27"/>
  <c r="H495" i="27"/>
  <c r="H496" i="27"/>
  <c r="H497" i="27"/>
  <c r="H498" i="27"/>
  <c r="H499" i="27"/>
  <c r="H500" i="27"/>
  <c r="H484" i="27" l="1"/>
  <c r="H485" i="27"/>
  <c r="H486" i="27"/>
  <c r="H487" i="27"/>
  <c r="H488" i="27"/>
  <c r="H489" i="27"/>
  <c r="H490" i="27"/>
  <c r="H478" i="27"/>
  <c r="H479" i="27"/>
  <c r="H480" i="27"/>
  <c r="H481" i="27"/>
  <c r="H482" i="27"/>
  <c r="H483" i="27"/>
  <c r="H473" i="27" l="1"/>
  <c r="H474" i="27"/>
  <c r="H475" i="27"/>
  <c r="H476" i="27"/>
  <c r="H477" i="27"/>
  <c r="H462" i="27" l="1"/>
  <c r="H463" i="27"/>
  <c r="H464" i="27"/>
  <c r="H465" i="27"/>
  <c r="H466" i="27"/>
  <c r="H467" i="27"/>
  <c r="H468" i="27"/>
  <c r="H469" i="27"/>
  <c r="H470" i="27"/>
  <c r="H471" i="27"/>
  <c r="H472" i="27"/>
  <c r="H452" i="27" l="1"/>
  <c r="H453" i="27"/>
  <c r="H454" i="27"/>
  <c r="H455" i="27"/>
  <c r="H456" i="27"/>
  <c r="H457" i="27"/>
  <c r="H458" i="27"/>
  <c r="H459" i="27"/>
  <c r="H460" i="27"/>
  <c r="H461" i="27"/>
  <c r="H446" i="27"/>
  <c r="H447" i="27"/>
  <c r="H448" i="27"/>
  <c r="H449" i="27"/>
  <c r="H450" i="27"/>
  <c r="H451" i="27"/>
  <c r="H440" i="27"/>
  <c r="H441" i="27"/>
  <c r="H442" i="27"/>
  <c r="H443" i="27"/>
  <c r="H444" i="27"/>
  <c r="H445" i="27"/>
  <c r="H439" i="27"/>
  <c r="H438" i="27" l="1"/>
  <c r="H429" i="27" l="1"/>
  <c r="H430" i="27"/>
  <c r="H431" i="27"/>
  <c r="H432" i="27"/>
  <c r="H433" i="27"/>
  <c r="H434" i="27"/>
  <c r="H435" i="27"/>
  <c r="H436" i="27"/>
  <c r="H437" i="27"/>
  <c r="H425" i="27" l="1"/>
  <c r="H426" i="27"/>
  <c r="H427" i="27"/>
  <c r="H428" i="27"/>
  <c r="H417" i="27"/>
  <c r="H418" i="27"/>
  <c r="H419" i="27"/>
  <c r="H420" i="27"/>
  <c r="H421" i="27"/>
  <c r="H422" i="27"/>
  <c r="H423" i="27"/>
  <c r="H424" i="27"/>
  <c r="H409" i="27" l="1"/>
  <c r="H410" i="27"/>
  <c r="H411" i="27"/>
  <c r="H412" i="27"/>
  <c r="H413" i="27"/>
  <c r="H414" i="27"/>
  <c r="H415" i="27"/>
  <c r="H416" i="27"/>
  <c r="H403" i="27"/>
  <c r="H404" i="27"/>
  <c r="H405" i="27"/>
  <c r="H406" i="27"/>
  <c r="H407" i="27"/>
  <c r="H408" i="27"/>
  <c r="H391" i="27"/>
  <c r="H392" i="27"/>
  <c r="H393" i="27"/>
  <c r="H394" i="27"/>
  <c r="H395" i="27"/>
  <c r="H396" i="27"/>
  <c r="H397" i="27"/>
  <c r="H398" i="27"/>
  <c r="H399" i="27"/>
  <c r="H400" i="27"/>
  <c r="H401" i="27"/>
  <c r="H402" i="27"/>
  <c r="H388" i="27"/>
  <c r="H384" i="27"/>
  <c r="H385" i="27"/>
  <c r="H386" i="27"/>
  <c r="H387" i="27"/>
  <c r="H389" i="27"/>
  <c r="H390" i="27"/>
  <c r="H381" i="27" l="1"/>
  <c r="H382" i="27"/>
  <c r="H383" i="27"/>
  <c r="H373" i="27" l="1"/>
  <c r="H374" i="27"/>
  <c r="H375" i="27"/>
  <c r="H376" i="27"/>
  <c r="H377" i="27"/>
  <c r="H378" i="27"/>
  <c r="H379" i="27"/>
  <c r="H380" i="27"/>
  <c r="H362" i="27"/>
  <c r="H363" i="27"/>
  <c r="H364" i="27"/>
  <c r="H365" i="27"/>
  <c r="H366" i="27"/>
  <c r="H367" i="27"/>
  <c r="H368" i="27"/>
  <c r="H369" i="27"/>
  <c r="H370" i="27"/>
  <c r="H371" i="27"/>
  <c r="H372" i="27"/>
  <c r="H358" i="27"/>
  <c r="H359" i="27"/>
  <c r="H360" i="27"/>
  <c r="H361" i="27"/>
  <c r="H351" i="27" l="1"/>
  <c r="H352" i="27"/>
  <c r="H353" i="27"/>
  <c r="H354" i="27"/>
  <c r="H355" i="27"/>
  <c r="H356" i="27"/>
  <c r="H357" i="27"/>
  <c r="H343" i="27"/>
  <c r="H344" i="27"/>
  <c r="H345" i="27"/>
  <c r="H346" i="27"/>
  <c r="H347" i="27"/>
  <c r="H348" i="27"/>
  <c r="H349" i="27"/>
  <c r="H350" i="27"/>
  <c r="H333" i="27" l="1"/>
  <c r="H334" i="27"/>
  <c r="H335" i="27"/>
  <c r="H336" i="27"/>
  <c r="H337" i="27"/>
  <c r="H338" i="27"/>
  <c r="H339" i="27"/>
  <c r="H340" i="27"/>
  <c r="H341" i="27"/>
  <c r="H342" i="27"/>
  <c r="H327" i="27" l="1"/>
  <c r="H328" i="27"/>
  <c r="H329" i="27"/>
  <c r="H330" i="27"/>
  <c r="H331" i="27"/>
  <c r="H332" i="27"/>
  <c r="H317" i="27" l="1"/>
  <c r="H318" i="27"/>
  <c r="H319" i="27"/>
  <c r="H320" i="27"/>
  <c r="H321" i="27"/>
  <c r="H322" i="27"/>
  <c r="H323" i="27"/>
  <c r="H324" i="27"/>
  <c r="H325" i="27"/>
  <c r="H326" i="27"/>
  <c r="H306" i="27" l="1"/>
  <c r="H307" i="27"/>
  <c r="H308" i="27"/>
  <c r="H309" i="27"/>
  <c r="H310" i="27"/>
  <c r="H311" i="27"/>
  <c r="H312" i="27"/>
  <c r="H313" i="27"/>
  <c r="H314" i="27"/>
  <c r="H315" i="27"/>
  <c r="H316" i="27"/>
  <c r="H302" i="27"/>
  <c r="H303" i="27"/>
  <c r="H304" i="27"/>
  <c r="H305" i="27"/>
  <c r="H297" i="27" l="1"/>
  <c r="H298" i="27"/>
  <c r="B2" i="22" s="1"/>
  <c r="B33" i="22" s="1"/>
  <c r="H299" i="27"/>
  <c r="H300" i="27"/>
  <c r="H301" i="27"/>
  <c r="H296" i="27" l="1"/>
  <c r="H289" i="27" l="1"/>
  <c r="H290" i="27"/>
  <c r="H291" i="27"/>
  <c r="H292" i="27"/>
  <c r="H293" i="27"/>
  <c r="H294" i="27"/>
  <c r="H295" i="27"/>
  <c r="H282" i="27"/>
  <c r="H283" i="27"/>
  <c r="H284" i="27"/>
  <c r="H285" i="27"/>
  <c r="H286" i="27"/>
  <c r="H287" i="27"/>
  <c r="H288" i="27"/>
  <c r="H274" i="27" l="1"/>
  <c r="H275" i="27"/>
  <c r="H276" i="27"/>
  <c r="H277" i="27"/>
  <c r="H278" i="27"/>
  <c r="H279" i="27"/>
  <c r="H280" i="27"/>
  <c r="H281" i="27"/>
  <c r="H267" i="27" l="1"/>
  <c r="H268" i="27"/>
  <c r="H269" i="27"/>
  <c r="H270" i="27"/>
  <c r="H271" i="27"/>
  <c r="H272" i="27"/>
  <c r="H273" i="27"/>
  <c r="H256" i="27"/>
  <c r="H257" i="27"/>
  <c r="H258" i="27"/>
  <c r="H259" i="27"/>
  <c r="H260" i="27"/>
  <c r="H261" i="27"/>
  <c r="H262" i="27"/>
  <c r="H263" i="27"/>
  <c r="H264" i="27"/>
  <c r="H265" i="27"/>
  <c r="H266" i="27"/>
  <c r="H254" i="27"/>
  <c r="H255" i="27"/>
  <c r="H253" i="27"/>
  <c r="H247" i="27" l="1"/>
  <c r="H248" i="27"/>
  <c r="H249" i="27"/>
  <c r="H250" i="27"/>
  <c r="H251" i="27"/>
  <c r="H252" i="27"/>
  <c r="H243" i="27" l="1"/>
  <c r="H244" i="27"/>
  <c r="H245" i="27"/>
  <c r="H246" i="27"/>
  <c r="H242" i="27" l="1"/>
  <c r="H235" i="27" l="1"/>
  <c r="H236" i="27"/>
  <c r="H237" i="27"/>
  <c r="H238" i="27"/>
  <c r="H239" i="27"/>
  <c r="H240" i="27"/>
  <c r="H241" i="27"/>
  <c r="H222" i="27"/>
  <c r="H223" i="27"/>
  <c r="H224" i="27"/>
  <c r="H225" i="27"/>
  <c r="H226" i="27"/>
  <c r="H227" i="27"/>
  <c r="H228" i="27"/>
  <c r="H229" i="27"/>
  <c r="H230" i="27"/>
  <c r="H231" i="27"/>
  <c r="H232" i="27"/>
  <c r="H233" i="27"/>
  <c r="H234" i="27"/>
  <c r="H216" i="27" l="1"/>
  <c r="H217" i="27"/>
  <c r="H218" i="27"/>
  <c r="H219" i="27"/>
  <c r="H220" i="27"/>
  <c r="H221" i="27"/>
  <c r="H215" i="27" l="1"/>
  <c r="H213" i="27" l="1"/>
  <c r="H214" i="27"/>
  <c r="H212" i="27" l="1"/>
  <c r="H203" i="27"/>
  <c r="H204" i="27"/>
  <c r="H205" i="27"/>
  <c r="H206" i="27"/>
  <c r="H207" i="27"/>
  <c r="H208" i="27"/>
  <c r="H209" i="27"/>
  <c r="H210" i="27"/>
  <c r="H211" i="27"/>
  <c r="H202" i="27" l="1"/>
  <c r="H200" i="27"/>
  <c r="H201" i="27"/>
  <c r="H199" i="27"/>
  <c r="H198" i="27"/>
  <c r="H197" i="27"/>
  <c r="H192" i="27"/>
  <c r="H193" i="27"/>
  <c r="H194" i="27"/>
  <c r="H195" i="27"/>
  <c r="H196" i="27"/>
  <c r="H187" i="27"/>
  <c r="H188" i="27"/>
  <c r="H189" i="27"/>
  <c r="H190" i="27"/>
  <c r="H191" i="27"/>
  <c r="H185" i="27"/>
  <c r="H186" i="27" l="1"/>
  <c r="H184" i="27"/>
  <c r="H183" i="27"/>
  <c r="H182" i="27"/>
  <c r="H181" i="27"/>
  <c r="H180" i="27" l="1"/>
  <c r="H179" i="27"/>
  <c r="H178" i="27"/>
  <c r="H177" i="27"/>
  <c r="H176" i="27" l="1"/>
  <c r="H175" i="27"/>
  <c r="H174" i="27"/>
  <c r="H173" i="27"/>
  <c r="H172" i="27"/>
  <c r="H171" i="27"/>
  <c r="H170" i="27"/>
  <c r="H169" i="27"/>
  <c r="H168" i="27"/>
  <c r="H167" i="27"/>
  <c r="H166" i="27"/>
  <c r="H164" i="27" l="1"/>
  <c r="H159" i="27"/>
  <c r="H160" i="27"/>
  <c r="H161" i="27"/>
  <c r="H162" i="27"/>
  <c r="H163" i="27"/>
  <c r="H124" i="27" l="1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65" i="27"/>
  <c r="H123" i="27"/>
  <c r="H3" i="27" l="1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2" i="27"/>
  <c r="D33" i="24" l="1"/>
  <c r="D34" i="24" s="1"/>
  <c r="D29" i="24"/>
  <c r="D30" i="24" s="1"/>
  <c r="D35" i="24" s="1"/>
  <c r="D28" i="24"/>
  <c r="B21" i="24"/>
  <c r="D19" i="24"/>
  <c r="D37" i="24" s="1"/>
  <c r="C19" i="24"/>
  <c r="C37" i="24" s="1"/>
  <c r="C38" i="24" l="1"/>
  <c r="C39" i="24" s="1"/>
  <c r="D39" i="24" s="1"/>
  <c r="B42" i="23" l="1"/>
  <c r="B46" i="23"/>
  <c r="B45" i="23"/>
  <c r="B41" i="23"/>
  <c r="F42" i="23"/>
  <c r="AM35" i="23"/>
  <c r="AL38" i="23" s="1"/>
  <c r="AL39" i="23" s="1"/>
  <c r="AM34" i="23"/>
  <c r="AI34" i="23"/>
  <c r="K34" i="23"/>
  <c r="G34" i="23"/>
  <c r="C34" i="23"/>
  <c r="AE33" i="23"/>
  <c r="AE34" i="23" s="1"/>
  <c r="AA33" i="23"/>
  <c r="AA34" i="23" s="1"/>
  <c r="W33" i="23"/>
  <c r="W34" i="23" s="1"/>
  <c r="S33" i="23"/>
  <c r="S34" i="23" s="1"/>
  <c r="O33" i="23"/>
  <c r="O34" i="23" s="1"/>
  <c r="K33" i="23"/>
  <c r="G33" i="23"/>
  <c r="C33" i="23"/>
  <c r="AM30" i="23"/>
  <c r="AI30" i="23"/>
  <c r="AI35" i="23" s="1"/>
  <c r="AE30" i="23"/>
  <c r="AE35" i="23" s="1"/>
  <c r="AA30" i="23"/>
  <c r="W30" i="23"/>
  <c r="W35" i="23" s="1"/>
  <c r="S30" i="23"/>
  <c r="S35" i="23" s="1"/>
  <c r="AM29" i="23"/>
  <c r="AE29" i="23"/>
  <c r="AA29" i="23"/>
  <c r="W29" i="23"/>
  <c r="S29" i="23"/>
  <c r="O29" i="23"/>
  <c r="O30" i="23" s="1"/>
  <c r="K29" i="23"/>
  <c r="K30" i="23" s="1"/>
  <c r="K35" i="23" s="1"/>
  <c r="G29" i="23"/>
  <c r="G30" i="23" s="1"/>
  <c r="G35" i="23" s="1"/>
  <c r="C29" i="23"/>
  <c r="C30" i="23" s="1"/>
  <c r="C35" i="23" s="1"/>
  <c r="AM28" i="23"/>
  <c r="AI28" i="23"/>
  <c r="AE28" i="23"/>
  <c r="AA28" i="23"/>
  <c r="W28" i="23"/>
  <c r="S28" i="23"/>
  <c r="O28" i="23"/>
  <c r="K28" i="23"/>
  <c r="G28" i="23"/>
  <c r="C28" i="23"/>
  <c r="AK21" i="23"/>
  <c r="AG21" i="23"/>
  <c r="AC21" i="23"/>
  <c r="Y21" i="23"/>
  <c r="U21" i="23"/>
  <c r="Q21" i="23"/>
  <c r="M21" i="23"/>
  <c r="I21" i="23"/>
  <c r="E21" i="23"/>
  <c r="A21" i="23"/>
  <c r="AM19" i="23"/>
  <c r="AM37" i="23" s="1"/>
  <c r="AL19" i="23"/>
  <c r="AL37" i="23" s="1"/>
  <c r="AI19" i="23"/>
  <c r="AI37" i="23" s="1"/>
  <c r="AH19" i="23"/>
  <c r="AH37" i="23" s="1"/>
  <c r="AE19" i="23"/>
  <c r="AE37" i="23" s="1"/>
  <c r="AD19" i="23"/>
  <c r="AD37" i="23" s="1"/>
  <c r="AA19" i="23"/>
  <c r="AA37" i="23" s="1"/>
  <c r="Z19" i="23"/>
  <c r="Z37" i="23" s="1"/>
  <c r="W19" i="23"/>
  <c r="W37" i="23" s="1"/>
  <c r="V19" i="23"/>
  <c r="V37" i="23" s="1"/>
  <c r="S19" i="23"/>
  <c r="S37" i="23" s="1"/>
  <c r="R19" i="23"/>
  <c r="R37" i="23" s="1"/>
  <c r="O19" i="23"/>
  <c r="O37" i="23" s="1"/>
  <c r="N19" i="23"/>
  <c r="N37" i="23" s="1"/>
  <c r="K19" i="23"/>
  <c r="K37" i="23" s="1"/>
  <c r="J19" i="23"/>
  <c r="J37" i="23" s="1"/>
  <c r="G19" i="23"/>
  <c r="G37" i="23" s="1"/>
  <c r="F19" i="23"/>
  <c r="F37" i="23" s="1"/>
  <c r="C19" i="23"/>
  <c r="B19" i="23"/>
  <c r="AA35" i="23" l="1"/>
  <c r="O35" i="23"/>
  <c r="R38" i="23"/>
  <c r="R39" i="23" s="1"/>
  <c r="S39" i="23" s="1"/>
  <c r="V38" i="23"/>
  <c r="V39" i="23" s="1"/>
  <c r="W39" i="23" s="1"/>
  <c r="B43" i="23"/>
  <c r="Z38" i="23"/>
  <c r="Z39" i="23" s="1"/>
  <c r="AA39" i="23" s="1"/>
  <c r="F38" i="23"/>
  <c r="F39" i="23" s="1"/>
  <c r="G39" i="23"/>
  <c r="J38" i="23"/>
  <c r="J39" i="23" s="1"/>
  <c r="K39" i="23" s="1"/>
  <c r="AH38" i="23"/>
  <c r="AH39" i="23" s="1"/>
  <c r="AI39" i="23" s="1"/>
  <c r="N38" i="23"/>
  <c r="N39" i="23" s="1"/>
  <c r="O39" i="23" s="1"/>
  <c r="C37" i="23"/>
  <c r="B38" i="23" s="1"/>
  <c r="B39" i="23" s="1"/>
  <c r="C39" i="23" s="1"/>
  <c r="AD38" i="23"/>
  <c r="AD39" i="23" s="1"/>
  <c r="AE39" i="23" s="1"/>
  <c r="AM39" i="23"/>
  <c r="B37" i="23"/>
</calcChain>
</file>

<file path=xl/sharedStrings.xml><?xml version="1.0" encoding="utf-8"?>
<sst xmlns="http://schemas.openxmlformats.org/spreadsheetml/2006/main" count="3550" uniqueCount="1055">
  <si>
    <t>Salinas</t>
  </si>
  <si>
    <t>Bakersfield</t>
  </si>
  <si>
    <t>002-40-55032-01 Dole 23oz Romaine USA w/Zipper</t>
  </si>
  <si>
    <t>506961A MANN 3CT ROMAINE HEARTS w/ZIP</t>
  </si>
  <si>
    <t>14019188-01 FOXY 3CT ROM HEARTS 18OZ USA</t>
  </si>
  <si>
    <t>002-40-56065-02 Wild Hrvst 3ct O Rom Hrt US</t>
  </si>
  <si>
    <t>1351 Church Bros 3ct Rom Hrts - BI</t>
  </si>
  <si>
    <t>300000859 5/8OZ DOLE SLC STRAW/BAN- OUT</t>
  </si>
  <si>
    <t>300000708 5-8oz Dole Mixed Ber Bib Out</t>
  </si>
  <si>
    <t>KER-092 1LB NATURES GOLD FS</t>
  </si>
  <si>
    <t>Tarima</t>
  </si>
  <si>
    <t>Bruto</t>
  </si>
  <si>
    <t>Neto</t>
  </si>
  <si>
    <t>11 rolls</t>
  </si>
  <si>
    <t>27 boxes</t>
  </si>
  <si>
    <t>6 boxes</t>
  </si>
  <si>
    <t>SAP</t>
  </si>
  <si>
    <t>Número de Pedido</t>
  </si>
  <si>
    <t>9453 y 9461</t>
  </si>
  <si>
    <t>Release</t>
  </si>
  <si>
    <t>97044 y 97046</t>
  </si>
  <si>
    <t>Piezas x caja</t>
  </si>
  <si>
    <t>REPS POR ROLLO</t>
  </si>
  <si>
    <t>Cajas por tarima</t>
  </si>
  <si>
    <t>ROLLOS POR TARIMA</t>
  </si>
  <si>
    <t>Total piezas x tarima</t>
  </si>
  <si>
    <t xml:space="preserve">Total reps </t>
  </si>
  <si>
    <t>Total de cajas emb.</t>
  </si>
  <si>
    <t>Total de bobinas emb.</t>
  </si>
  <si>
    <t>Total piezas embar.</t>
  </si>
  <si>
    <t>Total piezas pedido</t>
  </si>
  <si>
    <t>Peso x pieza</t>
  </si>
  <si>
    <t>Precio por pieza</t>
  </si>
  <si>
    <t>Precio por millar</t>
  </si>
  <si>
    <t>Total $</t>
  </si>
  <si>
    <t xml:space="preserve">Bruto </t>
  </si>
  <si>
    <t>CE</t>
  </si>
  <si>
    <t>Valor aduana</t>
  </si>
  <si>
    <t>valor aduanal</t>
  </si>
  <si>
    <t>$ Producto</t>
  </si>
  <si>
    <t>Total Tarimas</t>
  </si>
  <si>
    <t>Flete</t>
  </si>
  <si>
    <t>Total de Cajas</t>
  </si>
  <si>
    <t>Total</t>
  </si>
  <si>
    <t>Total de bobinas</t>
  </si>
  <si>
    <t>Yuma</t>
  </si>
  <si>
    <t>3 PALLET</t>
  </si>
  <si>
    <t>5022 Church Bros 2ct Lett-Sams Club</t>
  </si>
  <si>
    <t>PO</t>
  </si>
  <si>
    <t>PRECIO</t>
  </si>
  <si>
    <t>mil</t>
  </si>
  <si>
    <t>1 PALLET</t>
  </si>
  <si>
    <t xml:space="preserve"> PEAK-001 1 Ct Heart&amp;Field Org Broccoli</t>
  </si>
  <si>
    <t>6 PALLET</t>
  </si>
  <si>
    <t>Mission Ranch Icbrg Ltt 24-USA TFM-07</t>
  </si>
  <si>
    <t>5 PALLETS AND 8 BOXES</t>
  </si>
  <si>
    <t>9503025 TFR 6Ct Rom Hrts-MEX Purple</t>
  </si>
  <si>
    <t>2 PALLETS AND 36 BOXES</t>
  </si>
  <si>
    <t>61245-12 TJ 2Ct Celery Hearts Zip</t>
  </si>
  <si>
    <t>10 PALLETS</t>
  </si>
  <si>
    <t>Bonipak 3ct Romaine Hearts Bilingual</t>
  </si>
  <si>
    <t>Nex truck</t>
  </si>
  <si>
    <t>Item #</t>
  </si>
  <si>
    <t>Item Description</t>
  </si>
  <si>
    <t>Shipped to date</t>
  </si>
  <si>
    <t>Available to ship</t>
  </si>
  <si>
    <t>Pallets Available</t>
  </si>
  <si>
    <t>Item</t>
  </si>
  <si>
    <t>Sales/CSR</t>
  </si>
  <si>
    <t>Ship to</t>
  </si>
  <si>
    <t>available</t>
  </si>
  <si>
    <t>Type</t>
  </si>
  <si>
    <t>Names</t>
  </si>
  <si>
    <t>Customer</t>
  </si>
  <si>
    <t>Location</t>
  </si>
  <si>
    <t>Number</t>
  </si>
  <si>
    <t>Bioflex</t>
  </si>
  <si>
    <t>Church Bros 2ct Lett-Sams Club</t>
  </si>
  <si>
    <t>PEAK-001 1</t>
  </si>
  <si>
    <t xml:space="preserve"> Ct Heart&amp;Field Org Broccoli</t>
  </si>
  <si>
    <t>TFM-07</t>
  </si>
  <si>
    <t xml:space="preserve">Mission Ranch Icbrg Ltt 24-USA </t>
  </si>
  <si>
    <t>TFR 6Ct Rom Hrts-MEX Purple</t>
  </si>
  <si>
    <t>5 + 8 boxes</t>
  </si>
  <si>
    <t>61245-12</t>
  </si>
  <si>
    <t>TJ 2Ct Celery Hearts Zip</t>
  </si>
  <si>
    <t>2+ 36 boxes</t>
  </si>
  <si>
    <t>BON-038</t>
  </si>
  <si>
    <t>24 pallets</t>
  </si>
  <si>
    <t>01749024 - Foxy Organic 3Ct Romaine  12oz (340gr)Bilingual, USA,Zip</t>
  </si>
  <si>
    <t>01749181 FOXY ORG 3CT ROMAINE BIL ZIP</t>
  </si>
  <si>
    <t>1314 CHURCH BROS CAULL NEW 2017</t>
  </si>
  <si>
    <t>9502994 TFR 6CT ROM HRTS USA NO ZIP</t>
  </si>
  <si>
    <t>09549007 Nature's Reward Purple Cauli</t>
  </si>
  <si>
    <t>MISSION RANCH ICEBERG LETTUCE</t>
  </si>
  <si>
    <t>PEAK-001 1 CT HEART&amp;FIELD ORG BROCCOLI</t>
  </si>
  <si>
    <t>BON-003 BONIPAK CAULIFLOWER SKU 95224</t>
  </si>
  <si>
    <t>40 BOXES</t>
  </si>
  <si>
    <t>19 boxes</t>
  </si>
  <si>
    <t>...</t>
  </si>
  <si>
    <t>[Mensaje recortado]  Ver todo el mensaje</t>
  </si>
  <si>
    <t>Tracto</t>
  </si>
  <si>
    <t>Foxy</t>
  </si>
  <si>
    <t>TJ</t>
  </si>
  <si>
    <t>TFR</t>
  </si>
  <si>
    <t>Superior</t>
  </si>
  <si>
    <t>Dole</t>
  </si>
  <si>
    <t>EBF</t>
  </si>
  <si>
    <t>Mann</t>
  </si>
  <si>
    <t>Mann resto</t>
  </si>
  <si>
    <t>Inferior</t>
  </si>
  <si>
    <t>Se carga en frontera</t>
  </si>
  <si>
    <t xml:space="preserve"> TJ 3ct Org Rom</t>
  </si>
  <si>
    <t>X</t>
  </si>
  <si>
    <t>9801158 EBF 3ct Org Rom Hrt Bag MEX</t>
  </si>
  <si>
    <t>9502038-B TFR Bilin 3ctRomHrts USA-NoZip</t>
  </si>
  <si>
    <t>6 + 11 cajas</t>
  </si>
  <si>
    <t>506957A Mann 6ct Romaine</t>
  </si>
  <si>
    <t>61245-12 TJ's 2ct Celery HRTS-ZIP</t>
  </si>
  <si>
    <t>002-00-55115-04 Dole Clean &amp; Trim Icebrg Lett</t>
  </si>
  <si>
    <t>1749036 Foxy 3ct Org Rom Biling. POM</t>
  </si>
  <si>
    <t>9800093 TJ 3ct Org Rom Hrt Bag USA</t>
  </si>
  <si>
    <t>300000869 5LB MIXED BERRIES DOLE</t>
  </si>
  <si>
    <t>9 rolls</t>
  </si>
  <si>
    <t>Reps por bobina</t>
  </si>
  <si>
    <t>Bobinas por tarima</t>
  </si>
  <si>
    <t>Total repsx tarima</t>
  </si>
  <si>
    <t>Total de rollos emb.</t>
  </si>
  <si>
    <t>Coachella</t>
  </si>
  <si>
    <t>Normal</t>
  </si>
  <si>
    <t>TFR 6ct Rom Hrts USA-Purple</t>
  </si>
  <si>
    <t>61967-12</t>
  </si>
  <si>
    <t>Church Bros 5ct Petite Romaine</t>
  </si>
  <si>
    <t>9502212-D</t>
  </si>
  <si>
    <t>TFR 6ct Rom Hrt-Costco USA</t>
  </si>
  <si>
    <t>61977-12</t>
  </si>
  <si>
    <t>7oz Protein Kick Inner</t>
  </si>
  <si>
    <t>61370-17</t>
  </si>
  <si>
    <t>T&amp;A 3Ct Jumbo Romaine SHORT</t>
  </si>
  <si>
    <t>28370944-01</t>
  </si>
  <si>
    <t>Josie's Rm Hrt 3ct 22oz Bil US</t>
  </si>
  <si>
    <t>Clr Bg 9.75X8+3.75BG+2Zip</t>
  </si>
  <si>
    <t>61973-11</t>
  </si>
  <si>
    <t>ALDI 3CT Jumbo Romaine SHORT</t>
  </si>
  <si>
    <t>TJ's 2ct Celery HRTS-ZIP</t>
  </si>
  <si>
    <t>CB 2ct Baby Romaine</t>
  </si>
  <si>
    <t>61791-11</t>
  </si>
  <si>
    <t>ALDIS 3ct RomaineJumbo WtStmnt</t>
  </si>
  <si>
    <t>ITEM</t>
  </si>
  <si>
    <t>Description</t>
  </si>
  <si>
    <t>BON-046</t>
  </si>
  <si>
    <t> 61521-13</t>
  </si>
  <si>
    <t>14019188-01</t>
  </si>
  <si>
    <t>09540992-02</t>
  </si>
  <si>
    <t>002-00-30000-04</t>
  </si>
  <si>
    <t>61822-12</t>
  </si>
  <si>
    <t> 1314</t>
  </si>
  <si>
    <t> 61639-13</t>
  </si>
  <si>
    <t>19800900-01</t>
  </si>
  <si>
    <t>002-00-53350-00</t>
  </si>
  <si>
    <t>002-10-51007-00,</t>
  </si>
  <si>
    <t>002-40-55044-00</t>
  </si>
  <si>
    <t>002-40-55045-00</t>
  </si>
  <si>
    <t>002-40-55032-01</t>
  </si>
  <si>
    <t>32840931-00</t>
  </si>
  <si>
    <t>19800956-03</t>
  </si>
  <si>
    <t> 61967-12</t>
  </si>
  <si>
    <t> 300000869</t>
  </si>
  <si>
    <t> 300001784</t>
  </si>
  <si>
    <t> 300001580</t>
  </si>
  <si>
    <t> 300001783</t>
  </si>
  <si>
    <t>CF-003-2</t>
  </si>
  <si>
    <t>5TSSAMSPP</t>
  </si>
  <si>
    <t>5KRWKT</t>
  </si>
  <si>
    <t>002-40-55018-03</t>
  </si>
  <si>
    <t>506694C</t>
  </si>
  <si>
    <t>002-40-55043-00</t>
  </si>
  <si>
    <t>LKO-01</t>
  </si>
  <si>
    <t>35020900-00</t>
  </si>
  <si>
    <t>B-360</t>
  </si>
  <si>
    <t>C2BHCNALG-A1</t>
  </si>
  <si>
    <t>002-40-56065-02</t>
  </si>
  <si>
    <t>61973-11 </t>
  </si>
  <si>
    <t>09540914-00 </t>
  </si>
  <si>
    <t> 61977-12</t>
  </si>
  <si>
    <t>CF-005</t>
  </si>
  <si>
    <t>PKG-RS3</t>
  </si>
  <si>
    <t>19800964-03</t>
  </si>
  <si>
    <t>300000910 </t>
  </si>
  <si>
    <t>300001482 </t>
  </si>
  <si>
    <t> 300001740</t>
  </si>
  <si>
    <t> CF-006</t>
  </si>
  <si>
    <t> 300002268</t>
  </si>
  <si>
    <t> 61579-14</t>
  </si>
  <si>
    <t>CF-006 </t>
  </si>
  <si>
    <t xml:space="preserve">09540914-00 </t>
  </si>
  <si>
    <t> 61973-11</t>
  </si>
  <si>
    <t> 300000728</t>
  </si>
  <si>
    <t>506961A</t>
  </si>
  <si>
    <t>19800952-01</t>
  </si>
  <si>
    <t>19800900-01 </t>
  </si>
  <si>
    <t>BON 034 -SM-SKU 95265</t>
  </si>
  <si>
    <t>506957A</t>
  </si>
  <si>
    <t>61952-11</t>
  </si>
  <si>
    <t>19800964-04</t>
  </si>
  <si>
    <t>1980-0952-01</t>
  </si>
  <si>
    <t>KER-091</t>
  </si>
  <si>
    <t>4822-1 BAG</t>
  </si>
  <si>
    <t> LKO-02</t>
  </si>
  <si>
    <t> 61370-17</t>
  </si>
  <si>
    <t>09540914-00</t>
  </si>
  <si>
    <t>002-40-55010-06</t>
  </si>
  <si>
    <t xml:space="preserve">61973-11 </t>
  </si>
  <si>
    <t>61953-11</t>
  </si>
  <si>
    <t>5ANWKT</t>
  </si>
  <si>
    <t>5TSSAMPSPP</t>
  </si>
  <si>
    <t> 61653-14</t>
  </si>
  <si>
    <t>19800975-01</t>
  </si>
  <si>
    <t>300001580 </t>
  </si>
  <si>
    <t> 300001482</t>
  </si>
  <si>
    <t> 9502994</t>
  </si>
  <si>
    <t> 300001900</t>
  </si>
  <si>
    <t>5LB SAFEWAY ORG WKT</t>
  </si>
  <si>
    <t>OM 3ct Rom Hrt USA w-Zip 18oz</t>
  </si>
  <si>
    <t>TFR 6Ct Rom Hrts MEX-Purple</t>
  </si>
  <si>
    <t>UPC PLU Cauliflower</t>
  </si>
  <si>
    <t>NATURES REWARD PURPLE CAULIFLOWER</t>
  </si>
  <si>
    <t> Ocean Mist Cauliflower</t>
  </si>
  <si>
    <t>T&amp;A 12CT Romaine Hearts</t>
  </si>
  <si>
    <t>FOXY 3CT ROMAINE</t>
  </si>
  <si>
    <t>HEB 3CT ROMAINE</t>
  </si>
  <si>
    <t>EBF Org Rom Hrt 3Ct Bag USA</t>
  </si>
  <si>
    <t>Markon 6ct Lettuce</t>
  </si>
  <si>
    <t>T&amp;A Org 3ct Rom Hrts - BI</t>
  </si>
  <si>
    <t>EBF Organic Romaine Hearts 6ct Bag-Mex -No Zip</t>
  </si>
  <si>
    <t>Church Bros Cauliflower</t>
  </si>
  <si>
    <t>T&amp;A 13’ Iceberg Lettuce</t>
  </si>
  <si>
    <t>Trader Joe's 1ct Green Cabbage</t>
  </si>
  <si>
    <t>Church Brothers Green Cabbage</t>
  </si>
  <si>
    <t>OM 3CT NOZIP BIL (DESTINY)</t>
  </si>
  <si>
    <t>Ocean Mist Romaine Hearts 3ct w/Zip</t>
  </si>
  <si>
    <t>BAG, BEET 1# TRADER JOE'S WKT</t>
  </si>
  <si>
    <t>Church Bros 3ct Rom Hrts - BI</t>
  </si>
  <si>
    <t>PEAK FRESH 3CT ROMAINE</t>
  </si>
  <si>
    <t>TFR Org Marketside Iceberg Ltt</t>
  </si>
  <si>
    <t>TJ  3ct  Org Rom Hrt   Bag USA</t>
  </si>
  <si>
    <t>Lidl 13.5: Iceberg Lettuce</t>
  </si>
  <si>
    <t>Lidl Cauliflower USA</t>
  </si>
  <si>
    <t>LIDL ORGANIC 3CT ROM HRTS USA</t>
  </si>
  <si>
    <t>LIDL 3CT ROMAINE HEARTS USA</t>
  </si>
  <si>
    <t>Dole 23oz Romaine USA w/Zippe</t>
  </si>
  <si>
    <t>Wegmans 3ct Romaine Hearts</t>
  </si>
  <si>
    <t>Sysco Romaine Hrt</t>
  </si>
  <si>
    <t>Coast Line Green Onion</t>
  </si>
  <si>
    <t>Queen Vic 3Ct Rom Hrt Zip Bil</t>
  </si>
  <si>
    <t> Hello Frsh 1Ct Broc Crown Clr</t>
  </si>
  <si>
    <t>5lb Dole CR Cubed Mango</t>
  </si>
  <si>
    <t> 5lb Mixed Berries</t>
  </si>
  <si>
    <t>5lb Dole Diced Peaches</t>
  </si>
  <si>
    <t>5lb Strawberries Dole</t>
  </si>
  <si>
    <t> 5lb Dole Sliced Peaches</t>
  </si>
  <si>
    <t>COKE FARMS ORG CAULIFLOWER</t>
  </si>
  <si>
    <t>5LB TS Sams Perfect Pair wkt</t>
  </si>
  <si>
    <t>5lb Kern Ridge FS Wkt</t>
  </si>
  <si>
    <t>Kroger 18oz Romaine Heart USA</t>
  </si>
  <si>
    <t>SMOOTHIEKIT PROTEIN 28OZ OUTERBAG</t>
  </si>
  <si>
    <t>WESTERN GAMILY 3CT ROMAINE</t>
  </si>
  <si>
    <t>TF 6CT ROMAINE COSTCO USA WITH H2R LOGO</t>
  </si>
  <si>
    <t>5lb Dole Blueberries</t>
  </si>
  <si>
    <t>Dole 3ct Rom Hrt USA - BI</t>
  </si>
  <si>
    <t>TFR 6ct Rom Hrts-COSTCO-BILIN</t>
  </si>
  <si>
    <t>4-7oz Dream with Dragon Fruit oute</t>
  </si>
  <si>
    <t>Clear Bag with Handle</t>
  </si>
  <si>
    <t>TUTTI FRUTTI PARSNIP 20LB</t>
  </si>
  <si>
    <t>7oz Dream with Dragon Fruit Inner</t>
  </si>
  <si>
    <t>7oz Banana, Mango &amp; Berries Inner</t>
  </si>
  <si>
    <t>4-7oz Dole Daily Fruit N Green  Outer</t>
  </si>
  <si>
    <t>7oz Dole Daily Fruit N Green Inner</t>
  </si>
  <si>
    <t>2LB MARKON WASH RIMM GR ONION</t>
  </si>
  <si>
    <t>2LB BOLTHOUSE FRMS CANADA FS</t>
  </si>
  <si>
    <t>5-8oz Dole slice Strawberry Banana Outer</t>
  </si>
  <si>
    <t> EBF Org Rom Hrt 3Ct Bag USA</t>
  </si>
  <si>
    <t> TFR 2HD Icebrg Lett USA-Green</t>
  </si>
  <si>
    <t>Wild Hrvst 3ct O Rom Hrt US</t>
  </si>
  <si>
    <t>8oz Ban-Man-Ber-Kiwi Inner</t>
  </si>
  <si>
    <t>TFR Org Marketside Rom Hrts US</t>
  </si>
  <si>
    <t>FOXY ORG 3CT ROMAINE</t>
  </si>
  <si>
    <t>T&amp; A 3CT JUMBO ROMAINE</t>
  </si>
  <si>
    <t>ALDI 3CT JUMBO ROMIANE SHORT</t>
  </si>
  <si>
    <t> Stock 2ct Iceberg Lettuce UPC (Destiny</t>
  </si>
  <si>
    <t>Dole 23oz Romaine USA w/Zipper</t>
  </si>
  <si>
    <t> SMOOTHIEKIT BMB 28OZOUTERBAG</t>
  </si>
  <si>
    <t> TFR 6ct Rom Hrt-Costco USA</t>
  </si>
  <si>
    <t>SYSCO ROMAINE HRT BAG CLEAR</t>
  </si>
  <si>
    <t>EBF Org Broccoli Bg USA</t>
  </si>
  <si>
    <t>COKE FARMS Org 3ct Romaine</t>
  </si>
  <si>
    <t>FRESHA SAMPLE TRIAL</t>
  </si>
  <si>
    <t> Queen Vic Lettuce 14 Bilingual</t>
  </si>
  <si>
    <t> Ocean Mist Cauliflower </t>
  </si>
  <si>
    <t>Western Family 3Ct Romaine</t>
  </si>
  <si>
    <t>OM 3ct Rom Hrt BI - NO ZIP</t>
  </si>
  <si>
    <t>5lb Dole Pineapple Chunks</t>
  </si>
  <si>
    <t> 5lb Dole Whole Strawberries</t>
  </si>
  <si>
    <t>5lb Dole Chef Ready Cuts Mango cubes</t>
  </si>
  <si>
    <t>5lb Dole Diced Strawberries</t>
  </si>
  <si>
    <t>5 lb Chef Ready Sliced  Bananas</t>
  </si>
  <si>
    <t> 5lb Dole Pineapple Cubes</t>
  </si>
  <si>
    <t>48oz Giant Eagle Blueberry</t>
  </si>
  <si>
    <t>COKE FARMS Organic Lettuce</t>
  </si>
  <si>
    <t>OM Good &amp; Gather 3ct Romaine Hearts</t>
  </si>
  <si>
    <t>4-7oz Dole Protein Kick Outer</t>
  </si>
  <si>
    <t>4-7oz Dole CS Mixed Berry Oatmeal Outer</t>
  </si>
  <si>
    <t>7oz Mixed Berry Oatmeal Inner</t>
  </si>
  <si>
    <t>Cheney Brothers Romaine Hearts 3ct</t>
  </si>
  <si>
    <t>7oz Berries n Kale Inner</t>
  </si>
  <si>
    <t>4-7oz Berries n Kale Outer</t>
  </si>
  <si>
    <t>7oz Protein Kick inner</t>
  </si>
  <si>
    <t>T&amp;A 3ct ArtsnSwt Gem-Zp  w/Hdl</t>
  </si>
  <si>
    <t>SYSCO ROMAINE HRT</t>
  </si>
  <si>
    <t>COKE FARMS ORGANIC LETTUCE</t>
  </si>
  <si>
    <t>STOCK 2CT LTT BAG UPC</t>
  </si>
  <si>
    <t> ALDI 3CT Jumbo Romaine SHORT</t>
  </si>
  <si>
    <t>STOCK 2CT LETTUCE BAG UPC</t>
  </si>
  <si>
    <t>8oz Mixed Berries Inner</t>
  </si>
  <si>
    <t>8oz Dole Sliced Straw/Ban Bib Inner.</t>
  </si>
  <si>
    <t>Coastline Green Onion POM</t>
  </si>
  <si>
    <t>Mann 3ct Romaine Hearts w/ZIP</t>
  </si>
  <si>
    <t>Hello Frsh 1Ct Brocc Crown Clr</t>
  </si>
  <si>
    <t>5LB DOLE CR SL BANANAS</t>
  </si>
  <si>
    <t>HELLO FRESH 1CT BROCCOLI CROWN CLEAR (NEW SIZE)</t>
  </si>
  <si>
    <t>Queen Vic 6ct Rom w/Heat Seal</t>
  </si>
  <si>
    <t>PEAK FRESH ROMAINE HEART</t>
  </si>
  <si>
    <t xml:space="preserve">BONIPAK 6CT ROMAINE HR TS ZIP B </t>
  </si>
  <si>
    <t xml:space="preserve">WESTERN FAMILY ECT ROMAINE </t>
  </si>
  <si>
    <t>MANN 6CT ROMAINE</t>
  </si>
  <si>
    <t>T&amp;A 2ct Baby Iceberg SUP</t>
  </si>
  <si>
    <t>ALDIS 3ct Romaine Jumbo WtStmnt</t>
  </si>
  <si>
    <t>TJ´s 2ct Celery HRTS-ZIP</t>
  </si>
  <si>
    <t>Markon 6ct Romaine Hearts</t>
  </si>
  <si>
    <t>Queen VIc Lett 14 Bilingual</t>
  </si>
  <si>
    <t>Church Bros 3ct Rom Hrts- BI</t>
  </si>
  <si>
    <t>3LB MBRS SELECTION BLUEBERRIES</t>
  </si>
  <si>
    <t>1LB MMBER SELECTR TRIPLE BER IN</t>
  </si>
  <si>
    <t>QUEEN VICTORIA 6CT ROMAINE HEARTS</t>
  </si>
  <si>
    <t>SYSCO ROMAINE  HEART BAG CLEAR</t>
  </si>
  <si>
    <t>5LB TASTEFUL SELECTIOS SAMS PERFECT PAIR WICKET (DESTINY)</t>
  </si>
  <si>
    <t>0930 OM 3CT NOZIP BIL (DESTINY)</t>
  </si>
  <si>
    <t>KERNRIDGE 2LB WICKETED</t>
  </si>
  <si>
    <t>FOXY 3CT ROM HEARTS 18OZ BIL</t>
  </si>
  <si>
    <t>5LB WEGMAN ORG WKT</t>
  </si>
  <si>
    <t>Dole 23Oz Romaine USA w/Zipper</t>
  </si>
  <si>
    <t>CHURCH BROS GREEN CABBAGE</t>
  </si>
  <si>
    <t>MARKON 6CT ROMAINE HEART</t>
  </si>
  <si>
    <t>CHURCH BROS 2CT BABY ROMAINE</t>
  </si>
  <si>
    <t>CHURCH BROS 2CT LETT-SAMS CLUB</t>
  </si>
  <si>
    <t>CHURCH BROTHERS 13.5" LETTUCE</t>
  </si>
  <si>
    <t xml:space="preserve">TJ 3CT  ORG ROM HRT BAG USA </t>
  </si>
  <si>
    <t> 11141</t>
  </si>
  <si>
    <t>01 Queen Vic 14 UPC PLU Lett US (Destiny)</t>
  </si>
  <si>
    <t>STOCK 2 CT ICEBER LETTUCE</t>
  </si>
  <si>
    <t>Dole 6ct Romaine Hrts 40oz USA</t>
  </si>
  <si>
    <t>2LB MARKON WASH/RIMM GR ONION</t>
  </si>
  <si>
    <t>TRADER JOE S 2CT CELERY HEARTS ZIP</t>
  </si>
  <si>
    <t>ALDI 3CT JUMBO ROMAINE SHORT</t>
  </si>
  <si>
    <t>KROGER 2CT ARTSN ROM SUP (DESTINY)</t>
  </si>
  <si>
    <t>5LB ALL NATURAL OIRGANIC CARROT</t>
  </si>
  <si>
    <t>5LB TS SAMS PERFECT PAIR WKT</t>
  </si>
  <si>
    <t>2LB WHOLSOME PANTRY ORG RS CF</t>
  </si>
  <si>
    <t>300002303 4/7 oz Protein Kick Outer</t>
  </si>
  <si>
    <t>300002306 4/7 oz Mixed Berry Oatmeal oute</t>
  </si>
  <si>
    <t>300002307 4/7 oz Berries´n Kale Outer</t>
  </si>
  <si>
    <t>T&amp;A 3ct Artisan Romaine-Zipper</t>
  </si>
  <si>
    <t>Queen Vic 14 UPC PLU Lett US</t>
  </si>
  <si>
    <t> KROGER 2Ct Artsn Rom SUP</t>
  </si>
  <si>
    <t>5lb Dole Diced  Peaches</t>
  </si>
  <si>
    <t>5lb Dole SL Strawberries</t>
  </si>
  <si>
    <t>4-7oz Protein Kick outer</t>
  </si>
  <si>
    <t>4-7oz Dream with Dragon Fruit outer</t>
  </si>
  <si>
    <t> 5lb Dole Sliced  Peaches</t>
  </si>
  <si>
    <t>5lb Dole CR Cubed Mango.</t>
  </si>
  <si>
    <t>5lb Dole CR Pineapple Cubed</t>
  </si>
  <si>
    <t> 5lb Dole SL Apple</t>
  </si>
  <si>
    <t>5lb Dole  Mango Chunks</t>
  </si>
  <si>
    <t>5lb Dole Mixed Berries</t>
  </si>
  <si>
    <t>STOCK 2 CT ICEBERG LETTUCE</t>
  </si>
  <si>
    <t>TFR 2HD Icebrg Lett USA-Green</t>
  </si>
  <si>
    <t>7oz Dole BERRY SPARK BIB INNER</t>
  </si>
  <si>
    <t>7OZ VITA-C POWER INNER</t>
  </si>
  <si>
    <t>7OZ ENERGY DAY INNER</t>
  </si>
  <si>
    <t>7oz Berries 'n Kale Inner</t>
  </si>
  <si>
    <t>4-7oz Dole Mix Berry Oatmeal outer</t>
  </si>
  <si>
    <t>4- 7oz Dole Berries n Kale outer</t>
  </si>
  <si>
    <t>4-7OZ DOLE BOOSTED VITA C-OUT</t>
  </si>
  <si>
    <t>4-7 OZ DOLE BERRY SPARK BIB OUTER</t>
  </si>
  <si>
    <t>4-7oz  Dole Protein Kick outer</t>
  </si>
  <si>
    <t xml:space="preserve"> Field Fresh Icbg Lettuce Bil</t>
  </si>
  <si>
    <t>48oz Giant Eagle Triple Family Size</t>
  </si>
  <si>
    <t>6lb Dole Mixed Fruit</t>
  </si>
  <si>
    <t>5LB CHEF READY CUBED MANGO</t>
  </si>
  <si>
    <t>DESCRIPCION</t>
  </si>
  <si>
    <t>62021-11</t>
  </si>
  <si>
    <t>T&amp;A 6CT ROM HRTS NT WT ST (DESTINY)</t>
  </si>
  <si>
    <t>Church Bross 2ct Lett-Sams Club</t>
  </si>
  <si>
    <t>GIANT EAGLE 2Ct Atsn Rom SUP</t>
  </si>
  <si>
    <t>NEW COKE FARM 25#</t>
  </si>
  <si>
    <t>1LB WHOLESOME PANTRY ORG RS CF (DESTINY)</t>
  </si>
  <si>
    <t>2LB PRESIDENTS CHOICE ORG CAN</t>
  </si>
  <si>
    <t>5-8 OZ DOLE MANGO CHUNKS OUTER</t>
  </si>
  <si>
    <t>8OZ DOLE MANGO CHUNK INNER</t>
  </si>
  <si>
    <t>T&amp;A 3CT  JUMBO ROMAINE SHORT</t>
  </si>
  <si>
    <t>T&amp;A 3CT JUMBO ROMAINE SHORT</t>
  </si>
  <si>
    <t>5LB SAFEWAY SIGNATURE FARMS WK (DESTINY)</t>
  </si>
  <si>
    <t>8oz Dole Slice Strawberry - Banana outer.</t>
  </si>
  <si>
    <t>Boskovich 2lb Grn Onion 350 OTR</t>
  </si>
  <si>
    <t>5lb Dole Mango Chunks</t>
  </si>
  <si>
    <t>4-7OZ DOLE BSTD ENERGIZE-OUT</t>
  </si>
  <si>
    <t>4-7oz Dole Banana Mango Berry Bib outer</t>
  </si>
  <si>
    <t>8oz Dole Slice Strawberry - Banana</t>
  </si>
  <si>
    <t>5lb Member Select wh Strawberry</t>
  </si>
  <si>
    <t>EBF OrgCeleryHrts Flip Bag USA</t>
  </si>
  <si>
    <t>5LB WEGMANS ORG WKT</t>
  </si>
  <si>
    <t>4/7oz Dream/Dragon FRT OUTER</t>
  </si>
  <si>
    <t>CHURCH BROS 3CT ROMAINE</t>
  </si>
  <si>
    <t>2LB WHOLSOME PANTRY ORG RS CF (DESTINY)</t>
  </si>
  <si>
    <t>61791-11 </t>
  </si>
  <si>
    <t>CF-002</t>
  </si>
  <si>
    <t>61955-11</t>
  </si>
  <si>
    <t> 9801224</t>
  </si>
  <si>
    <t>97886-1</t>
  </si>
  <si>
    <t xml:space="preserve">61370-17 </t>
  </si>
  <si>
    <t>109124-1</t>
  </si>
  <si>
    <t>300000859 5</t>
  </si>
  <si>
    <t>B-85B</t>
  </si>
  <si>
    <t> 300001901</t>
  </si>
  <si>
    <t>300002305 </t>
  </si>
  <si>
    <t> 9801608</t>
  </si>
  <si>
    <t>94822-1</t>
  </si>
  <si>
    <t xml:space="preserve"> GOODNGATHER 3CT</t>
  </si>
  <si>
    <t>0932</t>
  </si>
  <si>
    <t>5CCBPW2</t>
  </si>
  <si>
    <t>5lb Costco Creamers Sunburst Sunburst</t>
  </si>
  <si>
    <t>48oz Giant Eagle SL Strawberry</t>
  </si>
  <si>
    <t xml:space="preserve"> 48OZ GIANT EAGLE BLUEBERRY (DESTINY)</t>
  </si>
  <si>
    <t xml:space="preserve"> 48OZ GIANT EAGLE TRIPLE BERRIES (DESTINY)</t>
  </si>
  <si>
    <t xml:space="preserve"> 5LB TASTEFUL SELECTIOS SAMS PERFECT PAIR WICKET (DESTINY)</t>
  </si>
  <si>
    <t>BAG, 12OZ WEGMANS PETITE MW ORG</t>
  </si>
  <si>
    <t>BAG 12OZ PUBLIX MW LAM PERF´D</t>
  </si>
  <si>
    <t>6LB DOLE MIXED FRUIT</t>
  </si>
  <si>
    <t xml:space="preserve"> 5LB DOLE MIXED FRUIT</t>
  </si>
  <si>
    <t xml:space="preserve"> 5LB DOLE MIXED BERRIES</t>
  </si>
  <si>
    <t xml:space="preserve"> 5LB CHEF READY CUBED MANGO</t>
  </si>
  <si>
    <t>EBF ORGANIC CELERY SLEEVE - USA</t>
  </si>
  <si>
    <t>EBF ORG CELERY HRTS BAG USA (DESTINY)</t>
  </si>
  <si>
    <t>F2102</t>
  </si>
  <si>
    <t>Field Frsh Farm 3CT Romaine</t>
  </si>
  <si>
    <t>4090OM</t>
  </si>
  <si>
    <t>WEGMAN 3CT ROMAINE</t>
  </si>
  <si>
    <t>DOLE 23OZ ROMAINE USA WZIP</t>
  </si>
  <si>
    <t>FOXY ORGANIC ROMAINE 3CT BILLINGUAL POM</t>
  </si>
  <si>
    <t>4962N</t>
  </si>
  <si>
    <t>OM LETTUCE BAG 13IN</t>
  </si>
  <si>
    <t>002-10-51007-00</t>
  </si>
  <si>
    <t xml:space="preserve"> LIDL CAULIFLOWER USA</t>
  </si>
  <si>
    <t xml:space="preserve"> 48OZ GIANT EAGLE MIXED FRUIT (DESTINY)</t>
  </si>
  <si>
    <t>002-40-55044-01</t>
  </si>
  <si>
    <t>LIDL ORG 3CT ROM USA W/ZIP</t>
  </si>
  <si>
    <t>EBF ORGANIC CAULIFLOWER BAG - USA (DESTINY)</t>
  </si>
  <si>
    <t>TRADER JOE'S 1CT CABBAGE</t>
  </si>
  <si>
    <t>F2103</t>
  </si>
  <si>
    <t>Field Frsh Farm Cauli Wrap</t>
  </si>
  <si>
    <t> F2101</t>
  </si>
  <si>
    <t>Field Fresh Icbg Lettuce Bil</t>
  </si>
  <si>
    <t>Mann 6ct Romaine</t>
  </si>
  <si>
    <t>61559-16</t>
  </si>
  <si>
    <t>ALDIS Broccoli Crowns-ANTIFOG</t>
  </si>
  <si>
    <t>61952-12</t>
  </si>
  <si>
    <t>01749036</t>
  </si>
  <si>
    <t>Foxy 3ct Org Rom Biling. POM</t>
  </si>
  <si>
    <t>DMF-01</t>
  </si>
  <si>
    <t>GE ROMAINE HRTS 3CT</t>
  </si>
  <si>
    <t>59953</t>
  </si>
  <si>
    <t xml:space="preserve"> BAG , 10# , GF, HP (DESTINY)</t>
  </si>
  <si>
    <t xml:space="preserve">B-85 </t>
  </si>
  <si>
    <t>BOSKOVICH 2LB GREEN ONION</t>
  </si>
  <si>
    <t>121807</t>
  </si>
  <si>
    <t xml:space="preserve"> BAG 12 OZ TARGET MW ORG PERF (DESTINY)</t>
  </si>
  <si>
    <t>300001581</t>
  </si>
  <si>
    <t>5LB DOLE DICED STRAWBERRIES</t>
  </si>
  <si>
    <t>33625</t>
  </si>
  <si>
    <t xml:space="preserve"> BAG 12OZ PUBLIX MW LAM PERF'D (DESTINY)</t>
  </si>
  <si>
    <t>11773</t>
  </si>
  <si>
    <t>11637</t>
  </si>
  <si>
    <t>0958</t>
  </si>
  <si>
    <t>121799</t>
  </si>
  <si>
    <t>55112</t>
  </si>
  <si>
    <t>92194</t>
  </si>
  <si>
    <t>Kroger's Artisan Baby Iceberg</t>
  </si>
  <si>
    <t>QueenVic 3Ct Rom Hrt Zip Bil</t>
  </si>
  <si>
    <t>OM Good&amp;Gather 3ct Rom Hrts US</t>
  </si>
  <si>
    <t>OM 3ct Rom Hrt USA w/Zip 18oz</t>
  </si>
  <si>
    <t>BAG, 12OZ, TARGET, MW ORG PERF</t>
  </si>
  <si>
    <t>BAG 12OZ TARGET MW PERF'D</t>
  </si>
  <si>
    <t>BAG, 12OZ, GF, MW, TRI PERF'D</t>
  </si>
  <si>
    <t>BAG, 12OZ SAFEWAY SIGN MW PERF</t>
  </si>
  <si>
    <t>Oceanmist 13" Lettuce Bag</t>
  </si>
  <si>
    <t>300001783</t>
  </si>
  <si>
    <t>5LB SLICED PEACHES FROZEN</t>
  </si>
  <si>
    <t>300000839</t>
  </si>
  <si>
    <t>5LB BLUEBERRIES DOLE</t>
  </si>
  <si>
    <t>9502994</t>
  </si>
  <si>
    <t>Piezas por caja</t>
  </si>
  <si>
    <t>Total  piezas x tarima</t>
  </si>
  <si>
    <t>0930N</t>
  </si>
  <si>
    <t>0922</t>
  </si>
  <si>
    <t>OCEAN MST UPC/PLU CAULIFLOWER</t>
  </si>
  <si>
    <t>C3BFCNALG-A1</t>
  </si>
  <si>
    <t>3LB BOLTHOUSE FRESH CAN A/B</t>
  </si>
  <si>
    <t>61653-15</t>
  </si>
  <si>
    <t>9801224-OBSOLETE</t>
  </si>
  <si>
    <t>OZUNA-001</t>
  </si>
  <si>
    <t>Ozuna Ext. Shup Tortilla bag</t>
  </si>
  <si>
    <t>EBF OrgCeleryHrts Bag USA</t>
  </si>
  <si>
    <t>0921M</t>
  </si>
  <si>
    <t>Ocean Mist Cauliflower POM</t>
  </si>
  <si>
    <t>13" UPC/PLU CLR IcebergLett OM</t>
  </si>
  <si>
    <t>61182-20</t>
  </si>
  <si>
    <t>T&amp;A Cauliflower-Bilingual</t>
  </si>
  <si>
    <t>C1BFCNALG-A1</t>
  </si>
  <si>
    <t>1LB BOLTHOUSE FRESH CAN FS A/B</t>
  </si>
  <si>
    <t>61186-19</t>
  </si>
  <si>
    <t>T&amp;A Celery Sleeve 30's USA-Bil</t>
  </si>
  <si>
    <t>40040956</t>
  </si>
  <si>
    <t>SYSCO ROMAINE HEART BAG CLEAR</t>
  </si>
  <si>
    <t>61195-18</t>
  </si>
  <si>
    <t>T&amp;A Celery Stalk Sleeves 24's</t>
  </si>
  <si>
    <t>002-10-50130-05</t>
  </si>
  <si>
    <t>Dole Cauliflower-Canada</t>
  </si>
  <si>
    <t>002-00-53348-02</t>
  </si>
  <si>
    <t>Dole Canadian 13.5" Lettuce</t>
  </si>
  <si>
    <t>002-40-56047-01</t>
  </si>
  <si>
    <t>DOLE 4CT ARTICHOKE MEXICO</t>
  </si>
  <si>
    <t>9801899</t>
  </si>
  <si>
    <t>Marketside 12oz Rom Hearts USA</t>
  </si>
  <si>
    <t>1351</t>
  </si>
  <si>
    <t>22108</t>
  </si>
  <si>
    <t>21685</t>
  </si>
  <si>
    <t>21923</t>
  </si>
  <si>
    <t>21975</t>
  </si>
  <si>
    <t>C2BBALG-A4</t>
  </si>
  <si>
    <t>2LB BRENDA BELLE FARMS AUTOBAG</t>
  </si>
  <si>
    <t>Georgia</t>
  </si>
  <si>
    <t>9801895</t>
  </si>
  <si>
    <t>EBF Org Romaine Hrts 3ct - POM</t>
  </si>
  <si>
    <t>4090</t>
  </si>
  <si>
    <t>4960</t>
  </si>
  <si>
    <t>KER-092</t>
  </si>
  <si>
    <t>1LB NATURES GOLD FS</t>
  </si>
  <si>
    <t>1318</t>
  </si>
  <si>
    <t>300000908</t>
  </si>
  <si>
    <t>5LB SLICED APPLES DOLE</t>
  </si>
  <si>
    <t>9801863</t>
  </si>
  <si>
    <t>002-40-55033-01</t>
  </si>
  <si>
    <t>Dole 23oz Romaine Hearts Mex</t>
  </si>
  <si>
    <t>T&amp;A 6Ct Rom Hrts Nt Wt St</t>
  </si>
  <si>
    <t>9801927</t>
  </si>
  <si>
    <t>Marketside 3ct Rom. Heart POM</t>
  </si>
  <si>
    <t>1314</t>
  </si>
  <si>
    <t>002-20-10032-00</t>
  </si>
  <si>
    <t>Dole 1lb Broccoli Crowns AZ ID</t>
  </si>
  <si>
    <t>9801908</t>
  </si>
  <si>
    <t>TFR Org Marketside Broccoli</t>
  </si>
  <si>
    <t>C5BFCNLA-A1</t>
  </si>
  <si>
    <t>5LB BOLTHOUSE FRESH CAN FS A/B</t>
  </si>
  <si>
    <t>300000911</t>
  </si>
  <si>
    <t>5LB RED TART CHERRIES DOLE</t>
  </si>
  <si>
    <t>KER-1FSWKT</t>
  </si>
  <si>
    <t>1LB FIRST STREET CRT WKT</t>
  </si>
  <si>
    <t>54972</t>
  </si>
  <si>
    <t>BAG, 2# KROGER, RS</t>
  </si>
  <si>
    <t>Markon 3ct Romaine Hearts</t>
  </si>
  <si>
    <t>002-40-56068-02</t>
  </si>
  <si>
    <t>Wild Hrvst 3ct O Rom Hrt MX</t>
  </si>
  <si>
    <t>KROGER 2Ct Artsn Rom SUP</t>
  </si>
  <si>
    <t>0958M</t>
  </si>
  <si>
    <t>OM 3ct Rom Hrt BIL Zip 1 POM</t>
  </si>
  <si>
    <t>0930M</t>
  </si>
  <si>
    <t>OM 3ct Rom Hearts BI NoZip POM</t>
  </si>
  <si>
    <t>9503025</t>
  </si>
  <si>
    <t>Western Family 3ct Romaine</t>
  </si>
  <si>
    <t>61769-11</t>
  </si>
  <si>
    <t>T&amp;A Org Cauliflower USA</t>
  </si>
  <si>
    <t>002-00-80005-01</t>
  </si>
  <si>
    <t>13.5" KING SIZE LETTUCE</t>
  </si>
  <si>
    <t>KER-089</t>
  </si>
  <si>
    <t>1 LB Kern Ridge WKT Long 7x16</t>
  </si>
  <si>
    <t>1580</t>
  </si>
  <si>
    <t>C5NPROLA-A4</t>
  </si>
  <si>
    <t>5LB NAT PROM ORG LONG AB CELLO</t>
  </si>
  <si>
    <t>9801910</t>
  </si>
  <si>
    <t>Marketside Org Cauliflower USA</t>
  </si>
  <si>
    <t>61837-11</t>
  </si>
  <si>
    <t>T&amp;A Org Broccoli Bunch USA</t>
  </si>
  <si>
    <t>5CALOSBPW-1</t>
  </si>
  <si>
    <t>5lb Cal O Sunburst Poly Wicket</t>
  </si>
  <si>
    <t>506967A</t>
  </si>
  <si>
    <t>Mann Broccoli w/Vents-Anti-fog</t>
  </si>
  <si>
    <t>9801902</t>
  </si>
  <si>
    <t>TFRCOSTCO USA 6Ct Romaine Hrts</t>
  </si>
  <si>
    <t>2LB KERN RIDGE FS WKT</t>
  </si>
  <si>
    <t>BAG, 2#, KROGER, RS</t>
  </si>
  <si>
    <t>C2BFCNOALG-A1</t>
  </si>
  <si>
    <t>2LB BOLTHOUSE FRESH ORG FS CAN</t>
  </si>
  <si>
    <t>C1NPROALG-B4</t>
  </si>
  <si>
    <t>1LB NATURES PROMISE ORGANIC</t>
  </si>
  <si>
    <t>300002304</t>
  </si>
  <si>
    <t>4/7oz Dream /Dragon FRT OUTER</t>
  </si>
  <si>
    <t>300000859</t>
  </si>
  <si>
    <t>5/8OZ DOLE SLC STRAW/BAN- OUT</t>
  </si>
  <si>
    <t>9801906</t>
  </si>
  <si>
    <t>TFR 6ct Romaine USA PURPLE</t>
  </si>
  <si>
    <t>60174-11</t>
  </si>
  <si>
    <t>T&amp;A UPC/PLU Cauliflower</t>
  </si>
  <si>
    <t>01749024</t>
  </si>
  <si>
    <t>Foxy Org 3ct Rom Hrt 12oz Bil</t>
  </si>
  <si>
    <t>TFR COSTCO 6Ct Rom Hrts USA</t>
  </si>
  <si>
    <t>9502890</t>
  </si>
  <si>
    <t>TFR Bilin 3ctRomHrt USA-NoZip</t>
  </si>
  <si>
    <t>150267</t>
  </si>
  <si>
    <t>BAG, 1#, OUR FAMILY, RS</t>
  </si>
  <si>
    <t>C2STOALG-A3</t>
  </si>
  <si>
    <t>2LB SIMPLE TRUTH ORG CELLO A/B</t>
  </si>
  <si>
    <t>Hello Frsh 1Ct Broc Crown Clr</t>
  </si>
  <si>
    <t>9801864</t>
  </si>
  <si>
    <t>EBF Org Cauliflower Bag USA</t>
  </si>
  <si>
    <t>1586</t>
  </si>
  <si>
    <t>Cheney Bros Romaine Hrts 3Ct</t>
  </si>
  <si>
    <t>22120</t>
  </si>
  <si>
    <t>506923A</t>
  </si>
  <si>
    <t>Mann SS Cauliflower</t>
  </si>
  <si>
    <t>Peak 3ct Rom Zip 22oz (624g)</t>
  </si>
  <si>
    <t>C2WEGRAINOALG-A1</t>
  </si>
  <si>
    <t>2LB WEGMANS ORG RAINBOW CRTS</t>
  </si>
  <si>
    <t>KER-5FSWKT</t>
  </si>
  <si>
    <t>5LB FIRST STREET CRT WKT</t>
  </si>
  <si>
    <t>9801865</t>
  </si>
  <si>
    <t>KER-2FSWKT</t>
  </si>
  <si>
    <t>2LB FIRST STREET CRT WKT</t>
  </si>
  <si>
    <t>300001482</t>
  </si>
  <si>
    <t>5LB CR CUBED MANGO DOLE</t>
  </si>
  <si>
    <t>300002267</t>
  </si>
  <si>
    <t>7oz Dole DAILY FRT N GRN INNER</t>
  </si>
  <si>
    <t>5019</t>
  </si>
  <si>
    <t>23491</t>
  </si>
  <si>
    <t>0921N</t>
  </si>
  <si>
    <t>Ocean Mist Cauliflower USA</t>
  </si>
  <si>
    <t>1350</t>
  </si>
  <si>
    <t>Church Bros Lett</t>
  </si>
  <si>
    <t>86881-1</t>
  </si>
  <si>
    <t>BAG, 12OZ WEGMANS PETITE MW OR</t>
  </si>
  <si>
    <t>17.90</t>
  </si>
  <si>
    <t>Boskovich 2lb Grn Onion 350OTR</t>
  </si>
  <si>
    <t>2LB MARKON WASH/ RIMM GR ONION</t>
  </si>
  <si>
    <t>C5NBOLA-A6</t>
  </si>
  <si>
    <t>5LB NATURES BASKET ORG LONG AB</t>
  </si>
  <si>
    <t>300001782</t>
  </si>
  <si>
    <t>5LB DOLE MIXED FRUIT</t>
  </si>
  <si>
    <t>22976</t>
  </si>
  <si>
    <t>23228</t>
  </si>
  <si>
    <t>23313</t>
  </si>
  <si>
    <t>22904</t>
  </si>
  <si>
    <t>23311</t>
  </si>
  <si>
    <t>23175</t>
  </si>
  <si>
    <t>EBF Org Rom Hrts 3ct - POM</t>
  </si>
  <si>
    <t>14010980-00</t>
  </si>
  <si>
    <t>WEIS FRESH FROM THE FIELD CAULIFLOWER</t>
  </si>
  <si>
    <t>39.86</t>
  </si>
  <si>
    <t>20.24</t>
  </si>
  <si>
    <t>22511</t>
  </si>
  <si>
    <t>22815</t>
  </si>
  <si>
    <t>23128</t>
  </si>
  <si>
    <t>23828</t>
  </si>
  <si>
    <t>23909</t>
  </si>
  <si>
    <t>75.91</t>
  </si>
  <si>
    <t>15.77</t>
  </si>
  <si>
    <t>31.41</t>
  </si>
  <si>
    <t>41.99</t>
  </si>
  <si>
    <t>9801950</t>
  </si>
  <si>
    <t>TFR COSTCO 5Ct Petite Romaine</t>
  </si>
  <si>
    <t>19800984-00</t>
  </si>
  <si>
    <t>QVIC Baby Rom 2Ct Pouch Bg USA</t>
  </si>
  <si>
    <t>9801921</t>
  </si>
  <si>
    <t>5TSSBOPW</t>
  </si>
  <si>
    <t>5lb TS Sunburst Org Creamers</t>
  </si>
  <si>
    <t xml:space="preserve"> SIMPLE TRUTH CAULIFLOWER USA (DESTINY)</t>
  </si>
  <si>
    <t>300002358</t>
  </si>
  <si>
    <t>POLY 48OZ GIANT EAGLE SL STRAW</t>
  </si>
  <si>
    <t>23173</t>
  </si>
  <si>
    <t>48.64</t>
  </si>
  <si>
    <t>21992</t>
  </si>
  <si>
    <t>22921</t>
  </si>
  <si>
    <t>23678</t>
  </si>
  <si>
    <t>23852</t>
  </si>
  <si>
    <t>44.71</t>
  </si>
  <si>
    <t>9801900</t>
  </si>
  <si>
    <t>TJ 3ct Org Rom Heart Bag - USA</t>
  </si>
  <si>
    <t>9801975</t>
  </si>
  <si>
    <t>Good &amp; Gather 3Ct Org Rom USA</t>
  </si>
  <si>
    <t>23229</t>
  </si>
  <si>
    <t>20.50</t>
  </si>
  <si>
    <t>09549007</t>
  </si>
  <si>
    <t>Nature's Reward Purple Cauli</t>
  </si>
  <si>
    <t>23903</t>
  </si>
  <si>
    <t>23812</t>
  </si>
  <si>
    <t>23816</t>
  </si>
  <si>
    <t>17.81</t>
  </si>
  <si>
    <t>18</t>
  </si>
  <si>
    <t>300002360</t>
  </si>
  <si>
    <t>POLY 48OZ GIANT EAGLE TRIPLE B</t>
  </si>
  <si>
    <t>150268</t>
  </si>
  <si>
    <t>BAG, 2#, OUR FAMILY, RS</t>
  </si>
  <si>
    <t>23814</t>
  </si>
  <si>
    <t>23803</t>
  </si>
  <si>
    <t>23811</t>
  </si>
  <si>
    <t>23829</t>
  </si>
  <si>
    <t>1579</t>
  </si>
  <si>
    <t>CB 2Ct Baby Romaine</t>
  </si>
  <si>
    <t>5022</t>
  </si>
  <si>
    <t>40</t>
  </si>
  <si>
    <t>70.10</t>
  </si>
  <si>
    <t>38.50</t>
  </si>
  <si>
    <t>24099</t>
  </si>
  <si>
    <t>20.08</t>
  </si>
  <si>
    <t>C2NPROALG-A2</t>
  </si>
  <si>
    <t>2LB NATURE'S PROMISE ORG CRTS</t>
  </si>
  <si>
    <t>150269</t>
  </si>
  <si>
    <t>BAG, 3#, OUR FAMILY, WKT</t>
  </si>
  <si>
    <t>4150</t>
  </si>
  <si>
    <t>Trader Joes Broccoli Crown USA</t>
  </si>
  <si>
    <t>24275</t>
  </si>
  <si>
    <t>23.79</t>
  </si>
  <si>
    <t>1320</t>
  </si>
  <si>
    <t>Marketside Org Broccoli</t>
  </si>
  <si>
    <t>9801905</t>
  </si>
  <si>
    <t>TFR 2ct Iceberg Lett USA GREEN</t>
  </si>
  <si>
    <t>BAG, 10#, GF, HP</t>
  </si>
  <si>
    <t>002-00-55115-04</t>
  </si>
  <si>
    <t>Dole Clean &amp; Trim Icebrg Lett</t>
  </si>
  <si>
    <t>23810</t>
  </si>
  <si>
    <t>24212</t>
  </si>
  <si>
    <t>23962</t>
  </si>
  <si>
    <t>23949</t>
  </si>
  <si>
    <t>24153</t>
  </si>
  <si>
    <t>C2GEALG-A3</t>
  </si>
  <si>
    <t>2LB GIANT EAGLE CRT CELLO AUTO</t>
  </si>
  <si>
    <t>22.56</t>
  </si>
  <si>
    <t>20.080</t>
  </si>
  <si>
    <t>40.010</t>
  </si>
  <si>
    <t>23.98</t>
  </si>
  <si>
    <t>38.35</t>
  </si>
  <si>
    <t>21.88</t>
  </si>
  <si>
    <t>5lb TS Sams Perfect Pair Wkt</t>
  </si>
  <si>
    <t>300001585</t>
  </si>
  <si>
    <t>300000905</t>
  </si>
  <si>
    <t>5lb DL Whole Blackber Zarzamor</t>
  </si>
  <si>
    <t>300000867</t>
  </si>
  <si>
    <t>5LB MANGO CHUNKS DOLE</t>
  </si>
  <si>
    <t>300002362</t>
  </si>
  <si>
    <t>48OZ GIANT EAGLE BLU BRY FAM</t>
  </si>
  <si>
    <t>300002258</t>
  </si>
  <si>
    <t>4-7OZ DOLE DAILY FRT n GRN OUT</t>
  </si>
  <si>
    <t>Simple Truth Cauliflower USA</t>
  </si>
  <si>
    <t>Coke Farms Organic Cauli</t>
  </si>
  <si>
    <t>24289</t>
  </si>
  <si>
    <t>48.32</t>
  </si>
  <si>
    <t>24231</t>
  </si>
  <si>
    <t>19.43</t>
  </si>
  <si>
    <t>23948</t>
  </si>
  <si>
    <t>24129</t>
  </si>
  <si>
    <t>19.26</t>
  </si>
  <si>
    <t>S0110HEBOFLW-A2</t>
  </si>
  <si>
    <t>5-2.25oz HEB ORG SNACK FLW WRP</t>
  </si>
  <si>
    <t>300002201</t>
  </si>
  <si>
    <t>5lb Chef Ready Diced Avocado</t>
  </si>
  <si>
    <t>300002303</t>
  </si>
  <si>
    <t>4/7oz Protein Kick Outer</t>
  </si>
  <si>
    <t>300001580</t>
  </si>
  <si>
    <t>5LB SL STRAWBERRIES DOLE</t>
  </si>
  <si>
    <t>61270-12</t>
  </si>
  <si>
    <t>TJ's Cauliflower</t>
  </si>
  <si>
    <t>F2101</t>
  </si>
  <si>
    <t>002-00-80022-02</t>
  </si>
  <si>
    <t>13.5" Clear Lettuce</t>
  </si>
  <si>
    <t>P150</t>
  </si>
  <si>
    <t>POLY CLEAR ZIP LOCK 8# 12X18</t>
  </si>
  <si>
    <t>Field Frsh Farm 3Ct Romaine</t>
  </si>
  <si>
    <t>158609</t>
  </si>
  <si>
    <t>BAG, GREEN BEAN</t>
  </si>
  <si>
    <t>9801890</t>
  </si>
  <si>
    <t>EBF Org Rom Hrt 3ct - USA</t>
  </si>
  <si>
    <t>CF-004</t>
  </si>
  <si>
    <t>Coke Farms Org 10# Bulk</t>
  </si>
  <si>
    <t>61933-11</t>
  </si>
  <si>
    <t>TJ's Org 2ct Celery Hrt</t>
  </si>
  <si>
    <t>002-20-10031-00</t>
  </si>
  <si>
    <t>DOLE 1LB BROCCOLI WRAP</t>
  </si>
  <si>
    <t>25061</t>
  </si>
  <si>
    <t>CF-001</t>
  </si>
  <si>
    <t>Coke Farms Celery</t>
  </si>
  <si>
    <t>002-40-55037-03</t>
  </si>
  <si>
    <t>Signature Frm 18oz Rom Hrt USA</t>
  </si>
  <si>
    <t>62033-11</t>
  </si>
  <si>
    <t>Meijer 3ct Artisan Romaine-Zip</t>
  </si>
  <si>
    <t>Ozuna Ext. Sup Tortilla bag</t>
  </si>
  <si>
    <t>B-86FR</t>
  </si>
  <si>
    <t>Bosko Bilingual Green Onion</t>
  </si>
  <si>
    <t>Trader Joe's 1 ct Green Cabbage</t>
  </si>
  <si>
    <t>300002271</t>
  </si>
  <si>
    <t>7oz Banana,MangoBerry inner</t>
  </si>
  <si>
    <t>61494-16NZ</t>
  </si>
  <si>
    <t>TA 3ct Jmbo Rom Long USA No Zp</t>
  </si>
  <si>
    <t>S1BFX-A1</t>
  </si>
  <si>
    <t>1LB BOLTHOUSE FRESH BBY CRTS RS</t>
  </si>
  <si>
    <t>25032</t>
  </si>
  <si>
    <t>72.73</t>
  </si>
  <si>
    <t>9801857</t>
  </si>
  <si>
    <t>EBF Org Rom Hrt 6Ct USA</t>
  </si>
  <si>
    <t>5LB CR DICED STRAWBERRIES DOLE</t>
  </si>
  <si>
    <t>25097</t>
  </si>
  <si>
    <t>62036-11</t>
  </si>
  <si>
    <t>5CCSBPW3</t>
  </si>
  <si>
    <t>5lb Costco Creamrs Sunbrst Wkt</t>
  </si>
  <si>
    <t>KROGER Artisan Baby Iceberg</t>
  </si>
  <si>
    <t>9801993</t>
  </si>
  <si>
    <t>TFR COSTCO 5ct Petite Romaine</t>
  </si>
  <si>
    <t>C3MEALGMI-A1</t>
  </si>
  <si>
    <t>3LB MEIJR WHOLE CRT MI LONG</t>
  </si>
  <si>
    <t>300000728</t>
  </si>
  <si>
    <t>8OZ DOLE SLICED STRWBRY/BANANA</t>
  </si>
  <si>
    <t>002-40-55022-01</t>
  </si>
  <si>
    <t>DOLE 18oz Org Rom. Hrt Zip USA</t>
  </si>
  <si>
    <t>159180</t>
  </si>
  <si>
    <t>BAG, CAULIFLOWER, MARKETSIDE</t>
  </si>
  <si>
    <t>100909</t>
  </si>
  <si>
    <t>BAG, 5#, DOLE, WKT</t>
  </si>
  <si>
    <t>13024</t>
  </si>
  <si>
    <t>12961</t>
  </si>
  <si>
    <t>13090</t>
  </si>
  <si>
    <t>12854</t>
  </si>
  <si>
    <t>25634</t>
  </si>
  <si>
    <t>12956</t>
  </si>
  <si>
    <t>13014</t>
  </si>
  <si>
    <t>13072</t>
  </si>
  <si>
    <t>13085</t>
  </si>
  <si>
    <t>13081</t>
  </si>
  <si>
    <t>13049</t>
  </si>
  <si>
    <t>13097</t>
  </si>
  <si>
    <t>13112</t>
  </si>
  <si>
    <t>25524</t>
  </si>
  <si>
    <t>9501808</t>
  </si>
  <si>
    <t>4963N</t>
  </si>
  <si>
    <t>Ocean Mist 14" Lettuce USA</t>
  </si>
  <si>
    <t>25683</t>
  </si>
  <si>
    <t>25722</t>
  </si>
  <si>
    <t>25669</t>
  </si>
  <si>
    <t>61791-11NZ</t>
  </si>
  <si>
    <t>TA 3ct Jmbo Rom No Zp</t>
  </si>
  <si>
    <t>C5BFCNOLA-A1</t>
  </si>
  <si>
    <t>5LB BOLTHOUSE FRESH FS BILING</t>
  </si>
  <si>
    <t>300001584</t>
  </si>
  <si>
    <t>5LB DICED APPLES DOLE</t>
  </si>
  <si>
    <t>300001784</t>
  </si>
  <si>
    <t>5LB Dole Diced Peaches</t>
  </si>
  <si>
    <t>300002269</t>
  </si>
  <si>
    <t>7oz Dream w/ Dragon FRT INNER</t>
  </si>
  <si>
    <t>25522</t>
  </si>
  <si>
    <t>25684</t>
  </si>
  <si>
    <t>25263</t>
  </si>
  <si>
    <t>002-40-55032-02</t>
  </si>
  <si>
    <t>Dole 23oz Rom USA Zip Grwn CA</t>
  </si>
  <si>
    <t>25723</t>
  </si>
  <si>
    <t>25699</t>
  </si>
  <si>
    <t>300000900</t>
  </si>
  <si>
    <t>5LB DARK SWEET CHERRIES DOLE</t>
  </si>
  <si>
    <t>300000906</t>
  </si>
  <si>
    <t>5lb PINEAPPLE CHUCKS</t>
  </si>
  <si>
    <t>300000910</t>
  </si>
  <si>
    <t>5LB WH STRAWBERRIES DOLE</t>
  </si>
  <si>
    <t>300002305</t>
  </si>
  <si>
    <t>4/7oz Banana, Mango, Berry Outer</t>
  </si>
  <si>
    <t>300000795</t>
  </si>
  <si>
    <t>8OZ DOLE MIXED BERRIES - INNER</t>
  </si>
  <si>
    <t>97910</t>
  </si>
  <si>
    <t>BAG, 5# NATURE'S PROMISE, WKT</t>
  </si>
  <si>
    <t>129259</t>
  </si>
  <si>
    <t>1LB WHOLESOME PANTRY ORG RS CF</t>
  </si>
  <si>
    <t>25323</t>
  </si>
  <si>
    <t>26133</t>
  </si>
  <si>
    <t>C1BFCNOALG-A1</t>
  </si>
  <si>
    <t>1lb Bolthouse Fresh Org FS CAN</t>
  </si>
  <si>
    <t>24938</t>
  </si>
  <si>
    <t>1LB BOLTHOUSE FRESH ORG FS CAN</t>
  </si>
  <si>
    <t>9801866</t>
  </si>
  <si>
    <t>EBF Org Celery Sleeve USA</t>
  </si>
  <si>
    <t>26097</t>
  </si>
  <si>
    <t>26128</t>
  </si>
  <si>
    <t>OM 3ct Rom Hrt BI - NO ZIP USA</t>
  </si>
  <si>
    <t>T&amp;A 3ct Rom Bilin Jumbo NO-ZIP</t>
  </si>
  <si>
    <t>61579-15</t>
  </si>
  <si>
    <t>T&amp;A 3ct ArtsnSwt Gem-Zp w/Hdl</t>
  </si>
  <si>
    <t>26179</t>
  </si>
  <si>
    <t>9801865 - 783092</t>
  </si>
  <si>
    <t>94173</t>
  </si>
  <si>
    <t>5LB SAFEWAY O ORG WKT</t>
  </si>
  <si>
    <t>5lb ALL Natural Organic Carrot</t>
  </si>
  <si>
    <t>300000869</t>
  </si>
  <si>
    <t>5LB MIXED BERRIES DOLE</t>
  </si>
  <si>
    <t>300001754</t>
  </si>
  <si>
    <t>5lb CR DOLE PINEAPPLE CUBED</t>
  </si>
  <si>
    <t>300002268</t>
  </si>
  <si>
    <t>7oz Protein Kick Inner Inner</t>
  </si>
  <si>
    <t>9801857 - 783084</t>
  </si>
  <si>
    <t>POLY 48OZ GIANT EAGLE MIXED FR</t>
  </si>
  <si>
    <t>7oz Banana,MangoBerry Inner</t>
  </si>
  <si>
    <t>002-40-55046-00</t>
  </si>
  <si>
    <t>DOLE 3CT ROM HEART USA NO-ZIP</t>
  </si>
  <si>
    <t>9801905 - 783916</t>
  </si>
  <si>
    <t>26628</t>
  </si>
  <si>
    <t>26555</t>
  </si>
  <si>
    <t>26554</t>
  </si>
  <si>
    <t>9801906 - 783917</t>
  </si>
  <si>
    <t>S2BFT-A1</t>
  </si>
  <si>
    <t>2LB BOLTHOUSE FRESH TZIP RS</t>
  </si>
  <si>
    <t>9801902 - 783913</t>
  </si>
  <si>
    <t>26808</t>
  </si>
  <si>
    <t>14010912-00</t>
  </si>
  <si>
    <t>WEIS 3Ct Romaine Hearts</t>
  </si>
  <si>
    <t>62036 / 61494-16NZ</t>
  </si>
  <si>
    <t>61370-17_O</t>
  </si>
  <si>
    <t>9801900 - 783911</t>
  </si>
  <si>
    <t>S0120KRFLW-A2</t>
  </si>
  <si>
    <t>4-3oz KROGER SNACK FLW WRAP RS</t>
  </si>
  <si>
    <t>27001</t>
  </si>
  <si>
    <t>54972-1</t>
  </si>
  <si>
    <t>26632</t>
  </si>
  <si>
    <t>27352</t>
  </si>
  <si>
    <t>19800956-04</t>
  </si>
  <si>
    <t>QnVic 3Ct Rom Hrt Bg EN/FR US</t>
  </si>
  <si>
    <t>26997</t>
  </si>
  <si>
    <t>61494-16</t>
  </si>
  <si>
    <t>T&amp;A 3ct Jumbo Rom Long USA</t>
  </si>
  <si>
    <t>9801993 - 787274</t>
  </si>
  <si>
    <t>4069V1</t>
  </si>
  <si>
    <t>Church Bros Broccoli Crown USA</t>
  </si>
  <si>
    <t>62036-11 / 61494-16NZ</t>
  </si>
  <si>
    <t>27391</t>
  </si>
  <si>
    <t>TFR 6ct Romaine Usa PURPLE</t>
  </si>
  <si>
    <t>1587</t>
  </si>
  <si>
    <t>CB Trdr Joe 3ct Little Gem Ltt</t>
  </si>
  <si>
    <t>19800940-00</t>
  </si>
  <si>
    <t>QUEEN VIC CHOKES 4CT BAG</t>
  </si>
  <si>
    <t>S090BFCNFLW-A1</t>
  </si>
  <si>
    <t>4-2.25oz BH SNACK FLOW WRAP RS</t>
  </si>
  <si>
    <t>27748</t>
  </si>
  <si>
    <t>37.68</t>
  </si>
  <si>
    <t>26882</t>
  </si>
  <si>
    <t>16.70</t>
  </si>
  <si>
    <t>27006</t>
  </si>
  <si>
    <t>18.53</t>
  </si>
  <si>
    <t>27065</t>
  </si>
  <si>
    <t>27066</t>
  </si>
  <si>
    <t>27092</t>
  </si>
  <si>
    <t>27010</t>
  </si>
  <si>
    <t>27385</t>
  </si>
  <si>
    <t>27386</t>
  </si>
  <si>
    <t>27387</t>
  </si>
  <si>
    <t>27451</t>
  </si>
  <si>
    <t>27458</t>
  </si>
  <si>
    <t>4/7oz Banana,Mango,Berry Outer</t>
  </si>
  <si>
    <t>8oz Dole Mixed Berries - Inner</t>
  </si>
  <si>
    <t>300000881</t>
  </si>
  <si>
    <t>5LB DOLE RASPBERRIES</t>
  </si>
  <si>
    <t>300002266</t>
  </si>
  <si>
    <t>7oz Dole TROP AVO w KALE INNER</t>
  </si>
  <si>
    <t>F2110</t>
  </si>
  <si>
    <t>60303-16</t>
  </si>
  <si>
    <t>TJ's 3ct Romaine HRTS-ZIP</t>
  </si>
  <si>
    <t>OCEAM MST UPC/PLU CAULIFLOWER</t>
  </si>
  <si>
    <t>9502890 - 780181</t>
  </si>
  <si>
    <t>POUCH 12OZ WEGMNS ORG SL PEACH</t>
  </si>
  <si>
    <t>9801975 - 785089</t>
  </si>
  <si>
    <t>129261</t>
  </si>
  <si>
    <t>5lLB Dole Diced Peaches</t>
  </si>
  <si>
    <t>9801921 - 783932</t>
  </si>
  <si>
    <t>161514</t>
  </si>
  <si>
    <t>BAG, 2LB WEIS MKT, WKT</t>
  </si>
  <si>
    <t>1529V1</t>
  </si>
  <si>
    <t>Church Bros Broccoli Bunch POM</t>
  </si>
  <si>
    <t>300001997</t>
  </si>
  <si>
    <t>POUCH 23OZ WEGMAN ORG MGO CHNK</t>
  </si>
  <si>
    <t>300002001</t>
  </si>
  <si>
    <t>300001998</t>
  </si>
  <si>
    <t>POUCH 32OZ WGMNS ORG BLUEBERRI</t>
  </si>
  <si>
    <t>TFR COSTCO 6Ct Rom Hrt USA</t>
  </si>
  <si>
    <t>28900</t>
  </si>
  <si>
    <t>0997N</t>
  </si>
  <si>
    <t>OCM 4Ct Artichoke</t>
  </si>
  <si>
    <t>28731</t>
  </si>
  <si>
    <t>9801864 - 783091</t>
  </si>
  <si>
    <t>COEAN MIST UPC/PLU CAULIFLOWER</t>
  </si>
  <si>
    <t>300002198</t>
  </si>
  <si>
    <t>POUCH 32OZ WEGMANS ORG MX BERRIES</t>
  </si>
  <si>
    <t>WEIS Frsh from Fld Cauli 14.75</t>
  </si>
  <si>
    <t>300001666</t>
  </si>
  <si>
    <t>POUCH 48OZ WEGMANS SL STRAW</t>
  </si>
  <si>
    <t>29265</t>
  </si>
  <si>
    <t>9501808 - 780177</t>
  </si>
  <si>
    <t>29462</t>
  </si>
  <si>
    <t>1587V1</t>
  </si>
  <si>
    <t>9801993 - 787313</t>
  </si>
  <si>
    <t>POUCH 32OZ WEGMAN ORG MGO CHNK</t>
  </si>
  <si>
    <t>300001996</t>
  </si>
  <si>
    <t>POUCH 12 OZ WEGMAN ORG MANGO</t>
  </si>
  <si>
    <t>300002385</t>
  </si>
  <si>
    <t>POUCH 16OZ WEGMANS RASPBERRIE</t>
  </si>
  <si>
    <t>300001981</t>
  </si>
  <si>
    <t>POUCH 16OZ WEGMANS BLUEBERRIES</t>
  </si>
  <si>
    <t>300002006</t>
  </si>
  <si>
    <t>POUCH 3LB WEGMANS PINEAPPLE CH</t>
  </si>
  <si>
    <t>5TSSAMSPP-1</t>
  </si>
  <si>
    <t>9801890 - 783747</t>
  </si>
  <si>
    <t>61203-18</t>
  </si>
  <si>
    <t>T&amp;A 6ct Romaine Hrts-COSTCO</t>
  </si>
  <si>
    <t>1351V1</t>
  </si>
  <si>
    <t>30069</t>
  </si>
  <si>
    <t>300001664</t>
  </si>
  <si>
    <t>POUCH 16OZ WEGMANS WILD BLUEBR</t>
  </si>
  <si>
    <t>300002491</t>
  </si>
  <si>
    <t>POUCH 12OZ NAT BASKET ORG MGO</t>
  </si>
  <si>
    <t>300002461</t>
  </si>
  <si>
    <t>POUCH 12OZ GIANT EAGLE POMEGRANATE ARILS</t>
  </si>
  <si>
    <t>OCM 4 Ct Artichoke</t>
  </si>
  <si>
    <t>29691</t>
  </si>
  <si>
    <t>1587V2</t>
  </si>
  <si>
    <t>TJ's 3Ct Little Gem 14oz</t>
  </si>
  <si>
    <t>TJ 3ct Rom Heart Bag - USA</t>
  </si>
  <si>
    <t>002-40-55010-07</t>
  </si>
  <si>
    <t>DOLE 6Ct Rom Hrt Bil USA</t>
  </si>
  <si>
    <t>002-40-56045-01</t>
  </si>
  <si>
    <t>DOLE 4CT/48oz ARTICHOKE USA</t>
  </si>
  <si>
    <t>30300</t>
  </si>
  <si>
    <t>29842</t>
  </si>
  <si>
    <t>29483</t>
  </si>
  <si>
    <t>47 bxs</t>
  </si>
  <si>
    <t>20 rolls</t>
  </si>
  <si>
    <t>20 bxs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</si>
</sst>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_-&quot;$&quot;* #,##0.00000_-;\-&quot;$&quot;* #,##0.00000_-;_-&quot;$&quot;* &quot;-&quot;??_-;_-@_-"/>
    <numFmt numFmtId="166" formatCode="_-&quot;$&quot;* #,##0.000_-;\-&quot;$&quot;* #,##0.000_-;_-&quot;$&quot;* &quot;-&quot;??_-;_-@_-"/>
    <numFmt numFmtId="167" formatCode="0.000"/>
    <numFmt numFmtId="168" formatCode="_-&quot;$&quot;* #,##0.0000_-;\-&quot;$&quot;* #,##0.0000_-;_-&quot;$&quot;* &quot;-&quot;??_-;_-@_-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222222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FFFFFF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2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2"/>
      <color rgb="FF222222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2"/>
      <color rgb="FFFF0000"/>
      <name val="Arial"/>
      <family val="2"/>
    </font>
    <font>
      <sz val="8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rgb="FF000000"/>
      <name val="Aptos"/>
      <family val="2"/>
    </font>
    <font>
      <sz val="11"/>
      <name val="Calibri"/>
      <family val="2"/>
      <scheme val="minor"/>
    </font>
    <font>
      <b/>
      <sz val="12"/>
      <color rgb="FF000000"/>
      <name val="Aptos"/>
      <family val="2"/>
    </font>
    <font>
      <b/>
      <sz val="10"/>
      <color rgb="FF000000"/>
      <name val="Aptos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C5D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256">
    <xf numFmtId="0" fontId="0" fillId="0" borderId="0" xfId="0"/>
    <xf numFmtId="0" fontId="0" fillId="0" borderId="0" xfId="0" applyAlignment="1">
      <alignment horizontal="center"/>
    </xf>
    <xf numFmtId="44" fontId="0" fillId="0" borderId="0" xfId="2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43" fontId="2" fillId="4" borderId="11" xfId="1" applyFont="1" applyFill="1" applyBorder="1" applyAlignment="1">
      <alignment horizontal="center"/>
    </xf>
    <xf numFmtId="43" fontId="2" fillId="4" borderId="12" xfId="1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44" fontId="2" fillId="6" borderId="12" xfId="2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44" fontId="2" fillId="0" borderId="9" xfId="0" applyNumberFormat="1" applyFont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3" fontId="0" fillId="0" borderId="0" xfId="0" applyNumberFormat="1" applyAlignment="1">
      <alignment horizontal="right"/>
    </xf>
    <xf numFmtId="164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165" fontId="0" fillId="2" borderId="2" xfId="2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43" fontId="2" fillId="0" borderId="9" xfId="1" applyFont="1" applyBorder="1" applyAlignment="1">
      <alignment horizontal="center"/>
    </xf>
    <xf numFmtId="0" fontId="0" fillId="7" borderId="0" xfId="0" applyFill="1"/>
    <xf numFmtId="0" fontId="0" fillId="9" borderId="0" xfId="0" applyFill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7" borderId="0" xfId="1" applyNumberFormat="1" applyFont="1" applyFill="1" applyAlignment="1">
      <alignment horizontal="right"/>
    </xf>
    <xf numFmtId="44" fontId="0" fillId="0" borderId="14" xfId="0" applyNumberFormat="1" applyBorder="1" applyAlignment="1">
      <alignment horizontal="center"/>
    </xf>
    <xf numFmtId="0" fontId="2" fillId="0" borderId="0" xfId="0" applyFont="1"/>
    <xf numFmtId="44" fontId="0" fillId="0" borderId="0" xfId="0" applyNumberFormat="1"/>
    <xf numFmtId="43" fontId="0" fillId="0" borderId="0" xfId="0" applyNumberFormat="1"/>
    <xf numFmtId="0" fontId="0" fillId="6" borderId="0" xfId="0" applyFill="1"/>
    <xf numFmtId="0" fontId="0" fillId="11" borderId="0" xfId="0" applyFill="1"/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vertical="center" wrapText="1"/>
    </xf>
    <xf numFmtId="0" fontId="13" fillId="13" borderId="19" xfId="0" applyFont="1" applyFill="1" applyBorder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3" fillId="13" borderId="20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16" fillId="0" borderId="0" xfId="3" applyAlignment="1">
      <alignment vertical="center" wrapText="1"/>
    </xf>
    <xf numFmtId="0" fontId="17" fillId="0" borderId="7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7" borderId="2" xfId="0" applyFill="1" applyBorder="1" applyAlignment="1">
      <alignment horizontal="center" wrapText="1"/>
    </xf>
    <xf numFmtId="0" fontId="19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44" fontId="20" fillId="0" borderId="0" xfId="2" applyFont="1" applyAlignment="1">
      <alignment horizontal="right"/>
    </xf>
    <xf numFmtId="0" fontId="21" fillId="0" borderId="0" xfId="0" applyFont="1"/>
    <xf numFmtId="164" fontId="21" fillId="0" borderId="0" xfId="1" applyNumberFormat="1" applyFont="1"/>
    <xf numFmtId="0" fontId="22" fillId="0" borderId="0" xfId="0" applyFont="1"/>
    <xf numFmtId="3" fontId="0" fillId="0" borderId="0" xfId="0" applyNumberFormat="1"/>
    <xf numFmtId="0" fontId="24" fillId="13" borderId="2" xfId="0" applyFont="1" applyFill="1" applyBorder="1" applyAlignment="1">
      <alignment horizontal="center" vertical="center"/>
    </xf>
    <xf numFmtId="0" fontId="24" fillId="13" borderId="12" xfId="0" applyFont="1" applyFill="1" applyBorder="1" applyAlignment="1">
      <alignment horizontal="center" vertical="center"/>
    </xf>
    <xf numFmtId="0" fontId="24" fillId="13" borderId="12" xfId="0" applyFont="1" applyFill="1" applyBorder="1" applyAlignment="1">
      <alignment vertical="center"/>
    </xf>
    <xf numFmtId="0" fontId="24" fillId="13" borderId="18" xfId="0" applyFont="1" applyFill="1" applyBorder="1" applyAlignment="1">
      <alignment horizontal="center" vertical="center"/>
    </xf>
    <xf numFmtId="0" fontId="24" fillId="13" borderId="16" xfId="0" applyFont="1" applyFill="1" applyBorder="1" applyAlignment="1">
      <alignment horizontal="center" vertical="center"/>
    </xf>
    <xf numFmtId="0" fontId="25" fillId="15" borderId="18" xfId="0" applyFont="1" applyFill="1" applyBorder="1" applyAlignment="1">
      <alignment horizontal="center" vertical="center"/>
    </xf>
    <xf numFmtId="14" fontId="18" fillId="14" borderId="16" xfId="0" applyNumberFormat="1" applyFont="1" applyFill="1" applyBorder="1" applyAlignment="1">
      <alignment horizontal="right" vertical="center"/>
    </xf>
    <xf numFmtId="0" fontId="23" fillId="14" borderId="16" xfId="0" applyFont="1" applyFill="1" applyBorder="1" applyAlignment="1">
      <alignment horizontal="center" vertical="center"/>
    </xf>
    <xf numFmtId="0" fontId="18" fillId="14" borderId="16" xfId="0" applyFont="1" applyFill="1" applyBorder="1" applyAlignment="1">
      <alignment horizontal="center" vertical="center"/>
    </xf>
    <xf numFmtId="0" fontId="18" fillId="14" borderId="16" xfId="0" applyFont="1" applyFill="1" applyBorder="1" applyAlignment="1">
      <alignment vertical="center"/>
    </xf>
    <xf numFmtId="0" fontId="10" fillId="14" borderId="16" xfId="0" applyFont="1" applyFill="1" applyBorder="1" applyAlignment="1">
      <alignment horizontal="center" vertical="center"/>
    </xf>
    <xf numFmtId="0" fontId="18" fillId="17" borderId="16" xfId="0" applyFont="1" applyFill="1" applyBorder="1" applyAlignment="1">
      <alignment vertical="center"/>
    </xf>
    <xf numFmtId="0" fontId="0" fillId="0" borderId="0" xfId="0" applyAlignment="1">
      <alignment horizontal="center" vertical="top" wrapText="1"/>
    </xf>
    <xf numFmtId="3" fontId="18" fillId="16" borderId="16" xfId="0" applyNumberFormat="1" applyFont="1" applyFill="1" applyBorder="1" applyAlignment="1">
      <alignment vertical="center"/>
    </xf>
    <xf numFmtId="44" fontId="0" fillId="6" borderId="14" xfId="0" applyNumberFormat="1" applyFill="1" applyBorder="1" applyAlignment="1">
      <alignment horizontal="center"/>
    </xf>
    <xf numFmtId="0" fontId="0" fillId="6" borderId="10" xfId="0" applyFill="1" applyBorder="1"/>
    <xf numFmtId="0" fontId="9" fillId="6" borderId="11" xfId="0" applyFont="1" applyFill="1" applyBorder="1"/>
    <xf numFmtId="0" fontId="0" fillId="6" borderId="12" xfId="0" applyFill="1" applyBorder="1"/>
    <xf numFmtId="0" fontId="2" fillId="10" borderId="0" xfId="0" applyFont="1" applyFill="1"/>
    <xf numFmtId="44" fontId="2" fillId="10" borderId="0" xfId="0" applyNumberFormat="1" applyFont="1" applyFill="1"/>
    <xf numFmtId="0" fontId="2" fillId="7" borderId="0" xfId="0" applyFont="1" applyFill="1"/>
    <xf numFmtId="0" fontId="4" fillId="0" borderId="1" xfId="0" applyFont="1" applyBorder="1"/>
    <xf numFmtId="0" fontId="4" fillId="18" borderId="0" xfId="0" applyFont="1" applyFill="1" applyAlignment="1">
      <alignment horizontal="left"/>
    </xf>
    <xf numFmtId="0" fontId="4" fillId="19" borderId="0" xfId="0" applyFont="1" applyFill="1" applyAlignment="1">
      <alignment horizontal="left"/>
    </xf>
    <xf numFmtId="0" fontId="4" fillId="20" borderId="0" xfId="0" applyFont="1" applyFill="1" applyAlignment="1">
      <alignment horizontal="left"/>
    </xf>
    <xf numFmtId="0" fontId="0" fillId="17" borderId="0" xfId="0" applyFill="1"/>
    <xf numFmtId="166" fontId="2" fillId="6" borderId="12" xfId="2" applyNumberFormat="1" applyFont="1" applyFill="1" applyBorder="1" applyAlignment="1">
      <alignment horizontal="center"/>
    </xf>
    <xf numFmtId="2" fontId="2" fillId="10" borderId="0" xfId="0" applyNumberFormat="1" applyFont="1" applyFill="1"/>
    <xf numFmtId="167" fontId="0" fillId="0" borderId="0" xfId="0" applyNumberFormat="1"/>
    <xf numFmtId="0" fontId="4" fillId="0" borderId="1" xfId="0" applyFont="1" applyBorder="1" applyAlignment="1">
      <alignment horizontal="center"/>
    </xf>
    <xf numFmtId="0" fontId="0" fillId="22" borderId="1" xfId="0" applyFill="1" applyBorder="1"/>
    <xf numFmtId="164" fontId="0" fillId="0" borderId="1" xfId="0" applyNumberFormat="1" applyBorder="1" applyAlignment="1">
      <alignment vertical="center"/>
    </xf>
    <xf numFmtId="0" fontId="0" fillId="21" borderId="1" xfId="0" applyFill="1" applyBorder="1"/>
    <xf numFmtId="0" fontId="0" fillId="18" borderId="1" xfId="0" applyFill="1" applyBorder="1"/>
    <xf numFmtId="164" fontId="0" fillId="0" borderId="1" xfId="0" applyNumberForma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14" xfId="0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0" fillId="6" borderId="2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28" fillId="0" borderId="1" xfId="0" applyFont="1" applyBorder="1"/>
    <xf numFmtId="0" fontId="19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23" borderId="0" xfId="0" applyFont="1" applyFill="1" applyAlignment="1">
      <alignment horizontal="left"/>
    </xf>
    <xf numFmtId="0" fontId="25" fillId="24" borderId="28" xfId="0" applyFont="1" applyFill="1" applyBorder="1" applyAlignment="1">
      <alignment horizontal="center" vertical="center"/>
    </xf>
    <xf numFmtId="0" fontId="0" fillId="26" borderId="0" xfId="0" applyFill="1"/>
    <xf numFmtId="168" fontId="0" fillId="25" borderId="0" xfId="0" applyNumberFormat="1" applyFill="1"/>
    <xf numFmtId="0" fontId="0" fillId="24" borderId="0" xfId="0" applyFill="1" applyAlignment="1">
      <alignment horizontal="center" vertical="center"/>
    </xf>
    <xf numFmtId="44" fontId="0" fillId="27" borderId="14" xfId="0" applyNumberFormat="1" applyFill="1" applyBorder="1" applyAlignment="1">
      <alignment horizontal="center"/>
    </xf>
    <xf numFmtId="0" fontId="30" fillId="28" borderId="0" xfId="0" applyFont="1" applyFill="1" applyAlignment="1">
      <alignment horizontal="center" vertical="center"/>
    </xf>
    <xf numFmtId="0" fontId="30" fillId="28" borderId="3" xfId="0" applyFont="1" applyFill="1" applyBorder="1" applyAlignment="1">
      <alignment horizontal="center" vertical="center"/>
    </xf>
    <xf numFmtId="0" fontId="30" fillId="28" borderId="17" xfId="0" applyFont="1" applyFill="1" applyBorder="1" applyAlignment="1">
      <alignment horizontal="center" vertical="center"/>
    </xf>
    <xf numFmtId="0" fontId="31" fillId="0" borderId="0" xfId="0" applyFont="1"/>
    <xf numFmtId="0" fontId="32" fillId="28" borderId="0" xfId="0" applyFont="1" applyFill="1" applyAlignment="1">
      <alignment horizontal="center" vertical="center"/>
    </xf>
    <xf numFmtId="8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8" fontId="0" fillId="0" borderId="0" xfId="0" applyNumberFormat="1"/>
    <xf numFmtId="0" fontId="33" fillId="0" borderId="29" xfId="0" applyFont="1" applyBorder="1" applyAlignment="1">
      <alignment horizontal="center"/>
    </xf>
    <xf numFmtId="0" fontId="33" fillId="0" borderId="0" xfId="0" applyFont="1" applyAlignment="1">
      <alignment horizontal="center"/>
    </xf>
    <xf numFmtId="8" fontId="33" fillId="0" borderId="0" xfId="0" applyNumberFormat="1" applyFont="1" applyAlignment="1">
      <alignment horizontal="center"/>
    </xf>
    <xf numFmtId="49" fontId="33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30" xfId="0" applyNumberFormat="1" applyBorder="1" applyAlignment="1">
      <alignment horizontal="center"/>
    </xf>
    <xf numFmtId="0" fontId="0" fillId="0" borderId="30" xfId="0" applyBorder="1" applyAlignment="1">
      <alignment horizontal="left"/>
    </xf>
    <xf numFmtId="3" fontId="0" fillId="0" borderId="0" xfId="0" applyNumberFormat="1" applyAlignment="1">
      <alignment horizontal="center"/>
    </xf>
    <xf numFmtId="49" fontId="0" fillId="8" borderId="1" xfId="0" applyNumberFormat="1" applyFill="1" applyBorder="1" applyAlignment="1">
      <alignment horizontal="center"/>
    </xf>
    <xf numFmtId="16" fontId="0" fillId="8" borderId="1" xfId="0" applyNumberFormat="1" applyFill="1" applyBorder="1" applyAlignment="1">
      <alignment horizontal="left"/>
    </xf>
    <xf numFmtId="0" fontId="0" fillId="8" borderId="0" xfId="0" applyFill="1" applyAlignment="1">
      <alignment horizontal="center"/>
    </xf>
    <xf numFmtId="8" fontId="0" fillId="8" borderId="0" xfId="0" applyNumberFormat="1" applyFill="1" applyAlignment="1">
      <alignment horizontal="center"/>
    </xf>
    <xf numFmtId="0" fontId="0" fillId="8" borderId="0" xfId="0" applyFill="1"/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0" fillId="8" borderId="0" xfId="0" applyFill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29" borderId="0" xfId="0" applyFill="1"/>
    <xf numFmtId="16" fontId="0" fillId="0" borderId="0" xfId="0" applyNumberFormat="1" applyAlignment="1">
      <alignment horizontal="left"/>
    </xf>
    <xf numFmtId="0" fontId="0" fillId="2" borderId="0" xfId="0" applyFill="1"/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49" fontId="35" fillId="0" borderId="1" xfId="0" applyNumberFormat="1" applyFont="1" applyBorder="1" applyAlignment="1">
      <alignment horizontal="center"/>
    </xf>
    <xf numFmtId="16" fontId="35" fillId="0" borderId="1" xfId="0" applyNumberFormat="1" applyFont="1" applyBorder="1" applyAlignment="1">
      <alignment horizontal="left"/>
    </xf>
    <xf numFmtId="0" fontId="36" fillId="0" borderId="1" xfId="0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0" fontId="36" fillId="0" borderId="0" xfId="0" applyFont="1" applyAlignment="1">
      <alignment horizontal="center" vertical="center"/>
    </xf>
    <xf numFmtId="2" fontId="0" fillId="0" borderId="0" xfId="0" applyNumberFormat="1"/>
    <xf numFmtId="0" fontId="9" fillId="21" borderId="1" xfId="0" applyFont="1" applyFill="1" applyBorder="1" applyAlignment="1">
      <alignment horizontal="center"/>
    </xf>
    <xf numFmtId="0" fontId="9" fillId="21" borderId="0" xfId="0" applyFont="1" applyFill="1" applyAlignment="1">
      <alignment horizontal="center"/>
    </xf>
    <xf numFmtId="0" fontId="9" fillId="24" borderId="1" xfId="0" applyFont="1" applyFill="1" applyBorder="1" applyAlignment="1">
      <alignment horizontal="center"/>
    </xf>
    <xf numFmtId="164" fontId="0" fillId="0" borderId="1" xfId="0" applyNumberFormat="1" applyBorder="1"/>
    <xf numFmtId="0" fontId="9" fillId="30" borderId="1" xfId="0" applyFont="1" applyFill="1" applyBorder="1" applyAlignment="1">
      <alignment horizontal="center"/>
    </xf>
    <xf numFmtId="0" fontId="9" fillId="30" borderId="0" xfId="0" applyFont="1" applyFill="1" applyAlignment="1">
      <alignment horizontal="center"/>
    </xf>
    <xf numFmtId="0" fontId="9" fillId="31" borderId="1" xfId="0" applyFont="1" applyFill="1" applyBorder="1" applyAlignment="1">
      <alignment horizontal="center"/>
    </xf>
    <xf numFmtId="0" fontId="9" fillId="31" borderId="0" xfId="0" applyFont="1" applyFill="1" applyAlignment="1">
      <alignment horizontal="center"/>
    </xf>
    <xf numFmtId="0" fontId="9" fillId="24" borderId="0" xfId="0" applyFont="1" applyFill="1" applyAlignment="1">
      <alignment horizontal="center"/>
    </xf>
    <xf numFmtId="49" fontId="0" fillId="0" borderId="1" xfId="0" applyNumberFormat="1" applyBorder="1" applyAlignment="1">
      <alignment horizontal="right"/>
    </xf>
    <xf numFmtId="0" fontId="36" fillId="14" borderId="16" xfId="0" applyFont="1" applyFill="1" applyBorder="1" applyAlignment="1">
      <alignment horizontal="center" vertical="center" wrapText="1"/>
    </xf>
    <xf numFmtId="49" fontId="36" fillId="14" borderId="16" xfId="0" applyNumberFormat="1" applyFont="1" applyFill="1" applyBorder="1" applyAlignment="1">
      <alignment horizontal="center" vertical="center" wrapText="1"/>
    </xf>
    <xf numFmtId="0" fontId="36" fillId="14" borderId="0" xfId="0" applyFont="1" applyFill="1" applyAlignment="1">
      <alignment horizontal="center" vertical="center" wrapText="1"/>
    </xf>
    <xf numFmtId="49" fontId="36" fillId="14" borderId="0" xfId="0" applyNumberFormat="1" applyFont="1" applyFill="1" applyAlignment="1">
      <alignment horizontal="center" vertical="center" wrapText="1"/>
    </xf>
    <xf numFmtId="0" fontId="35" fillId="24" borderId="1" xfId="0" applyFont="1" applyFill="1" applyBorder="1" applyAlignment="1">
      <alignment horizontal="center"/>
    </xf>
    <xf numFmtId="0" fontId="35" fillId="24" borderId="0" xfId="0" applyFont="1" applyFill="1" applyAlignment="1">
      <alignment horizontal="center"/>
    </xf>
    <xf numFmtId="49" fontId="0" fillId="18" borderId="1" xfId="0" applyNumberFormat="1" applyFill="1" applyBorder="1" applyAlignment="1">
      <alignment horizontal="center"/>
    </xf>
    <xf numFmtId="0" fontId="0" fillId="18" borderId="1" xfId="0" applyFill="1" applyBorder="1" applyAlignment="1">
      <alignment horizontal="left"/>
    </xf>
    <xf numFmtId="16" fontId="0" fillId="18" borderId="1" xfId="0" applyNumberFormat="1" applyFill="1" applyBorder="1" applyAlignment="1">
      <alignment horizontal="left"/>
    </xf>
    <xf numFmtId="49" fontId="0" fillId="18" borderId="0" xfId="0" applyNumberFormat="1" applyFill="1" applyAlignment="1">
      <alignment horizontal="center"/>
    </xf>
    <xf numFmtId="0" fontId="0" fillId="18" borderId="0" xfId="0" applyFill="1" applyAlignment="1">
      <alignment horizontal="left"/>
    </xf>
    <xf numFmtId="4" fontId="0" fillId="0" borderId="1" xfId="0" applyNumberFormat="1" applyBorder="1" applyAlignment="1">
      <alignment horizontal="center"/>
    </xf>
    <xf numFmtId="4" fontId="0" fillId="24" borderId="1" xfId="0" applyNumberFormat="1" applyFill="1" applyBorder="1" applyAlignment="1">
      <alignment horizontal="center"/>
    </xf>
    <xf numFmtId="0" fontId="0" fillId="32" borderId="2" xfId="0" applyFill="1" applyBorder="1" applyAlignment="1">
      <alignment horizontal="center"/>
    </xf>
    <xf numFmtId="164" fontId="0" fillId="23" borderId="2" xfId="0" applyNumberFormat="1" applyFill="1" applyBorder="1" applyAlignment="1">
      <alignment horizontal="center"/>
    </xf>
    <xf numFmtId="49" fontId="0" fillId="24" borderId="1" xfId="0" applyNumberFormat="1" applyFill="1" applyBorder="1" applyAlignment="1">
      <alignment horizontal="center"/>
    </xf>
    <xf numFmtId="16" fontId="0" fillId="24" borderId="1" xfId="0" applyNumberFormat="1" applyFill="1" applyBorder="1" applyAlignment="1">
      <alignment horizontal="left"/>
    </xf>
    <xf numFmtId="0" fontId="9" fillId="33" borderId="1" xfId="0" applyFont="1" applyFill="1" applyBorder="1" applyAlignment="1">
      <alignment horizontal="center"/>
    </xf>
    <xf numFmtId="0" fontId="9" fillId="34" borderId="1" xfId="0" applyFont="1" applyFill="1" applyBorder="1" applyAlignment="1">
      <alignment horizontal="center"/>
    </xf>
    <xf numFmtId="49" fontId="3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35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49" fontId="0" fillId="0" borderId="31" xfId="0" applyNumberFormat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36" borderId="1" xfId="0" applyFont="1" applyFill="1" applyBorder="1" applyAlignment="1">
      <alignment horizontal="center"/>
    </xf>
    <xf numFmtId="0" fontId="9" fillId="37" borderId="1" xfId="0" applyFont="1" applyFill="1" applyBorder="1" applyAlignment="1">
      <alignment horizontal="center"/>
    </xf>
    <xf numFmtId="0" fontId="0" fillId="31" borderId="2" xfId="1" applyNumberFormat="1" applyFont="1" applyFill="1" applyBorder="1" applyAlignment="1">
      <alignment horizontal="center"/>
    </xf>
    <xf numFmtId="0" fontId="9" fillId="37" borderId="0" xfId="0" applyFont="1" applyFill="1" applyAlignment="1">
      <alignment horizontal="center"/>
    </xf>
    <xf numFmtId="4" fontId="39" fillId="0" borderId="1" xfId="0" applyNumberFormat="1" applyFont="1" applyBorder="1" applyAlignment="1">
      <alignment horizontal="center"/>
    </xf>
    <xf numFmtId="0" fontId="3" fillId="38" borderId="6" xfId="0" applyFont="1" applyFill="1" applyBorder="1" applyAlignment="1">
      <alignment horizontal="center"/>
    </xf>
    <xf numFmtId="3" fontId="39" fillId="0" borderId="1" xfId="0" applyNumberFormat="1" applyFont="1" applyBorder="1" applyAlignment="1">
      <alignment horizontal="center"/>
    </xf>
    <xf numFmtId="0" fontId="36" fillId="0" borderId="32" xfId="0" applyFont="1" applyBorder="1" applyAlignment="1">
      <alignment horizontal="center" vertical="center" wrapText="1"/>
    </xf>
    <xf numFmtId="0" fontId="36" fillId="39" borderId="32" xfId="0" applyFont="1" applyFill="1" applyBorder="1" applyAlignment="1">
      <alignment horizontal="center" vertical="center" wrapText="1"/>
    </xf>
    <xf numFmtId="49" fontId="0" fillId="40" borderId="31" xfId="0" applyNumberFormat="1" applyFill="1" applyBorder="1" applyAlignment="1">
      <alignment horizontal="center"/>
    </xf>
    <xf numFmtId="0" fontId="0" fillId="40" borderId="1" xfId="0" applyFill="1" applyBorder="1" applyAlignment="1">
      <alignment horizontal="left"/>
    </xf>
    <xf numFmtId="0" fontId="34" fillId="0" borderId="1" xfId="0" applyFont="1" applyBorder="1" applyAlignment="1">
      <alignment horizontal="center" vertical="center" wrapText="1"/>
    </xf>
    <xf numFmtId="0" fontId="34" fillId="41" borderId="1" xfId="0" applyFont="1" applyFill="1" applyBorder="1" applyAlignment="1">
      <alignment horizontal="center" vertical="center" wrapText="1"/>
    </xf>
    <xf numFmtId="0" fontId="34" fillId="42" borderId="1" xfId="0" applyFont="1" applyFill="1" applyBorder="1" applyAlignment="1">
      <alignment horizontal="center" vertical="center" wrapText="1"/>
    </xf>
    <xf numFmtId="3" fontId="38" fillId="0" borderId="1" xfId="0" applyNumberFormat="1" applyFont="1" applyBorder="1" applyAlignment="1">
      <alignment horizontal="center"/>
    </xf>
    <xf numFmtId="4" fontId="40" fillId="0" borderId="1" xfId="0" applyNumberFormat="1" applyFont="1" applyBorder="1" applyAlignment="1">
      <alignment horizontal="center"/>
    </xf>
    <xf numFmtId="0" fontId="0" fillId="24" borderId="1" xfId="0" applyFill="1" applyBorder="1" applyAlignment="1">
      <alignment horizontal="left"/>
    </xf>
    <xf numFmtId="0" fontId="9" fillId="43" borderId="1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49" fontId="0" fillId="30" borderId="1" xfId="0" applyNumberFormat="1" applyFill="1" applyBorder="1" applyAlignment="1">
      <alignment horizontal="center"/>
    </xf>
    <xf numFmtId="49" fontId="0" fillId="24" borderId="31" xfId="0" applyNumberFormat="1" applyFill="1" applyBorder="1" applyAlignment="1">
      <alignment horizontal="center"/>
    </xf>
    <xf numFmtId="0" fontId="0" fillId="24" borderId="1" xfId="0" applyFill="1" applyBorder="1"/>
    <xf numFmtId="4" fontId="41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4" fontId="38" fillId="0" borderId="1" xfId="0" applyNumberFormat="1" applyFont="1" applyBorder="1" applyAlignment="1">
      <alignment horizontal="center"/>
    </xf>
    <xf numFmtId="0" fontId="9" fillId="18" borderId="1" xfId="0" applyFont="1" applyFill="1" applyBorder="1" applyAlignment="1">
      <alignment horizontal="center"/>
    </xf>
    <xf numFmtId="0" fontId="9" fillId="20" borderId="1" xfId="0" applyFont="1" applyFill="1" applyBorder="1" applyAlignment="1">
      <alignment horizontal="center"/>
    </xf>
    <xf numFmtId="0" fontId="4" fillId="31" borderId="0" xfId="0" applyFont="1" applyFill="1" applyAlignment="1">
      <alignment horizontal="left"/>
    </xf>
    <xf numFmtId="0" fontId="0" fillId="27" borderId="2" xfId="0" applyFill="1" applyBorder="1" applyAlignment="1">
      <alignment horizontal="center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0" fontId="24" fillId="13" borderId="17" xfId="0" applyFont="1" applyFill="1" applyBorder="1" applyAlignment="1">
      <alignment horizontal="center" vertical="center" wrapText="1"/>
    </xf>
    <xf numFmtId="0" fontId="24" fillId="13" borderId="18" xfId="0" applyFont="1" applyFill="1" applyBorder="1" applyAlignment="1">
      <alignment horizontal="center" vertical="center" wrapText="1"/>
    </xf>
    <xf numFmtId="0" fontId="24" fillId="13" borderId="26" xfId="0" applyFont="1" applyFill="1" applyBorder="1" applyAlignment="1">
      <alignment horizontal="center" vertical="center" wrapText="1"/>
    </xf>
    <xf numFmtId="0" fontId="12" fillId="12" borderId="10" xfId="0" applyFont="1" applyFill="1" applyBorder="1" applyAlignment="1">
      <alignment horizontal="center" vertical="center" wrapText="1"/>
    </xf>
    <xf numFmtId="0" fontId="12" fillId="12" borderId="11" xfId="0" applyFont="1" applyFill="1" applyBorder="1" applyAlignment="1">
      <alignment horizontal="center" vertical="center" wrapText="1"/>
    </xf>
    <xf numFmtId="0" fontId="12" fillId="12" borderId="24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 wrapText="1"/>
    </xf>
    <xf numFmtId="0" fontId="8" fillId="8" borderId="21" xfId="0" applyFont="1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43" fontId="2" fillId="0" borderId="22" xfId="1" applyFont="1" applyBorder="1" applyAlignment="1">
      <alignment horizontal="center"/>
    </xf>
    <xf numFmtId="43" fontId="2" fillId="0" borderId="0" xfId="1" applyFont="1" applyBorder="1" applyAlignment="1">
      <alignment horizontal="center"/>
    </xf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colors>
    <mruColors>
      <color rgb="FFFC5D42"/>
      <color rgb="FFFFCCFF"/>
      <color rgb="FFFF99CC"/>
      <color rgb="FF9966FF"/>
      <color rgb="FF9933FF"/>
      <color rgb="FF9900FF"/>
      <color rgb="FFFFFF66"/>
      <color rgb="FFFF6699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mail.google.com/mail/u/0?ui=2&amp;ik=13fb7760ea&amp;view=lg&amp;permmsgid=msg-f:17505901311242698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FF94-F2AA-4303-9DE2-631ED6B84BC8}">
  <dimension ref="A1:AM51"/>
  <sheetViews>
    <sheetView zoomScale="90" zoomScaleNormal="90" workbookViewId="0">
      <pane ySplit="2" topLeftCell="A3" activePane="bottomLeft" state="frozen"/>
      <selection activeCell="G4" sqref="G4"/>
      <selection pane="bottomLeft" activeCell="B43" sqref="B43"/>
    </sheetView>
  </sheetViews>
  <sheetFormatPr baseColWidth="10" defaultColWidth="11.42578125" defaultRowHeight="15" x14ac:dyDescent="0.25"/>
  <cols>
    <col min="1" max="1" width="19.28515625" bestFit="1" customWidth="1"/>
    <col min="2" max="2" width="13.28515625" bestFit="1" customWidth="1"/>
    <col min="3" max="3" width="16.42578125" customWidth="1"/>
    <col min="4" max="4" width="1" customWidth="1"/>
    <col min="5" max="5" width="15.5703125" customWidth="1"/>
    <col min="6" max="6" width="10.28515625" customWidth="1"/>
    <col min="7" max="7" width="13" customWidth="1"/>
    <col min="8" max="8" width="1.5703125" customWidth="1"/>
    <col min="9" max="9" width="13.5703125" customWidth="1"/>
    <col min="10" max="10" width="11.42578125" customWidth="1"/>
    <col min="11" max="11" width="13.28515625" customWidth="1"/>
    <col min="12" max="12" width="2" customWidth="1"/>
    <col min="13" max="13" width="11.42578125" customWidth="1"/>
    <col min="15" max="15" width="14.42578125" customWidth="1"/>
    <col min="16" max="16" width="1.85546875" customWidth="1"/>
    <col min="17" max="17" width="20.7109375" bestFit="1" customWidth="1"/>
    <col min="19" max="19" width="14.42578125" customWidth="1"/>
    <col min="20" max="20" width="1.5703125" customWidth="1"/>
    <col min="21" max="21" width="18.5703125" bestFit="1" customWidth="1"/>
    <col min="23" max="23" width="14.42578125" customWidth="1"/>
    <col min="24" max="24" width="1.5703125" customWidth="1"/>
    <col min="25" max="25" width="18.5703125" bestFit="1" customWidth="1"/>
    <col min="27" max="27" width="14.42578125" customWidth="1"/>
    <col min="28" max="28" width="1.5703125" customWidth="1"/>
    <col min="29" max="29" width="18.5703125" bestFit="1" customWidth="1"/>
    <col min="31" max="31" width="14.42578125" customWidth="1"/>
    <col min="32" max="32" width="1.5703125" customWidth="1"/>
    <col min="33" max="33" width="18.5703125" bestFit="1" customWidth="1"/>
    <col min="35" max="35" width="14.42578125" customWidth="1"/>
    <col min="36" max="36" width="1.5703125" customWidth="1"/>
    <col min="37" max="37" width="18.5703125" bestFit="1" customWidth="1"/>
    <col min="39" max="39" width="14.42578125" customWidth="1"/>
  </cols>
  <sheetData>
    <row r="1" spans="1:39" s="104" customFormat="1" ht="17.25" customHeight="1" thickBot="1" x14ac:dyDescent="0.3">
      <c r="C1" s="37" t="s">
        <v>0</v>
      </c>
      <c r="G1" s="37" t="s">
        <v>0</v>
      </c>
      <c r="K1" s="37" t="s">
        <v>0</v>
      </c>
      <c r="N1" s="105"/>
      <c r="O1" s="37" t="s">
        <v>0</v>
      </c>
      <c r="R1" s="105"/>
      <c r="S1" s="37" t="s">
        <v>0</v>
      </c>
      <c r="V1" s="105"/>
      <c r="W1" s="38" t="s">
        <v>1</v>
      </c>
      <c r="Z1" s="105"/>
      <c r="AA1" s="38" t="s">
        <v>1</v>
      </c>
      <c r="AD1" s="105"/>
      <c r="AE1" s="38" t="s">
        <v>1</v>
      </c>
      <c r="AH1" s="105"/>
      <c r="AI1" s="105"/>
      <c r="AL1" s="105"/>
      <c r="AM1" s="105"/>
    </row>
    <row r="2" spans="1:39" s="4" customFormat="1" ht="30.75" customHeight="1" thickBot="1" x14ac:dyDescent="0.3">
      <c r="A2" s="230" t="s">
        <v>2</v>
      </c>
      <c r="B2" s="231"/>
      <c r="C2" s="232"/>
      <c r="E2" s="230" t="s">
        <v>3</v>
      </c>
      <c r="F2" s="231"/>
      <c r="G2" s="232"/>
      <c r="I2" s="230" t="s">
        <v>4</v>
      </c>
      <c r="J2" s="231"/>
      <c r="K2" s="232"/>
      <c r="M2" s="230" t="s">
        <v>5</v>
      </c>
      <c r="N2" s="231"/>
      <c r="O2" s="232"/>
      <c r="Q2" s="230" t="s">
        <v>6</v>
      </c>
      <c r="R2" s="231"/>
      <c r="S2" s="232"/>
      <c r="U2" s="230" t="s">
        <v>7</v>
      </c>
      <c r="V2" s="231"/>
      <c r="W2" s="232"/>
      <c r="Y2" s="230" t="s">
        <v>8</v>
      </c>
      <c r="Z2" s="231"/>
      <c r="AA2" s="232"/>
      <c r="AC2" s="230" t="s">
        <v>9</v>
      </c>
      <c r="AD2" s="231"/>
      <c r="AE2" s="232"/>
      <c r="AG2" s="230"/>
      <c r="AH2" s="231"/>
      <c r="AI2" s="232"/>
      <c r="AK2" s="230"/>
      <c r="AL2" s="231"/>
      <c r="AM2" s="232"/>
    </row>
    <row r="3" spans="1:39" ht="15.75" customHeight="1" thickBot="1" x14ac:dyDescent="0.3">
      <c r="A3" s="6" t="s">
        <v>10</v>
      </c>
      <c r="B3" s="7" t="s">
        <v>11</v>
      </c>
      <c r="C3" s="8" t="s">
        <v>12</v>
      </c>
      <c r="E3" s="6" t="s">
        <v>10</v>
      </c>
      <c r="F3" s="7" t="s">
        <v>11</v>
      </c>
      <c r="G3" s="8" t="s">
        <v>12</v>
      </c>
      <c r="I3" s="6" t="s">
        <v>10</v>
      </c>
      <c r="J3" s="7" t="s">
        <v>11</v>
      </c>
      <c r="K3" s="8" t="s">
        <v>12</v>
      </c>
      <c r="M3" s="6" t="s">
        <v>10</v>
      </c>
      <c r="N3" s="7" t="s">
        <v>11</v>
      </c>
      <c r="O3" s="8" t="s">
        <v>12</v>
      </c>
      <c r="Q3" s="6" t="s">
        <v>10</v>
      </c>
      <c r="R3" s="7" t="s">
        <v>11</v>
      </c>
      <c r="S3" s="8" t="s">
        <v>12</v>
      </c>
      <c r="U3" s="6" t="s">
        <v>10</v>
      </c>
      <c r="V3" s="7" t="s">
        <v>11</v>
      </c>
      <c r="W3" s="8" t="s">
        <v>12</v>
      </c>
      <c r="Y3" s="6" t="s">
        <v>10</v>
      </c>
      <c r="Z3" s="7" t="s">
        <v>11</v>
      </c>
      <c r="AA3" s="8" t="s">
        <v>12</v>
      </c>
      <c r="AC3" s="6" t="s">
        <v>10</v>
      </c>
      <c r="AD3" s="7" t="s">
        <v>11</v>
      </c>
      <c r="AE3" s="8" t="s">
        <v>12</v>
      </c>
      <c r="AG3" s="6" t="s">
        <v>10</v>
      </c>
      <c r="AH3" s="7" t="s">
        <v>11</v>
      </c>
      <c r="AI3" s="8" t="s">
        <v>12</v>
      </c>
      <c r="AK3" s="6" t="s">
        <v>10</v>
      </c>
      <c r="AL3" s="7" t="s">
        <v>11</v>
      </c>
      <c r="AM3" s="8" t="s">
        <v>12</v>
      </c>
    </row>
    <row r="4" spans="1:39" s="1" customFormat="1" x14ac:dyDescent="0.25">
      <c r="A4" s="39">
        <v>1</v>
      </c>
      <c r="B4" s="102">
        <v>581</v>
      </c>
      <c r="C4" s="103">
        <v>546</v>
      </c>
      <c r="E4" s="30">
        <v>1</v>
      </c>
      <c r="F4" s="102">
        <v>916</v>
      </c>
      <c r="G4" s="103">
        <v>879</v>
      </c>
      <c r="I4" s="30">
        <v>1</v>
      </c>
      <c r="J4" s="30">
        <v>714</v>
      </c>
      <c r="K4" s="31">
        <v>679</v>
      </c>
      <c r="M4" s="39">
        <v>1</v>
      </c>
      <c r="N4" s="30">
        <v>588</v>
      </c>
      <c r="O4" s="31">
        <v>553</v>
      </c>
      <c r="P4" s="1">
        <v>97044</v>
      </c>
      <c r="Q4" s="39">
        <v>1</v>
      </c>
      <c r="R4" s="30">
        <v>462</v>
      </c>
      <c r="S4" s="56">
        <v>427</v>
      </c>
      <c r="U4" s="39">
        <v>1</v>
      </c>
      <c r="V4" s="30">
        <v>836</v>
      </c>
      <c r="W4" s="31">
        <v>811</v>
      </c>
      <c r="Y4" s="39">
        <v>1</v>
      </c>
      <c r="Z4" s="30">
        <v>838</v>
      </c>
      <c r="AA4" s="31">
        <v>816</v>
      </c>
      <c r="AC4" s="39">
        <v>1</v>
      </c>
      <c r="AD4" s="30">
        <v>611</v>
      </c>
      <c r="AE4" s="31">
        <v>576</v>
      </c>
      <c r="AG4" s="39"/>
      <c r="AH4" s="30"/>
      <c r="AI4" s="31"/>
      <c r="AK4" s="39"/>
      <c r="AL4" s="30"/>
      <c r="AM4" s="31"/>
    </row>
    <row r="5" spans="1:39" s="1" customFormat="1" x14ac:dyDescent="0.25">
      <c r="A5" s="12">
        <v>2</v>
      </c>
      <c r="B5" s="30">
        <v>578</v>
      </c>
      <c r="C5" s="31">
        <v>543</v>
      </c>
      <c r="E5" s="30">
        <v>2</v>
      </c>
      <c r="F5" s="30">
        <v>939</v>
      </c>
      <c r="G5" s="31">
        <v>902</v>
      </c>
      <c r="I5" s="30"/>
      <c r="J5" s="30"/>
      <c r="K5" s="31"/>
      <c r="M5" s="12"/>
      <c r="N5" s="30"/>
      <c r="O5" s="56"/>
      <c r="P5" s="1">
        <v>97044</v>
      </c>
      <c r="Q5" s="30">
        <v>2</v>
      </c>
      <c r="R5" s="30">
        <v>466</v>
      </c>
      <c r="S5" s="56">
        <v>429</v>
      </c>
      <c r="U5" s="12">
        <v>2</v>
      </c>
      <c r="V5" s="30">
        <v>836</v>
      </c>
      <c r="W5" s="56">
        <v>814</v>
      </c>
      <c r="Y5" s="12">
        <v>2</v>
      </c>
      <c r="Z5" s="30">
        <v>845</v>
      </c>
      <c r="AA5" s="31">
        <v>823</v>
      </c>
      <c r="AC5" s="12"/>
      <c r="AD5" s="30"/>
      <c r="AE5" s="56"/>
      <c r="AG5" s="12"/>
      <c r="AH5" s="30"/>
      <c r="AI5" s="56"/>
      <c r="AK5" s="12"/>
      <c r="AL5" s="30"/>
      <c r="AM5" s="56"/>
    </row>
    <row r="6" spans="1:39" s="1" customFormat="1" x14ac:dyDescent="0.25">
      <c r="A6" s="12">
        <v>3</v>
      </c>
      <c r="B6" s="30">
        <v>570</v>
      </c>
      <c r="C6" s="31">
        <v>533</v>
      </c>
      <c r="E6" s="30"/>
      <c r="G6" s="30"/>
      <c r="I6" s="30"/>
      <c r="J6" s="30"/>
      <c r="K6" s="31"/>
      <c r="M6" s="12"/>
      <c r="N6" s="30"/>
      <c r="O6" s="56"/>
      <c r="P6" s="1">
        <v>97044</v>
      </c>
      <c r="Q6" s="12">
        <v>3</v>
      </c>
      <c r="R6" s="30">
        <v>455</v>
      </c>
      <c r="S6" s="56">
        <v>420</v>
      </c>
      <c r="U6" s="12">
        <v>3</v>
      </c>
      <c r="V6" s="30">
        <v>832</v>
      </c>
      <c r="W6" s="56">
        <v>810</v>
      </c>
      <c r="Y6" s="12" t="s">
        <v>13</v>
      </c>
      <c r="Z6" s="30">
        <v>522</v>
      </c>
      <c r="AA6" s="56">
        <v>500</v>
      </c>
      <c r="AC6" s="12"/>
      <c r="AD6" s="30"/>
      <c r="AE6" s="56"/>
      <c r="AG6" s="12"/>
      <c r="AH6" s="30"/>
      <c r="AI6" s="56"/>
      <c r="AK6" s="12"/>
      <c r="AL6" s="30"/>
      <c r="AM6" s="56"/>
    </row>
    <row r="7" spans="1:39" s="1" customFormat="1" ht="15" customHeight="1" x14ac:dyDescent="0.25">
      <c r="A7" s="12" t="s">
        <v>14</v>
      </c>
      <c r="B7" s="30">
        <v>260</v>
      </c>
      <c r="C7" s="31">
        <v>235</v>
      </c>
      <c r="E7" s="30"/>
      <c r="F7" s="30"/>
      <c r="G7" s="56"/>
      <c r="I7" s="30"/>
      <c r="J7" s="30"/>
      <c r="K7" s="31"/>
      <c r="M7" s="12"/>
      <c r="N7" s="30"/>
      <c r="O7" s="56"/>
      <c r="P7" s="107">
        <v>97046</v>
      </c>
      <c r="Q7" s="106">
        <v>1</v>
      </c>
      <c r="R7" s="30">
        <v>462</v>
      </c>
      <c r="S7" s="56">
        <v>427</v>
      </c>
      <c r="U7" s="12" t="s">
        <v>15</v>
      </c>
      <c r="V7" s="30">
        <v>281</v>
      </c>
      <c r="W7" s="56">
        <v>261</v>
      </c>
      <c r="Y7" s="12"/>
      <c r="Z7" s="30"/>
      <c r="AA7" s="56"/>
      <c r="AC7" s="12"/>
      <c r="AD7" s="30"/>
      <c r="AE7" s="56"/>
      <c r="AG7" s="12"/>
      <c r="AH7" s="30"/>
      <c r="AI7" s="56"/>
      <c r="AK7" s="12"/>
      <c r="AL7" s="30"/>
      <c r="AM7" s="56"/>
    </row>
    <row r="8" spans="1:39" s="1" customFormat="1" ht="15" customHeight="1" thickBot="1" x14ac:dyDescent="0.3">
      <c r="A8" s="12"/>
      <c r="B8" s="30"/>
      <c r="C8" s="31"/>
      <c r="E8" s="30"/>
      <c r="F8" s="30"/>
      <c r="G8" s="31"/>
      <c r="I8" s="96"/>
      <c r="J8" s="30"/>
      <c r="K8" s="56"/>
      <c r="M8" s="12"/>
      <c r="N8" s="30"/>
      <c r="O8" s="56"/>
      <c r="Q8" s="12"/>
      <c r="R8" s="30"/>
      <c r="S8" s="56"/>
      <c r="U8" s="12"/>
      <c r="V8" s="30"/>
      <c r="W8" s="56"/>
      <c r="Y8" s="12"/>
      <c r="Z8" s="30"/>
      <c r="AA8" s="56"/>
      <c r="AC8" s="12"/>
      <c r="AD8" s="30"/>
      <c r="AE8" s="56"/>
      <c r="AG8" s="12"/>
      <c r="AH8" s="30"/>
      <c r="AI8" s="56"/>
      <c r="AK8" s="12"/>
      <c r="AL8" s="30"/>
      <c r="AM8" s="56"/>
    </row>
    <row r="9" spans="1:39" s="1" customFormat="1" ht="15" customHeight="1" thickBot="1" x14ac:dyDescent="0.3">
      <c r="A9" s="12"/>
      <c r="B9" s="30"/>
      <c r="C9" s="31"/>
      <c r="E9" s="30"/>
      <c r="F9" s="30"/>
      <c r="G9" s="31"/>
      <c r="I9" s="96"/>
      <c r="J9" s="30"/>
      <c r="K9" s="31"/>
      <c r="M9" s="12"/>
      <c r="N9" s="30"/>
      <c r="O9" s="31"/>
      <c r="Q9" s="12"/>
      <c r="R9" s="30"/>
      <c r="S9" s="31"/>
      <c r="U9" s="12"/>
      <c r="V9" s="30"/>
      <c r="W9" s="31"/>
      <c r="Y9" s="12"/>
      <c r="Z9" s="30"/>
      <c r="AA9" s="31"/>
      <c r="AC9" s="12"/>
      <c r="AD9" s="30"/>
      <c r="AE9" s="31"/>
      <c r="AG9" s="39"/>
      <c r="AH9" s="30"/>
      <c r="AI9" s="31"/>
      <c r="AK9" s="12"/>
      <c r="AL9" s="30"/>
      <c r="AM9" s="31"/>
    </row>
    <row r="10" spans="1:39" s="1" customFormat="1" ht="15" customHeight="1" x14ac:dyDescent="0.25">
      <c r="A10" s="12"/>
      <c r="B10" s="30"/>
      <c r="C10" s="31"/>
      <c r="E10" s="30"/>
      <c r="F10" s="30"/>
      <c r="G10" s="31"/>
      <c r="I10" s="96"/>
      <c r="J10" s="30"/>
      <c r="K10" s="31"/>
      <c r="M10" s="12"/>
      <c r="N10" s="30"/>
      <c r="O10" s="56"/>
      <c r="Q10" s="12"/>
      <c r="R10" s="30"/>
      <c r="S10" s="56"/>
      <c r="U10" s="12"/>
      <c r="V10" s="30"/>
      <c r="W10" s="56"/>
      <c r="Y10" s="12"/>
      <c r="Z10" s="30"/>
      <c r="AA10" s="56"/>
      <c r="AC10" s="12"/>
      <c r="AD10" s="30"/>
      <c r="AE10" s="56"/>
      <c r="AG10" s="39"/>
      <c r="AH10" s="30"/>
      <c r="AI10" s="56"/>
      <c r="AK10" s="12"/>
      <c r="AL10" s="30"/>
      <c r="AM10" s="56"/>
    </row>
    <row r="11" spans="1:39" s="1" customFormat="1" ht="15" customHeight="1" x14ac:dyDescent="0.25">
      <c r="A11" s="12"/>
      <c r="B11" s="30"/>
      <c r="C11" s="56"/>
      <c r="E11" s="30"/>
      <c r="F11" s="30"/>
      <c r="G11" s="31"/>
      <c r="I11" s="96"/>
      <c r="J11" s="30"/>
      <c r="K11" s="31"/>
      <c r="M11" s="12"/>
      <c r="N11" s="30"/>
      <c r="O11" s="31"/>
      <c r="Q11" s="12"/>
      <c r="R11" s="30"/>
      <c r="S11" s="31"/>
      <c r="U11" s="12"/>
      <c r="V11" s="30"/>
      <c r="W11" s="31"/>
      <c r="Y11" s="12"/>
      <c r="Z11" s="30"/>
      <c r="AA11" s="31"/>
      <c r="AC11" s="12"/>
      <c r="AD11" s="30"/>
      <c r="AE11" s="31"/>
      <c r="AG11" s="12"/>
      <c r="AH11" s="30"/>
      <c r="AI11" s="56"/>
      <c r="AK11" s="12"/>
      <c r="AL11" s="30"/>
      <c r="AM11" s="31"/>
    </row>
    <row r="12" spans="1:39" s="1" customFormat="1" ht="15" customHeight="1" x14ac:dyDescent="0.25">
      <c r="A12" s="12"/>
      <c r="B12" s="30"/>
      <c r="C12" s="31"/>
      <c r="E12" s="30"/>
      <c r="F12" s="30"/>
      <c r="G12" s="31"/>
      <c r="I12" s="88"/>
      <c r="J12" s="30"/>
      <c r="K12" s="31"/>
      <c r="M12" s="12"/>
      <c r="N12" s="30"/>
      <c r="O12" s="31"/>
      <c r="Q12" s="12"/>
      <c r="R12" s="30"/>
      <c r="S12" s="31"/>
      <c r="U12" s="12"/>
      <c r="V12" s="30"/>
      <c r="W12" s="31"/>
      <c r="Y12" s="12"/>
      <c r="Z12" s="30"/>
      <c r="AA12" s="31"/>
      <c r="AC12" s="12"/>
      <c r="AD12" s="30"/>
      <c r="AE12" s="31"/>
      <c r="AG12" s="12"/>
      <c r="AH12" s="30"/>
      <c r="AI12" s="56"/>
      <c r="AK12" s="12"/>
      <c r="AL12" s="30"/>
      <c r="AM12" s="31"/>
    </row>
    <row r="13" spans="1:39" s="1" customFormat="1" ht="15" customHeight="1" x14ac:dyDescent="0.25">
      <c r="A13" s="12"/>
      <c r="B13" s="30"/>
      <c r="C13" s="31"/>
      <c r="E13" s="30"/>
      <c r="F13" s="30"/>
      <c r="G13" s="31"/>
      <c r="I13" s="12"/>
      <c r="J13" s="30"/>
      <c r="K13" s="31"/>
      <c r="M13" s="12"/>
      <c r="N13" s="30"/>
      <c r="O13" s="31"/>
      <c r="Q13" s="108"/>
      <c r="R13" s="30"/>
      <c r="S13" s="31"/>
      <c r="U13" s="12"/>
      <c r="V13" s="30"/>
      <c r="W13" s="31"/>
      <c r="Y13" s="12"/>
      <c r="Z13" s="30"/>
      <c r="AA13" s="31"/>
      <c r="AC13" s="12"/>
      <c r="AD13" s="30"/>
      <c r="AE13" s="31"/>
      <c r="AG13" s="12"/>
      <c r="AH13" s="30"/>
      <c r="AI13" s="56"/>
      <c r="AK13" s="12"/>
      <c r="AL13" s="30"/>
      <c r="AM13" s="31"/>
    </row>
    <row r="14" spans="1:39" s="1" customFormat="1" ht="15" customHeight="1" x14ac:dyDescent="0.25">
      <c r="A14" s="57"/>
      <c r="B14" s="30"/>
      <c r="C14" s="31"/>
      <c r="E14" s="57"/>
      <c r="F14" s="30"/>
      <c r="G14" s="31"/>
      <c r="I14" s="12"/>
      <c r="J14" s="30"/>
      <c r="K14" s="31"/>
      <c r="M14" s="12"/>
      <c r="N14" s="30"/>
      <c r="O14" s="31"/>
      <c r="Q14" s="108"/>
      <c r="R14" s="30"/>
      <c r="S14" s="31"/>
      <c r="U14" s="12"/>
      <c r="V14" s="30"/>
      <c r="W14" s="31"/>
      <c r="Y14" s="12"/>
      <c r="Z14" s="30"/>
      <c r="AA14" s="31"/>
      <c r="AC14" s="12"/>
      <c r="AD14" s="30"/>
      <c r="AE14" s="31"/>
      <c r="AG14" s="12"/>
      <c r="AH14" s="30"/>
      <c r="AI14" s="31"/>
      <c r="AK14" s="12"/>
      <c r="AL14" s="30"/>
      <c r="AM14" s="31"/>
    </row>
    <row r="15" spans="1:39" s="1" customFormat="1" ht="15" customHeight="1" x14ac:dyDescent="0.25">
      <c r="A15" s="12"/>
      <c r="B15" s="30"/>
      <c r="C15" s="31"/>
      <c r="E15" s="12"/>
      <c r="F15" s="30"/>
      <c r="G15" s="31"/>
      <c r="I15" s="12"/>
      <c r="J15" s="30"/>
      <c r="K15" s="31"/>
      <c r="M15" s="12"/>
      <c r="N15" s="30"/>
      <c r="O15" s="31"/>
      <c r="Q15" s="12"/>
      <c r="R15" s="30"/>
      <c r="S15" s="31"/>
      <c r="U15" s="12"/>
      <c r="V15" s="30"/>
      <c r="W15" s="31"/>
      <c r="Y15" s="12"/>
      <c r="Z15" s="30"/>
      <c r="AA15" s="31"/>
      <c r="AC15" s="12"/>
      <c r="AD15" s="30"/>
      <c r="AE15" s="31"/>
      <c r="AG15" s="12"/>
      <c r="AH15" s="30"/>
      <c r="AI15" s="31"/>
      <c r="AK15" s="12"/>
      <c r="AL15" s="30"/>
      <c r="AM15" s="31"/>
    </row>
    <row r="16" spans="1:39" x14ac:dyDescent="0.25">
      <c r="A16" s="12"/>
      <c r="B16" s="30"/>
      <c r="C16" s="31"/>
      <c r="E16" s="12"/>
      <c r="F16" s="30"/>
      <c r="G16" s="31"/>
      <c r="I16" s="12"/>
      <c r="J16" s="30"/>
      <c r="K16" s="31"/>
      <c r="M16" s="12"/>
      <c r="N16" s="30"/>
      <c r="O16" s="31"/>
      <c r="Q16" s="12"/>
      <c r="R16" s="30"/>
      <c r="S16" s="31"/>
      <c r="U16" s="12"/>
      <c r="V16" s="30"/>
      <c r="W16" s="31"/>
      <c r="Y16" s="12"/>
      <c r="Z16" s="30"/>
      <c r="AA16" s="31"/>
      <c r="AC16" s="12"/>
      <c r="AD16" s="30"/>
      <c r="AE16" s="31"/>
      <c r="AG16" s="12"/>
      <c r="AH16" s="30"/>
      <c r="AI16" s="31"/>
      <c r="AK16" s="12"/>
      <c r="AL16" s="30"/>
      <c r="AM16" s="31"/>
    </row>
    <row r="17" spans="1:39" x14ac:dyDescent="0.25">
      <c r="A17" s="12"/>
      <c r="B17" s="30"/>
      <c r="C17" s="31"/>
      <c r="E17" s="12"/>
      <c r="F17" s="30"/>
      <c r="G17" s="31"/>
      <c r="I17" s="12"/>
      <c r="J17" s="30"/>
      <c r="K17" s="31"/>
      <c r="M17" s="12"/>
      <c r="N17" s="30"/>
      <c r="O17" s="31"/>
      <c r="Q17" s="12"/>
      <c r="R17" s="30"/>
      <c r="S17" s="31"/>
      <c r="U17" s="12"/>
      <c r="V17" s="30"/>
      <c r="W17" s="31"/>
      <c r="Y17" s="12"/>
      <c r="Z17" s="30"/>
      <c r="AA17" s="31"/>
      <c r="AC17" s="12"/>
      <c r="AD17" s="30"/>
      <c r="AE17" s="31"/>
      <c r="AG17" s="12"/>
      <c r="AH17" s="30"/>
      <c r="AI17" s="31"/>
      <c r="AK17" s="12"/>
      <c r="AL17" s="30"/>
      <c r="AM17" s="31"/>
    </row>
    <row r="18" spans="1:39" ht="15.75" thickBot="1" x14ac:dyDescent="0.3">
      <c r="A18" s="40"/>
      <c r="B18" s="41"/>
      <c r="C18" s="42"/>
      <c r="E18" s="12"/>
      <c r="F18" s="41"/>
      <c r="G18" s="42"/>
      <c r="I18" s="40"/>
      <c r="J18" s="41"/>
      <c r="K18" s="42"/>
      <c r="M18" s="40"/>
      <c r="N18" s="41"/>
      <c r="O18" s="42"/>
      <c r="Q18" s="40"/>
      <c r="R18" s="41"/>
      <c r="S18" s="42"/>
      <c r="U18" s="40"/>
      <c r="V18" s="41"/>
      <c r="W18" s="42"/>
      <c r="Y18" s="40"/>
      <c r="Z18" s="41"/>
      <c r="AA18" s="42"/>
      <c r="AC18" s="40"/>
      <c r="AD18" s="41"/>
      <c r="AE18" s="42"/>
      <c r="AG18" s="40"/>
      <c r="AH18" s="41"/>
      <c r="AI18" s="42"/>
      <c r="AK18" s="40"/>
      <c r="AL18" s="41"/>
      <c r="AM18" s="42"/>
    </row>
    <row r="19" spans="1:39" ht="15.75" thickBot="1" x14ac:dyDescent="0.3">
      <c r="A19" s="11"/>
      <c r="B19" s="9">
        <f>SUM(B4:B18)</f>
        <v>1989</v>
      </c>
      <c r="C19" s="10">
        <f>SUM(C4:C18)</f>
        <v>1857</v>
      </c>
      <c r="E19" s="11"/>
      <c r="F19" s="9">
        <f>SUM(F4:F18)</f>
        <v>1855</v>
      </c>
      <c r="G19" s="10">
        <f>SUM(G4:G18)</f>
        <v>1781</v>
      </c>
      <c r="I19" s="11"/>
      <c r="J19" s="9">
        <f>SUM(J4:J18)</f>
        <v>714</v>
      </c>
      <c r="K19" s="10">
        <f>SUM(K4:K18)</f>
        <v>679</v>
      </c>
      <c r="M19" s="11"/>
      <c r="N19" s="9">
        <f>SUM(N4:N18)</f>
        <v>588</v>
      </c>
      <c r="O19" s="10">
        <f>SUM(O4:O18)</f>
        <v>553</v>
      </c>
      <c r="Q19" s="11"/>
      <c r="R19" s="9">
        <f>SUM(R4:R18)</f>
        <v>1845</v>
      </c>
      <c r="S19" s="10">
        <f>SUM(S4:S18)</f>
        <v>1703</v>
      </c>
      <c r="U19" s="11"/>
      <c r="V19" s="9">
        <f>SUM(V4:V18)</f>
        <v>2785</v>
      </c>
      <c r="W19" s="10">
        <f>SUM(W4:W18)</f>
        <v>2696</v>
      </c>
      <c r="Y19" s="11"/>
      <c r="Z19" s="9">
        <f>SUM(Z4:Z18)</f>
        <v>2205</v>
      </c>
      <c r="AA19" s="10">
        <f>SUM(AA4:AA18)</f>
        <v>2139</v>
      </c>
      <c r="AC19" s="11"/>
      <c r="AD19" s="9">
        <f>SUM(AD4:AD18)</f>
        <v>611</v>
      </c>
      <c r="AE19" s="10">
        <f>SUM(AE4:AE18)</f>
        <v>576</v>
      </c>
      <c r="AG19" s="11"/>
      <c r="AH19" s="9">
        <f>SUM(AH4:AH18)</f>
        <v>0</v>
      </c>
      <c r="AI19" s="10">
        <f>SUM(AI4:AI18)</f>
        <v>0</v>
      </c>
      <c r="AK19" s="11"/>
      <c r="AL19" s="9">
        <f>SUM(AL4:AL18)</f>
        <v>0</v>
      </c>
      <c r="AM19" s="10">
        <f>SUM(AM4:AM18)</f>
        <v>0</v>
      </c>
    </row>
    <row r="20" spans="1:39" s="34" customFormat="1" ht="15.75" thickBot="1" x14ac:dyDescent="0.3">
      <c r="G20" s="3"/>
      <c r="K20" s="3"/>
      <c r="O20" s="3"/>
      <c r="S20" s="3"/>
      <c r="W20" s="3"/>
      <c r="AA20" s="3"/>
      <c r="AE20" s="3"/>
      <c r="AI20" s="3"/>
      <c r="AM20" s="3"/>
    </row>
    <row r="21" spans="1:39" s="4" customFormat="1" ht="30.75" customHeight="1" thickBot="1" x14ac:dyDescent="0.3">
      <c r="A21" s="230" t="str">
        <f>A2</f>
        <v>002-40-55032-01 Dole 23oz Romaine USA w/Zipper</v>
      </c>
      <c r="B21" s="231"/>
      <c r="C21" s="232"/>
      <c r="E21" s="230" t="str">
        <f>E2</f>
        <v>506961A MANN 3CT ROMAINE HEARTS w/ZIP</v>
      </c>
      <c r="F21" s="231"/>
      <c r="G21" s="232"/>
      <c r="I21" s="230" t="str">
        <f>I2</f>
        <v>14019188-01 FOXY 3CT ROM HEARTS 18OZ USA</v>
      </c>
      <c r="J21" s="231"/>
      <c r="K21" s="232"/>
      <c r="M21" s="230" t="str">
        <f>M2</f>
        <v>002-40-56065-02 Wild Hrvst 3ct O Rom Hrt US</v>
      </c>
      <c r="N21" s="231"/>
      <c r="O21" s="232"/>
      <c r="Q21" s="230" t="str">
        <f>Q2</f>
        <v>1351 Church Bros 3ct Rom Hrts - BI</v>
      </c>
      <c r="R21" s="231"/>
      <c r="S21" s="232"/>
      <c r="U21" s="230" t="str">
        <f>U2</f>
        <v>300000859 5/8OZ DOLE SLC STRAW/BAN- OUT</v>
      </c>
      <c r="V21" s="231"/>
      <c r="W21" s="232"/>
      <c r="Y21" s="230" t="str">
        <f>Y2</f>
        <v>300000708 5-8oz Dole Mixed Ber Bib Out</v>
      </c>
      <c r="Z21" s="231"/>
      <c r="AA21" s="232"/>
      <c r="AC21" s="230" t="str">
        <f>AC2</f>
        <v>KER-092 1LB NATURES GOLD FS</v>
      </c>
      <c r="AD21" s="231"/>
      <c r="AE21" s="232"/>
      <c r="AG21" s="230">
        <f>AG2</f>
        <v>0</v>
      </c>
      <c r="AH21" s="231"/>
      <c r="AI21" s="232"/>
      <c r="AK21" s="230">
        <f>AK2</f>
        <v>0</v>
      </c>
      <c r="AL21" s="231"/>
      <c r="AM21" s="232"/>
    </row>
    <row r="22" spans="1:39" ht="15.75" customHeight="1" thickBot="1" x14ac:dyDescent="0.3">
      <c r="A22" s="1"/>
      <c r="B22" s="1"/>
      <c r="C22" s="1"/>
      <c r="I22" s="1"/>
    </row>
    <row r="23" spans="1:39" ht="15.75" thickBot="1" x14ac:dyDescent="0.3">
      <c r="A23" s="26" t="s">
        <v>16</v>
      </c>
      <c r="B23" s="1"/>
      <c r="C23" s="13">
        <v>12611</v>
      </c>
      <c r="E23" s="26" t="s">
        <v>16</v>
      </c>
      <c r="F23" s="1"/>
      <c r="G23" s="13">
        <v>12473</v>
      </c>
      <c r="I23" s="26" t="s">
        <v>16</v>
      </c>
      <c r="J23" s="1"/>
      <c r="K23" s="13">
        <v>13014</v>
      </c>
      <c r="M23" s="26" t="s">
        <v>16</v>
      </c>
      <c r="N23" s="1"/>
      <c r="O23" s="13">
        <v>13051</v>
      </c>
      <c r="Q23" s="26" t="s">
        <v>16</v>
      </c>
      <c r="R23" s="1"/>
      <c r="S23" s="13">
        <v>12827</v>
      </c>
      <c r="U23" s="26" t="s">
        <v>16</v>
      </c>
      <c r="V23" s="1"/>
      <c r="W23" s="13">
        <v>12875</v>
      </c>
      <c r="Y23" s="26" t="s">
        <v>16</v>
      </c>
      <c r="Z23" s="1"/>
      <c r="AA23" s="13">
        <v>13062</v>
      </c>
      <c r="AC23" s="26" t="s">
        <v>16</v>
      </c>
      <c r="AD23" s="1"/>
      <c r="AE23" s="13">
        <v>12876</v>
      </c>
      <c r="AG23" s="26" t="s">
        <v>16</v>
      </c>
      <c r="AH23" s="1"/>
      <c r="AI23" s="13"/>
      <c r="AK23" s="26" t="s">
        <v>16</v>
      </c>
      <c r="AL23" s="1"/>
      <c r="AM23" s="13"/>
    </row>
    <row r="24" spans="1:39" ht="15.75" customHeight="1" thickBot="1" x14ac:dyDescent="0.3">
      <c r="A24" s="5" t="s">
        <v>17</v>
      </c>
      <c r="C24" s="13">
        <v>9393</v>
      </c>
      <c r="E24" s="5" t="s">
        <v>17</v>
      </c>
      <c r="F24" s="1"/>
      <c r="G24" s="13">
        <v>9365</v>
      </c>
      <c r="I24" s="5" t="s">
        <v>17</v>
      </c>
      <c r="J24" s="1"/>
      <c r="K24" s="13">
        <v>9507</v>
      </c>
      <c r="M24" s="5" t="s">
        <v>17</v>
      </c>
      <c r="N24" s="1"/>
      <c r="O24" s="13">
        <v>9517</v>
      </c>
      <c r="Q24" s="5" t="s">
        <v>17</v>
      </c>
      <c r="R24" s="1"/>
      <c r="S24" s="13" t="s">
        <v>18</v>
      </c>
      <c r="U24" s="5" t="s">
        <v>17</v>
      </c>
      <c r="V24" s="1"/>
      <c r="W24" s="13">
        <v>9443</v>
      </c>
      <c r="Y24" s="5" t="s">
        <v>17</v>
      </c>
      <c r="Z24" s="1"/>
      <c r="AA24" s="13">
        <v>9527</v>
      </c>
      <c r="AC24" s="5" t="s">
        <v>17</v>
      </c>
      <c r="AD24" s="1"/>
      <c r="AE24" s="13">
        <v>9416</v>
      </c>
      <c r="AG24" s="5" t="s">
        <v>17</v>
      </c>
      <c r="AH24" s="1"/>
      <c r="AI24" s="13"/>
      <c r="AK24" s="5" t="s">
        <v>17</v>
      </c>
      <c r="AL24" s="1"/>
      <c r="AM24" s="13"/>
    </row>
    <row r="25" spans="1:39" ht="15.75" customHeight="1" thickBot="1" x14ac:dyDescent="0.3">
      <c r="A25" s="5" t="s">
        <v>19</v>
      </c>
      <c r="C25" s="58">
        <v>97043</v>
      </c>
      <c r="E25" s="5" t="s">
        <v>19</v>
      </c>
      <c r="F25" s="1"/>
      <c r="G25" s="58">
        <v>97048</v>
      </c>
      <c r="I25" s="5" t="s">
        <v>19</v>
      </c>
      <c r="J25" s="1"/>
      <c r="K25" s="58">
        <v>97050</v>
      </c>
      <c r="M25" s="5" t="s">
        <v>19</v>
      </c>
      <c r="N25" s="1"/>
      <c r="O25" s="58">
        <v>97045</v>
      </c>
      <c r="Q25" s="5" t="s">
        <v>19</v>
      </c>
      <c r="R25" s="1"/>
      <c r="S25" s="58" t="s">
        <v>20</v>
      </c>
      <c r="U25" s="5" t="s">
        <v>19</v>
      </c>
      <c r="V25" s="1"/>
      <c r="W25" s="58">
        <v>97030</v>
      </c>
      <c r="Y25" s="5" t="s">
        <v>19</v>
      </c>
      <c r="Z25" s="1"/>
      <c r="AA25" s="58">
        <v>97031</v>
      </c>
      <c r="AC25" s="5" t="s">
        <v>19</v>
      </c>
      <c r="AD25" s="1"/>
      <c r="AE25" s="58">
        <v>97032</v>
      </c>
      <c r="AG25" s="5" t="s">
        <v>19</v>
      </c>
      <c r="AH25" s="1"/>
      <c r="AI25" s="58"/>
      <c r="AK25" s="5" t="s">
        <v>19</v>
      </c>
      <c r="AL25" s="1"/>
      <c r="AM25" s="58"/>
    </row>
    <row r="26" spans="1:39" ht="15.75" customHeight="1" x14ac:dyDescent="0.25">
      <c r="A26" s="5" t="s">
        <v>21</v>
      </c>
      <c r="B26" s="1"/>
      <c r="C26" s="22">
        <v>1000</v>
      </c>
      <c r="E26" s="5" t="s">
        <v>21</v>
      </c>
      <c r="F26" s="1"/>
      <c r="G26" s="22">
        <v>2000</v>
      </c>
      <c r="I26" s="5" t="s">
        <v>21</v>
      </c>
      <c r="J26" s="1"/>
      <c r="K26" s="22">
        <v>2000</v>
      </c>
      <c r="M26" s="5" t="s">
        <v>21</v>
      </c>
      <c r="N26" s="1"/>
      <c r="O26" s="22">
        <v>1000</v>
      </c>
      <c r="Q26" s="5" t="s">
        <v>21</v>
      </c>
      <c r="R26" s="1"/>
      <c r="S26" s="22">
        <v>1000</v>
      </c>
      <c r="U26" s="89" t="s">
        <v>22</v>
      </c>
      <c r="V26" s="1"/>
      <c r="W26" s="22">
        <v>2826</v>
      </c>
      <c r="Y26" s="89" t="s">
        <v>22</v>
      </c>
      <c r="Z26" s="1"/>
      <c r="AA26" s="22">
        <v>2826</v>
      </c>
      <c r="AC26" s="5" t="s">
        <v>21</v>
      </c>
      <c r="AD26" s="1"/>
      <c r="AE26" s="22">
        <v>4000</v>
      </c>
      <c r="AG26" s="89" t="s">
        <v>22</v>
      </c>
      <c r="AH26" s="1"/>
      <c r="AI26" s="22"/>
      <c r="AK26" s="89"/>
      <c r="AL26" s="1"/>
      <c r="AM26" s="22"/>
    </row>
    <row r="27" spans="1:39" ht="15.75" customHeight="1" x14ac:dyDescent="0.25">
      <c r="A27" s="5" t="s">
        <v>23</v>
      </c>
      <c r="B27" s="1"/>
      <c r="C27" s="24">
        <v>63</v>
      </c>
      <c r="E27" s="5" t="s">
        <v>23</v>
      </c>
      <c r="F27" s="1"/>
      <c r="G27" s="24">
        <v>50</v>
      </c>
      <c r="I27" s="5" t="s">
        <v>23</v>
      </c>
      <c r="J27" s="1"/>
      <c r="K27" s="24">
        <v>42</v>
      </c>
      <c r="M27" s="5" t="s">
        <v>23</v>
      </c>
      <c r="N27" s="1"/>
      <c r="O27" s="24">
        <v>63</v>
      </c>
      <c r="Q27" s="5" t="s">
        <v>23</v>
      </c>
      <c r="R27" s="1"/>
      <c r="S27" s="24">
        <v>50</v>
      </c>
      <c r="U27" s="90" t="s">
        <v>24</v>
      </c>
      <c r="V27" s="1"/>
      <c r="W27" s="24">
        <v>18</v>
      </c>
      <c r="Y27" s="90" t="s">
        <v>24</v>
      </c>
      <c r="Z27" s="1"/>
      <c r="AA27" s="24">
        <v>18</v>
      </c>
      <c r="AC27" s="5" t="s">
        <v>23</v>
      </c>
      <c r="AD27" s="1"/>
      <c r="AE27" s="24">
        <v>36</v>
      </c>
      <c r="AG27" s="90" t="s">
        <v>24</v>
      </c>
      <c r="AH27" s="1"/>
      <c r="AI27" s="24"/>
      <c r="AK27" s="90"/>
      <c r="AL27" s="1"/>
      <c r="AM27" s="24"/>
    </row>
    <row r="28" spans="1:39" ht="15.75" customHeight="1" x14ac:dyDescent="0.25">
      <c r="A28" s="5" t="s">
        <v>25</v>
      </c>
      <c r="B28" s="1"/>
      <c r="C28" s="23">
        <f>C26*C27</f>
        <v>63000</v>
      </c>
      <c r="E28" s="5" t="s">
        <v>25</v>
      </c>
      <c r="F28" s="1"/>
      <c r="G28" s="23">
        <f>G26*G27</f>
        <v>100000</v>
      </c>
      <c r="I28" s="5" t="s">
        <v>25</v>
      </c>
      <c r="J28" s="1"/>
      <c r="K28" s="23">
        <f>K26*K27</f>
        <v>84000</v>
      </c>
      <c r="M28" s="5" t="s">
        <v>25</v>
      </c>
      <c r="N28" s="1"/>
      <c r="O28" s="23">
        <f>O26*O27</f>
        <v>63000</v>
      </c>
      <c r="Q28" s="5" t="s">
        <v>25</v>
      </c>
      <c r="R28" s="1"/>
      <c r="S28" s="23">
        <f>S26*S27</f>
        <v>50000</v>
      </c>
      <c r="U28" s="91" t="s">
        <v>26</v>
      </c>
      <c r="V28" s="1"/>
      <c r="W28" s="23">
        <f>W26*W27</f>
        <v>50868</v>
      </c>
      <c r="Y28" s="91" t="s">
        <v>26</v>
      </c>
      <c r="Z28" s="1"/>
      <c r="AA28" s="23">
        <f>AA26*AA27</f>
        <v>50868</v>
      </c>
      <c r="AC28" s="5" t="s">
        <v>25</v>
      </c>
      <c r="AD28" s="1"/>
      <c r="AE28" s="23">
        <f>AE26*AE27</f>
        <v>144000</v>
      </c>
      <c r="AG28" s="91" t="s">
        <v>26</v>
      </c>
      <c r="AH28" s="1"/>
      <c r="AI28" s="23">
        <f>AI26*AI27</f>
        <v>0</v>
      </c>
      <c r="AK28" s="91"/>
      <c r="AL28" s="1"/>
      <c r="AM28" s="23">
        <f>AM26*AM27</f>
        <v>0</v>
      </c>
    </row>
    <row r="29" spans="1:39" ht="15.75" customHeight="1" thickBot="1" x14ac:dyDescent="0.3">
      <c r="A29" s="5" t="s">
        <v>27</v>
      </c>
      <c r="B29" s="1"/>
      <c r="C29" s="32">
        <f>C27*3+27</f>
        <v>216</v>
      </c>
      <c r="E29" s="5" t="s">
        <v>27</v>
      </c>
      <c r="F29" s="1"/>
      <c r="G29" s="32">
        <f>G27*2</f>
        <v>100</v>
      </c>
      <c r="I29" s="5" t="s">
        <v>27</v>
      </c>
      <c r="J29" s="1"/>
      <c r="K29" s="32">
        <f>K27*1</f>
        <v>42</v>
      </c>
      <c r="M29" s="5" t="s">
        <v>27</v>
      </c>
      <c r="N29" s="1"/>
      <c r="O29" s="32">
        <f>O27*1</f>
        <v>63</v>
      </c>
      <c r="Q29" s="5" t="s">
        <v>27</v>
      </c>
      <c r="R29" s="1"/>
      <c r="S29" s="32">
        <f>S27*4</f>
        <v>200</v>
      </c>
      <c r="U29" s="5" t="s">
        <v>28</v>
      </c>
      <c r="V29" s="1"/>
      <c r="W29" s="32">
        <f>W27*3+6</f>
        <v>60</v>
      </c>
      <c r="Y29" s="5" t="s">
        <v>28</v>
      </c>
      <c r="Z29" s="1"/>
      <c r="AA29" s="32">
        <f>AA27*2+11</f>
        <v>47</v>
      </c>
      <c r="AC29" s="5" t="s">
        <v>27</v>
      </c>
      <c r="AD29" s="1"/>
      <c r="AE29" s="32">
        <f>AE27</f>
        <v>36</v>
      </c>
      <c r="AG29" s="5" t="s">
        <v>27</v>
      </c>
      <c r="AH29" s="1"/>
      <c r="AI29" s="32"/>
      <c r="AK29" s="5" t="s">
        <v>27</v>
      </c>
      <c r="AL29" s="1"/>
      <c r="AM29" s="32">
        <f>AM27*5</f>
        <v>0</v>
      </c>
    </row>
    <row r="30" spans="1:39" ht="15.75" customHeight="1" thickBot="1" x14ac:dyDescent="0.3">
      <c r="A30" s="5" t="s">
        <v>29</v>
      </c>
      <c r="B30" s="1"/>
      <c r="C30" s="14">
        <f>C29*C26</f>
        <v>216000</v>
      </c>
      <c r="E30" s="5" t="s">
        <v>29</v>
      </c>
      <c r="F30" s="1"/>
      <c r="G30" s="14">
        <f>G29*G26</f>
        <v>200000</v>
      </c>
      <c r="I30" s="5" t="s">
        <v>29</v>
      </c>
      <c r="J30" s="1"/>
      <c r="K30" s="14">
        <f>K29*K26</f>
        <v>84000</v>
      </c>
      <c r="M30" s="5" t="s">
        <v>29</v>
      </c>
      <c r="N30" s="1"/>
      <c r="O30" s="14">
        <f>O29*O26</f>
        <v>63000</v>
      </c>
      <c r="Q30" s="5" t="s">
        <v>29</v>
      </c>
      <c r="R30" s="1"/>
      <c r="S30" s="14">
        <f>S29*S26</f>
        <v>200000</v>
      </c>
      <c r="U30" s="5" t="s">
        <v>29</v>
      </c>
      <c r="V30" s="1"/>
      <c r="W30" s="14">
        <f>W29*W26</f>
        <v>169560</v>
      </c>
      <c r="Y30" s="5" t="s">
        <v>29</v>
      </c>
      <c r="Z30" s="1"/>
      <c r="AA30" s="14">
        <f>AA29*AA26</f>
        <v>132822</v>
      </c>
      <c r="AC30" s="5" t="s">
        <v>29</v>
      </c>
      <c r="AD30" s="1"/>
      <c r="AE30" s="14">
        <f>AE29*AE26</f>
        <v>144000</v>
      </c>
      <c r="AG30" s="5" t="s">
        <v>29</v>
      </c>
      <c r="AH30" s="1"/>
      <c r="AI30" s="14">
        <f>AI29*AI26</f>
        <v>0</v>
      </c>
      <c r="AK30" s="5" t="s">
        <v>29</v>
      </c>
      <c r="AL30" s="1"/>
      <c r="AM30" s="14">
        <f>AM29*AM26</f>
        <v>0</v>
      </c>
    </row>
    <row r="31" spans="1:39" ht="15.75" customHeight="1" x14ac:dyDescent="0.25">
      <c r="A31" s="5" t="s">
        <v>30</v>
      </c>
      <c r="B31" s="1"/>
      <c r="C31" s="22"/>
      <c r="E31" s="5" t="s">
        <v>30</v>
      </c>
      <c r="F31" s="1"/>
      <c r="G31" s="22"/>
      <c r="I31" s="5" t="s">
        <v>30</v>
      </c>
      <c r="J31" s="1"/>
      <c r="K31" s="22"/>
      <c r="M31" s="5" t="s">
        <v>30</v>
      </c>
      <c r="N31" s="1"/>
      <c r="O31" s="22"/>
      <c r="Q31" s="5" t="s">
        <v>30</v>
      </c>
      <c r="R31" s="1"/>
      <c r="S31" s="22"/>
      <c r="U31" s="5" t="s">
        <v>30</v>
      </c>
      <c r="V31" s="1"/>
      <c r="W31" s="22"/>
      <c r="Y31" s="5" t="s">
        <v>30</v>
      </c>
      <c r="Z31" s="1"/>
      <c r="AA31" s="22"/>
      <c r="AC31" s="5" t="s">
        <v>30</v>
      </c>
      <c r="AD31" s="1"/>
      <c r="AE31" s="22"/>
      <c r="AG31" s="5" t="s">
        <v>30</v>
      </c>
      <c r="AH31" s="1"/>
      <c r="AI31" s="22"/>
      <c r="AK31" s="5" t="s">
        <v>30</v>
      </c>
      <c r="AL31" s="1"/>
      <c r="AM31" s="22"/>
    </row>
    <row r="32" spans="1:39" ht="15.75" customHeight="1" thickBot="1" x14ac:dyDescent="0.3">
      <c r="A32" s="5" t="s">
        <v>31</v>
      </c>
      <c r="B32" s="1"/>
      <c r="C32" s="24"/>
      <c r="E32" s="5" t="s">
        <v>31</v>
      </c>
      <c r="F32" s="1"/>
      <c r="G32" s="24"/>
      <c r="I32" s="5" t="s">
        <v>31</v>
      </c>
      <c r="J32" s="1"/>
      <c r="K32" s="24"/>
      <c r="M32" s="5" t="s">
        <v>31</v>
      </c>
      <c r="N32" s="1"/>
      <c r="O32" s="24"/>
      <c r="Q32" s="5" t="s">
        <v>31</v>
      </c>
      <c r="R32" s="1"/>
      <c r="S32" s="24"/>
      <c r="U32" s="5" t="s">
        <v>31</v>
      </c>
      <c r="V32" s="1"/>
      <c r="W32" s="24"/>
      <c r="Y32" s="5" t="s">
        <v>31</v>
      </c>
      <c r="Z32" s="1"/>
      <c r="AA32" s="24"/>
      <c r="AC32" s="5" t="s">
        <v>31</v>
      </c>
      <c r="AD32" s="1"/>
      <c r="AE32" s="24"/>
      <c r="AG32" s="5" t="s">
        <v>31</v>
      </c>
      <c r="AH32" s="1"/>
      <c r="AI32" s="24"/>
      <c r="AK32" s="5" t="s">
        <v>31</v>
      </c>
      <c r="AL32" s="1"/>
      <c r="AM32" s="24"/>
    </row>
    <row r="33" spans="1:39" ht="15.75" customHeight="1" thickBot="1" x14ac:dyDescent="0.3">
      <c r="A33" s="5" t="s">
        <v>32</v>
      </c>
      <c r="B33" s="1"/>
      <c r="C33" s="25">
        <f>44/1000</f>
        <v>4.3999999999999997E-2</v>
      </c>
      <c r="E33" s="5" t="s">
        <v>32</v>
      </c>
      <c r="F33" s="1"/>
      <c r="G33" s="25">
        <f>45.12/1000</f>
        <v>4.512E-2</v>
      </c>
      <c r="I33" s="5" t="s">
        <v>32</v>
      </c>
      <c r="J33" s="1"/>
      <c r="K33" s="25">
        <f>45.11/1000</f>
        <v>4.5109999999999997E-2</v>
      </c>
      <c r="M33" s="5" t="s">
        <v>32</v>
      </c>
      <c r="N33" s="1"/>
      <c r="O33" s="25">
        <f>46.64/1000</f>
        <v>4.6640000000000001E-2</v>
      </c>
      <c r="Q33" s="5" t="s">
        <v>32</v>
      </c>
      <c r="R33" s="1"/>
      <c r="S33" s="25">
        <f>42.5/1000</f>
        <v>4.2500000000000003E-2</v>
      </c>
      <c r="U33" s="5" t="s">
        <v>32</v>
      </c>
      <c r="V33" s="1"/>
      <c r="W33" s="25">
        <f>65.34/1000</f>
        <v>6.5340000000000009E-2</v>
      </c>
      <c r="Y33" s="5" t="s">
        <v>32</v>
      </c>
      <c r="Z33" s="1"/>
      <c r="AA33" s="25">
        <f>65.34/1000</f>
        <v>6.5340000000000009E-2</v>
      </c>
      <c r="AC33" s="5" t="s">
        <v>32</v>
      </c>
      <c r="AD33" s="1"/>
      <c r="AE33" s="25">
        <f>16.32/1000</f>
        <v>1.6320000000000001E-2</v>
      </c>
      <c r="AG33" s="5" t="s">
        <v>32</v>
      </c>
      <c r="AH33" s="1"/>
      <c r="AI33" s="25"/>
      <c r="AK33" s="5" t="s">
        <v>32</v>
      </c>
      <c r="AL33" s="1"/>
      <c r="AM33" s="25"/>
    </row>
    <row r="34" spans="1:39" ht="15.75" customHeight="1" thickBot="1" x14ac:dyDescent="0.3">
      <c r="A34" s="5" t="s">
        <v>33</v>
      </c>
      <c r="B34" s="1"/>
      <c r="C34" s="2">
        <f>C33*1000</f>
        <v>44</v>
      </c>
      <c r="E34" s="5" t="s">
        <v>33</v>
      </c>
      <c r="F34" s="1"/>
      <c r="G34" s="2">
        <f>G33*1000</f>
        <v>45.12</v>
      </c>
      <c r="I34" s="5" t="s">
        <v>33</v>
      </c>
      <c r="J34" s="1"/>
      <c r="K34" s="2">
        <f>K33*1000</f>
        <v>45.11</v>
      </c>
      <c r="M34" s="5" t="s">
        <v>33</v>
      </c>
      <c r="N34" s="1"/>
      <c r="O34" s="2">
        <f>O33*1000</f>
        <v>46.64</v>
      </c>
      <c r="Q34" s="5" t="s">
        <v>33</v>
      </c>
      <c r="R34" s="1"/>
      <c r="S34" s="2">
        <f>S33*1000</f>
        <v>42.5</v>
      </c>
      <c r="U34" s="5" t="s">
        <v>33</v>
      </c>
      <c r="V34" s="1"/>
      <c r="W34" s="2">
        <f>W33*1000</f>
        <v>65.34</v>
      </c>
      <c r="Y34" s="5" t="s">
        <v>33</v>
      </c>
      <c r="Z34" s="1"/>
      <c r="AA34" s="2">
        <f>AA33*1000</f>
        <v>65.34</v>
      </c>
      <c r="AC34" s="5" t="s">
        <v>33</v>
      </c>
      <c r="AD34" s="1"/>
      <c r="AE34" s="2">
        <f>AE33*1000</f>
        <v>16.32</v>
      </c>
      <c r="AG34" s="5" t="s">
        <v>33</v>
      </c>
      <c r="AH34" s="1"/>
      <c r="AI34" s="2">
        <f>AI33*1000</f>
        <v>0</v>
      </c>
      <c r="AK34" s="5" t="s">
        <v>33</v>
      </c>
      <c r="AL34" s="1"/>
      <c r="AM34" s="2">
        <f>AM33*1000</f>
        <v>0</v>
      </c>
    </row>
    <row r="35" spans="1:39" ht="15.75" thickBot="1" x14ac:dyDescent="0.3">
      <c r="A35" s="15" t="s">
        <v>34</v>
      </c>
      <c r="B35" s="16"/>
      <c r="C35" s="17">
        <f>C30*C33</f>
        <v>9504</v>
      </c>
      <c r="E35" s="15" t="s">
        <v>34</v>
      </c>
      <c r="F35" s="16"/>
      <c r="G35" s="17">
        <f>G30*G33</f>
        <v>9024</v>
      </c>
      <c r="I35" s="15" t="s">
        <v>34</v>
      </c>
      <c r="J35" s="16"/>
      <c r="K35" s="93">
        <f>K30*K33</f>
        <v>3789.24</v>
      </c>
      <c r="M35" s="15" t="s">
        <v>34</v>
      </c>
      <c r="N35" s="16"/>
      <c r="O35" s="17">
        <f>O30*O33</f>
        <v>2938.32</v>
      </c>
      <c r="Q35" s="15" t="s">
        <v>34</v>
      </c>
      <c r="R35" s="16"/>
      <c r="S35" s="17">
        <f>S30*S33</f>
        <v>8500</v>
      </c>
      <c r="U35" s="15" t="s">
        <v>34</v>
      </c>
      <c r="V35" s="16"/>
      <c r="W35" s="17">
        <f>W30*W33</f>
        <v>11079.050400000002</v>
      </c>
      <c r="Y35" s="15" t="s">
        <v>34</v>
      </c>
      <c r="Z35" s="16"/>
      <c r="AA35" s="17">
        <f>AA30*AA33</f>
        <v>8678.5894800000005</v>
      </c>
      <c r="AC35" s="15" t="s">
        <v>34</v>
      </c>
      <c r="AD35" s="16"/>
      <c r="AE35" s="17">
        <f>AE30*AE33</f>
        <v>2350.0800000000004</v>
      </c>
      <c r="AG35" s="15" t="s">
        <v>34</v>
      </c>
      <c r="AH35" s="16"/>
      <c r="AI35" s="17">
        <f>AI30*AI33</f>
        <v>0</v>
      </c>
      <c r="AK35" s="15" t="s">
        <v>34</v>
      </c>
      <c r="AL35" s="16"/>
      <c r="AM35" s="17">
        <f>AM30*AM33</f>
        <v>0</v>
      </c>
    </row>
    <row r="36" spans="1:39" ht="15.75" thickBot="1" x14ac:dyDescent="0.3">
      <c r="A36" s="1"/>
      <c r="B36" s="3" t="s">
        <v>35</v>
      </c>
      <c r="C36" s="3" t="s">
        <v>12</v>
      </c>
      <c r="E36" s="1"/>
      <c r="F36" s="3" t="s">
        <v>35</v>
      </c>
      <c r="G36" s="3" t="s">
        <v>12</v>
      </c>
      <c r="I36" s="1"/>
      <c r="J36" s="3" t="s">
        <v>35</v>
      </c>
      <c r="K36" s="3" t="s">
        <v>12</v>
      </c>
      <c r="M36" s="1"/>
      <c r="N36" s="3" t="s">
        <v>35</v>
      </c>
      <c r="O36" s="3" t="s">
        <v>12</v>
      </c>
      <c r="Q36" s="1"/>
      <c r="R36" s="3" t="s">
        <v>35</v>
      </c>
      <c r="S36" s="3" t="s">
        <v>12</v>
      </c>
      <c r="U36" s="1"/>
      <c r="V36" s="3" t="s">
        <v>35</v>
      </c>
      <c r="W36" s="3" t="s">
        <v>12</v>
      </c>
      <c r="Y36" s="1"/>
      <c r="Z36" s="3" t="s">
        <v>35</v>
      </c>
      <c r="AA36" s="3" t="s">
        <v>12</v>
      </c>
      <c r="AC36" s="1"/>
      <c r="AD36" s="3" t="s">
        <v>35</v>
      </c>
      <c r="AE36" s="3" t="s">
        <v>12</v>
      </c>
      <c r="AG36" s="1"/>
      <c r="AH36" s="3" t="s">
        <v>35</v>
      </c>
      <c r="AI36" s="3" t="s">
        <v>12</v>
      </c>
      <c r="AK36" s="1"/>
      <c r="AL36" s="3" t="s">
        <v>35</v>
      </c>
      <c r="AM36" s="3" t="s">
        <v>12</v>
      </c>
    </row>
    <row r="37" spans="1:39" ht="15.75" thickBot="1" x14ac:dyDescent="0.3">
      <c r="A37" s="11"/>
      <c r="B37" s="9">
        <f>B19</f>
        <v>1989</v>
      </c>
      <c r="C37" s="10">
        <f>C19</f>
        <v>1857</v>
      </c>
      <c r="E37" s="11"/>
      <c r="F37" s="9">
        <f>F19</f>
        <v>1855</v>
      </c>
      <c r="G37" s="10">
        <f>G19</f>
        <v>1781</v>
      </c>
      <c r="I37" s="11"/>
      <c r="J37" s="9">
        <f>J19</f>
        <v>714</v>
      </c>
      <c r="K37" s="10">
        <f>K19</f>
        <v>679</v>
      </c>
      <c r="M37" s="11"/>
      <c r="N37" s="9">
        <f>N19</f>
        <v>588</v>
      </c>
      <c r="O37" s="10">
        <f>O19</f>
        <v>553</v>
      </c>
      <c r="Q37" s="11"/>
      <c r="R37" s="9">
        <f>R19</f>
        <v>1845</v>
      </c>
      <c r="S37" s="10">
        <f>S19</f>
        <v>1703</v>
      </c>
      <c r="U37" s="11"/>
      <c r="V37" s="9">
        <f>V19</f>
        <v>2785</v>
      </c>
      <c r="W37" s="10">
        <f>W19</f>
        <v>2696</v>
      </c>
      <c r="Y37" s="11"/>
      <c r="Z37" s="9">
        <f>Z19</f>
        <v>2205</v>
      </c>
      <c r="AA37" s="10">
        <f>AA19</f>
        <v>2139</v>
      </c>
      <c r="AC37" s="11"/>
      <c r="AD37" s="9">
        <f>AD19</f>
        <v>611</v>
      </c>
      <c r="AE37" s="10">
        <f>AE19</f>
        <v>576</v>
      </c>
      <c r="AG37" s="11"/>
      <c r="AH37" s="9">
        <f>AH19</f>
        <v>0</v>
      </c>
      <c r="AI37" s="10">
        <f>AI19</f>
        <v>0</v>
      </c>
      <c r="AK37" s="11"/>
      <c r="AL37" s="9">
        <f>AL19</f>
        <v>0</v>
      </c>
      <c r="AM37" s="10">
        <f>AM19</f>
        <v>0</v>
      </c>
    </row>
    <row r="38" spans="1:39" s="37" customFormat="1" ht="15.75" thickBot="1" x14ac:dyDescent="0.3">
      <c r="A38" s="82" t="s">
        <v>36</v>
      </c>
      <c r="B38" s="83">
        <f>C35/C37</f>
        <v>5.1179321486268172</v>
      </c>
      <c r="C38" s="84" t="s">
        <v>37</v>
      </c>
      <c r="E38" s="82" t="s">
        <v>36</v>
      </c>
      <c r="F38" s="83">
        <f>G35/G37</f>
        <v>5.0668163952835483</v>
      </c>
      <c r="G38" s="84" t="s">
        <v>37</v>
      </c>
      <c r="I38" s="82" t="s">
        <v>36</v>
      </c>
      <c r="J38" s="83">
        <f>K35/K37</f>
        <v>5.5806185567010305</v>
      </c>
      <c r="K38" s="84" t="s">
        <v>37</v>
      </c>
      <c r="M38" s="82" t="s">
        <v>36</v>
      </c>
      <c r="N38" s="83">
        <f>O35/O37</f>
        <v>5.3134177215189879</v>
      </c>
      <c r="O38" s="84" t="s">
        <v>37</v>
      </c>
      <c r="Q38" s="82" t="s">
        <v>36</v>
      </c>
      <c r="R38" s="83">
        <f>S35/S37</f>
        <v>4.9911920140927775</v>
      </c>
      <c r="S38" s="84" t="s">
        <v>37</v>
      </c>
      <c r="U38" s="82" t="s">
        <v>36</v>
      </c>
      <c r="V38" s="83">
        <f>W35/W37</f>
        <v>4.1094400593471816</v>
      </c>
      <c r="W38" s="84" t="s">
        <v>37</v>
      </c>
      <c r="Y38" s="82" t="s">
        <v>36</v>
      </c>
      <c r="Z38" s="83">
        <f>AA35/AA37</f>
        <v>4.0573115848527355</v>
      </c>
      <c r="AA38" s="84" t="s">
        <v>37</v>
      </c>
      <c r="AC38" s="82" t="s">
        <v>36</v>
      </c>
      <c r="AD38" s="83">
        <f>AE35/AE37</f>
        <v>4.080000000000001</v>
      </c>
      <c r="AE38" s="84" t="s">
        <v>37</v>
      </c>
      <c r="AG38" s="82" t="s">
        <v>36</v>
      </c>
      <c r="AH38" s="83" t="e">
        <f>AI35/AI37</f>
        <v>#DIV/0!</v>
      </c>
      <c r="AI38" s="84" t="s">
        <v>37</v>
      </c>
      <c r="AK38" s="82" t="s">
        <v>36</v>
      </c>
      <c r="AL38" s="83" t="e">
        <f>AM35/AM37</f>
        <v>#DIV/0!</v>
      </c>
      <c r="AM38" s="84" t="s">
        <v>37</v>
      </c>
    </row>
    <row r="39" spans="1:39" x14ac:dyDescent="0.25">
      <c r="A39" s="87" t="s">
        <v>38</v>
      </c>
      <c r="B39" s="85">
        <f>TRUNC(B38,2)</f>
        <v>5.1100000000000003</v>
      </c>
      <c r="C39" s="86">
        <f>C35/B39</f>
        <v>1859.8825831702543</v>
      </c>
      <c r="E39" s="87" t="s">
        <v>38</v>
      </c>
      <c r="F39" s="85">
        <f>TRUNC(F38,2)</f>
        <v>5.0599999999999996</v>
      </c>
      <c r="G39" s="86">
        <f>G35/F39</f>
        <v>1783.3992094861662</v>
      </c>
      <c r="I39" s="87" t="s">
        <v>38</v>
      </c>
      <c r="J39" s="94">
        <f>TRUNC(J38,2)</f>
        <v>5.58</v>
      </c>
      <c r="K39" s="86">
        <f>K35/J39</f>
        <v>679.07526881720423</v>
      </c>
      <c r="M39" s="87" t="s">
        <v>38</v>
      </c>
      <c r="N39" s="85">
        <f>TRUNC(N38,2)</f>
        <v>5.31</v>
      </c>
      <c r="O39" s="86">
        <f>O35/N39</f>
        <v>553.3559322033899</v>
      </c>
      <c r="Q39" s="87" t="s">
        <v>38</v>
      </c>
      <c r="R39" s="85">
        <f>TRUNC(R38,2)</f>
        <v>4.99</v>
      </c>
      <c r="S39" s="86">
        <f>S35/R39</f>
        <v>1703.4068136272545</v>
      </c>
      <c r="U39" s="87" t="s">
        <v>38</v>
      </c>
      <c r="V39" s="85">
        <f>TRUNC(V38,2)</f>
        <v>4.0999999999999996</v>
      </c>
      <c r="W39" s="86">
        <f>W35/V39</f>
        <v>2702.207414634147</v>
      </c>
      <c r="Y39" s="87" t="s">
        <v>38</v>
      </c>
      <c r="Z39" s="85">
        <f>TRUNC(Z38,2)</f>
        <v>4.05</v>
      </c>
      <c r="AA39" s="86">
        <f>AA35/Z39</f>
        <v>2142.8616000000002</v>
      </c>
      <c r="AC39" s="87" t="s">
        <v>38</v>
      </c>
      <c r="AD39" s="85">
        <f>TRUNC(AD38,2)</f>
        <v>4.08</v>
      </c>
      <c r="AE39" s="86">
        <f>AE35/AD39</f>
        <v>576.00000000000011</v>
      </c>
      <c r="AG39" s="87" t="s">
        <v>38</v>
      </c>
      <c r="AH39" s="85" t="e">
        <f>TRUNC(AH38,2)</f>
        <v>#DIV/0!</v>
      </c>
      <c r="AI39" s="86" t="e">
        <f>AI35/AH39</f>
        <v>#DIV/0!</v>
      </c>
      <c r="AK39" s="87" t="s">
        <v>38</v>
      </c>
      <c r="AL39" s="85" t="e">
        <f>TRUNC(AL38,2)</f>
        <v>#DIV/0!</v>
      </c>
      <c r="AM39" s="86" t="e">
        <f>AM35/AL39</f>
        <v>#DIV/0!</v>
      </c>
    </row>
    <row r="40" spans="1:39" ht="15.75" thickBot="1" x14ac:dyDescent="0.3"/>
    <row r="41" spans="1:39" ht="15.75" thickBot="1" x14ac:dyDescent="0.3">
      <c r="A41" s="18" t="s">
        <v>39</v>
      </c>
      <c r="B41" s="33">
        <f>C35+G35+K35+O35+S35+W35+AA35+AE35+AI35+AM35</f>
        <v>55863.279880000002</v>
      </c>
      <c r="E41" s="97" t="s">
        <v>40</v>
      </c>
      <c r="F41" s="98">
        <v>20</v>
      </c>
    </row>
    <row r="42" spans="1:39" x14ac:dyDescent="0.25">
      <c r="A42" s="19" t="s">
        <v>41</v>
      </c>
      <c r="B42" s="81">
        <f>4700/26*17</f>
        <v>3073.0769230769233</v>
      </c>
      <c r="E42" s="99" t="s">
        <v>42</v>
      </c>
      <c r="F42" s="98">
        <f>699-42</f>
        <v>657</v>
      </c>
    </row>
    <row r="43" spans="1:39" ht="15.75" thickBot="1" x14ac:dyDescent="0.3">
      <c r="A43" s="21" t="s">
        <v>43</v>
      </c>
      <c r="B43" s="20">
        <f>B41+B42</f>
        <v>58936.356803076924</v>
      </c>
      <c r="C43" s="35"/>
      <c r="E43" s="100" t="s">
        <v>44</v>
      </c>
      <c r="F43" s="101">
        <v>107</v>
      </c>
    </row>
    <row r="44" spans="1:39" x14ac:dyDescent="0.25">
      <c r="A44" s="1"/>
      <c r="B44" s="1"/>
    </row>
    <row r="45" spans="1:39" ht="15.75" thickBot="1" x14ac:dyDescent="0.3">
      <c r="A45" s="21" t="s">
        <v>11</v>
      </c>
      <c r="B45" s="27">
        <f>B19+F19+J19+N19+R19+V19+Z19+AD19</f>
        <v>12592</v>
      </c>
      <c r="E45" s="37" t="s">
        <v>0</v>
      </c>
    </row>
    <row r="46" spans="1:39" ht="15.75" thickBot="1" x14ac:dyDescent="0.3">
      <c r="A46" s="21" t="s">
        <v>12</v>
      </c>
      <c r="B46" s="27">
        <f>C19+G19+K19+O19+S19+W19+AA19+AE19</f>
        <v>11984</v>
      </c>
      <c r="E46" s="92" t="s">
        <v>45</v>
      </c>
    </row>
    <row r="47" spans="1:39" x14ac:dyDescent="0.25">
      <c r="E47" s="38" t="s">
        <v>1</v>
      </c>
    </row>
    <row r="48" spans="1:39" ht="13.5" customHeight="1" x14ac:dyDescent="0.25">
      <c r="C48" s="36"/>
      <c r="E48" s="60"/>
      <c r="F48" s="95"/>
    </row>
    <row r="49" spans="3:6" x14ac:dyDescent="0.25">
      <c r="F49" s="95"/>
    </row>
    <row r="51" spans="3:6" x14ac:dyDescent="0.25">
      <c r="C51" s="35"/>
    </row>
  </sheetData>
  <mergeCells count="20">
    <mergeCell ref="AK21:AM21"/>
    <mergeCell ref="U2:W2"/>
    <mergeCell ref="Y2:AA2"/>
    <mergeCell ref="AC2:AE2"/>
    <mergeCell ref="AG2:AI2"/>
    <mergeCell ref="AK2:AM2"/>
    <mergeCell ref="U21:W21"/>
    <mergeCell ref="Y21:AA21"/>
    <mergeCell ref="AC21:AE21"/>
    <mergeCell ref="AG21:AI21"/>
    <mergeCell ref="Q2:S2"/>
    <mergeCell ref="A21:C21"/>
    <mergeCell ref="E21:G21"/>
    <mergeCell ref="I21:K21"/>
    <mergeCell ref="M21:O21"/>
    <mergeCell ref="A2:C2"/>
    <mergeCell ref="E2:G2"/>
    <mergeCell ref="I2:K2"/>
    <mergeCell ref="M2:O2"/>
    <mergeCell ref="Q21:S2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623F-C567-46FC-84A1-140B3D2A6182}">
  <dimension ref="B1:AK65"/>
  <sheetViews>
    <sheetView tabSelected="1" topLeftCell="A19" zoomScale="60" zoomScaleNormal="60" workbookViewId="0">
      <selection activeCell="A38" sqref="A38"/>
    </sheetView>
  </sheetViews>
  <sheetFormatPr baseColWidth="10" defaultColWidth="11.42578125" defaultRowHeight="15" x14ac:dyDescent="0.25"/>
  <cols>
    <col min="1" max="1" width="2.5703125" customWidth="1"/>
    <col min="2" max="2" width="19.140625" customWidth="1"/>
    <col min="3" max="3" width="19.7109375" customWidth="1"/>
    <col min="4" max="4" width="17.85546875" customWidth="1"/>
    <col min="5" max="5" width="20.42578125" hidden="1" customWidth="1"/>
    <col min="6" max="6" width="22.140625" customWidth="1"/>
    <col min="7" max="7" width="17.28515625" customWidth="1"/>
    <col min="8" max="8" width="17.42578125" customWidth="1"/>
    <col min="9" max="9" width="17.5703125" customWidth="1"/>
    <col min="10" max="10" width="11.85546875" customWidth="1"/>
    <col min="11" max="11" width="17.28515625" customWidth="1"/>
    <col min="12" max="12" width="17.42578125" customWidth="1"/>
    <col min="13" max="13" width="17.5703125" customWidth="1"/>
    <col min="15" max="15" width="17.28515625" customWidth="1"/>
    <col min="16" max="16" width="17.42578125" customWidth="1"/>
    <col min="17" max="17" width="17.5703125" customWidth="1"/>
    <col min="19" max="19" width="17.28515625" customWidth="1"/>
    <col min="20" max="20" width="17.42578125" customWidth="1"/>
    <col min="21" max="21" width="17.5703125" customWidth="1"/>
    <col min="23" max="23" width="17.28515625" customWidth="1"/>
    <col min="24" max="24" width="17.42578125" customWidth="1"/>
    <col min="25" max="25" width="17.5703125" customWidth="1"/>
    <col min="27" max="27" width="17.28515625" customWidth="1"/>
    <col min="28" max="28" width="17.42578125" customWidth="1"/>
    <col min="29" max="29" width="17.5703125" customWidth="1"/>
    <col min="31" max="31" width="17.28515625" customWidth="1"/>
    <col min="32" max="32" width="17.42578125" customWidth="1"/>
    <col min="33" max="33" width="17.5703125" customWidth="1"/>
    <col min="35" max="35" width="17.28515625" customWidth="1"/>
    <col min="36" max="36" width="17.42578125" customWidth="1"/>
    <col min="37" max="37" width="17.5703125" customWidth="1"/>
  </cols>
  <sheetData>
    <row r="1" spans="2:37" s="117" customFormat="1" ht="41.25" customHeight="1" thickBot="1" x14ac:dyDescent="0.3">
      <c r="D1" s="37" t="s">
        <v>45</v>
      </c>
      <c r="I1" s="37" t="s">
        <v>45</v>
      </c>
      <c r="M1" s="38" t="s">
        <v>1</v>
      </c>
      <c r="Q1" s="92" t="s">
        <v>0</v>
      </c>
      <c r="U1" s="37" t="s">
        <v>45</v>
      </c>
      <c r="Y1" s="38" t="s">
        <v>1</v>
      </c>
      <c r="AC1" s="38" t="s">
        <v>1</v>
      </c>
      <c r="AG1" s="38" t="s">
        <v>1</v>
      </c>
      <c r="AK1" s="38" t="s">
        <v>1</v>
      </c>
    </row>
    <row r="2" spans="2:37" s="4" customFormat="1" ht="40.5" customHeight="1" thickBot="1" x14ac:dyDescent="0.3">
      <c r="B2" s="230" t="str">
        <f>VLOOKUP(D36,DATOS3,4,FALSE)</f>
        <v>9801993 - 787274TFR COSTCO 5ct Petite Romaine</v>
      </c>
      <c r="C2" s="231"/>
      <c r="D2" s="232"/>
      <c r="G2" s="230" t="str">
        <f>VLOOKUP(I36,DATOS3,4,FALSE)</f>
        <v>1587V2TJ's 3Ct Little Gem 14oz</v>
      </c>
      <c r="H2" s="231"/>
      <c r="I2" s="232"/>
      <c r="K2" s="230" t="str">
        <f>VLOOKUP(M36,DATOS3,4,FALSE)</f>
        <v>5TSSAMSPP-15lb TS Sams Perfect Pair Wkt</v>
      </c>
      <c r="L2" s="231"/>
      <c r="M2" s="232"/>
      <c r="O2" s="230" t="str">
        <f>VLOOKUP(Q36,DATOS3,4,FALSE)</f>
        <v>9801902 - 783913TFR COSTCO 6Ct Rom Hrts USA</v>
      </c>
      <c r="P2" s="231"/>
      <c r="Q2" s="232"/>
      <c r="S2" s="230" t="str">
        <f>VLOOKUP(U36,DATOS3,4,FALSE)</f>
        <v>61953-11KROGER 2Ct Artsn Rom SUP</v>
      </c>
      <c r="T2" s="231"/>
      <c r="U2" s="232"/>
      <c r="W2" s="230" t="str">
        <f>VLOOKUP(Y36,DATOS3,4,FALSE)</f>
        <v>3000008595/8OZ DOLE SLC STRAW/BAN- OUT</v>
      </c>
      <c r="X2" s="231"/>
      <c r="Y2" s="232"/>
      <c r="AA2" s="230" t="str">
        <f>VLOOKUP(AC36,DATOS3,4,FALSE)</f>
        <v>1292591LB WHOLESOME PANTRY ORG RS CF</v>
      </c>
      <c r="AB2" s="231"/>
      <c r="AC2" s="232"/>
      <c r="AE2" s="230" t="str">
        <f>VLOOKUP(AG36,DATOS3,4,FALSE)</f>
        <v>97886-12LB PRESIDENTS CHOICE ORG CAN</v>
      </c>
      <c r="AF2" s="231"/>
      <c r="AG2" s="232"/>
      <c r="AI2" s="230" t="str">
        <f>VLOOKUP(AK36,DATOS3,4,FALSE)</f>
        <v>S2BFT-A12LB BOLTHOUSE FRESH TZIP RS</v>
      </c>
      <c r="AJ2" s="231"/>
      <c r="AK2" s="232"/>
    </row>
    <row r="3" spans="2:37" ht="18" customHeight="1" x14ac:dyDescent="0.25">
      <c r="B3" s="6" t="s">
        <v>10</v>
      </c>
      <c r="C3" s="7" t="s">
        <v>11</v>
      </c>
      <c r="D3" s="8" t="s">
        <v>12</v>
      </c>
      <c r="G3" s="6" t="s">
        <v>10</v>
      </c>
      <c r="H3" s="7" t="s">
        <v>11</v>
      </c>
      <c r="I3" s="8" t="s">
        <v>12</v>
      </c>
      <c r="K3" s="6" t="s">
        <v>10</v>
      </c>
      <c r="L3" s="7" t="s">
        <v>11</v>
      </c>
      <c r="M3" s="8" t="s">
        <v>12</v>
      </c>
      <c r="O3" s="6" t="s">
        <v>10</v>
      </c>
      <c r="P3" s="7" t="s">
        <v>11</v>
      </c>
      <c r="Q3" s="8" t="s">
        <v>12</v>
      </c>
      <c r="S3" s="6" t="s">
        <v>10</v>
      </c>
      <c r="T3" s="7" t="s">
        <v>11</v>
      </c>
      <c r="U3" s="8" t="s">
        <v>12</v>
      </c>
      <c r="W3" s="6" t="s">
        <v>10</v>
      </c>
      <c r="X3" s="7" t="s">
        <v>11</v>
      </c>
      <c r="Y3" s="8" t="s">
        <v>12</v>
      </c>
      <c r="AA3" s="6" t="s">
        <v>10</v>
      </c>
      <c r="AB3" s="7" t="s">
        <v>11</v>
      </c>
      <c r="AC3" s="8" t="s">
        <v>12</v>
      </c>
      <c r="AE3" s="6" t="s">
        <v>10</v>
      </c>
      <c r="AF3" s="7" t="s">
        <v>11</v>
      </c>
      <c r="AG3" s="8" t="s">
        <v>12</v>
      </c>
      <c r="AI3" s="6" t="s">
        <v>10</v>
      </c>
      <c r="AJ3" s="7" t="s">
        <v>11</v>
      </c>
      <c r="AK3" s="8" t="s">
        <v>12</v>
      </c>
    </row>
    <row r="4" spans="2:37" s="1" customFormat="1" ht="18" customHeight="1" x14ac:dyDescent="0.25">
      <c r="B4" s="213">
        <v>1</v>
      </c>
      <c r="C4" s="221">
        <v>422</v>
      </c>
      <c r="D4" s="221">
        <v>387</v>
      </c>
      <c r="E4" s="158"/>
      <c r="G4" s="205">
        <v>1</v>
      </c>
      <c r="H4" s="203">
        <v>195</v>
      </c>
      <c r="I4" s="203">
        <v>170</v>
      </c>
      <c r="K4" s="205">
        <v>1</v>
      </c>
      <c r="L4" s="203">
        <v>583</v>
      </c>
      <c r="M4" s="203">
        <v>548</v>
      </c>
      <c r="O4" s="205">
        <v>1</v>
      </c>
      <c r="P4" s="30">
        <v>720</v>
      </c>
      <c r="Q4" s="30">
        <v>685</v>
      </c>
      <c r="S4" s="213" t="s">
        <v>1054</v>
      </c>
      <c r="T4" s="224">
        <v>261</v>
      </c>
      <c r="U4" s="224">
        <v>226</v>
      </c>
      <c r="W4" s="205">
        <v>1</v>
      </c>
      <c r="X4" s="224">
        <v>595</v>
      </c>
      <c r="Y4" s="224">
        <v>569.5</v>
      </c>
      <c r="AA4" s="205">
        <v>1</v>
      </c>
      <c r="AB4" s="224">
        <v>432</v>
      </c>
      <c r="AC4" s="224">
        <v>409.89999389648398</v>
      </c>
      <c r="AE4" s="205">
        <v>1</v>
      </c>
      <c r="AF4" s="224">
        <v>718</v>
      </c>
      <c r="AG4" s="224">
        <v>693</v>
      </c>
      <c r="AI4" s="205">
        <v>1</v>
      </c>
      <c r="AJ4" s="224">
        <v>513</v>
      </c>
      <c r="AK4" s="224">
        <v>487.95001220703102</v>
      </c>
    </row>
    <row r="5" spans="2:37" s="1" customFormat="1" ht="18" customHeight="1" x14ac:dyDescent="0.25">
      <c r="B5" s="213">
        <v>2</v>
      </c>
      <c r="C5" s="221">
        <v>416</v>
      </c>
      <c r="D5" s="221">
        <v>381</v>
      </c>
      <c r="G5" s="213"/>
      <c r="H5" s="221"/>
      <c r="I5" s="221"/>
      <c r="K5" s="213" t="s">
        <v>1052</v>
      </c>
      <c r="L5" s="203">
        <v>476</v>
      </c>
      <c r="M5" s="203">
        <v>441</v>
      </c>
      <c r="O5" s="213">
        <v>2</v>
      </c>
      <c r="P5" s="225">
        <v>717</v>
      </c>
      <c r="Q5" s="225">
        <v>682</v>
      </c>
      <c r="S5" s="213"/>
      <c r="T5" s="225"/>
      <c r="U5" s="225"/>
      <c r="W5" s="213"/>
      <c r="X5" s="224"/>
      <c r="Y5" s="224"/>
      <c r="AA5" s="213"/>
      <c r="AB5" s="225"/>
      <c r="AC5" s="225"/>
      <c r="AE5" s="213">
        <v>2</v>
      </c>
      <c r="AF5" s="225">
        <v>723</v>
      </c>
      <c r="AG5" s="225">
        <v>698</v>
      </c>
      <c r="AI5" s="213"/>
      <c r="AJ5" s="225"/>
      <c r="AK5" s="225"/>
    </row>
    <row r="6" spans="2:37" s="1" customFormat="1" ht="18" customHeight="1" x14ac:dyDescent="0.25">
      <c r="B6" s="213">
        <v>3</v>
      </c>
      <c r="C6" s="222">
        <v>426</v>
      </c>
      <c r="D6" s="222">
        <v>389</v>
      </c>
      <c r="G6" s="213"/>
      <c r="H6" s="214"/>
      <c r="I6" s="214"/>
      <c r="K6" s="213"/>
      <c r="L6" s="203"/>
      <c r="M6" s="203"/>
      <c r="O6" s="213">
        <v>3</v>
      </c>
      <c r="P6" s="224">
        <v>711</v>
      </c>
      <c r="Q6" s="224">
        <v>676</v>
      </c>
      <c r="S6" s="213"/>
      <c r="T6" s="224"/>
      <c r="U6" s="224"/>
      <c r="W6" s="213"/>
      <c r="X6" s="224"/>
      <c r="Y6" s="224"/>
      <c r="AA6" s="213"/>
      <c r="AB6" s="224"/>
      <c r="AC6" s="224"/>
      <c r="AE6" s="213">
        <v>3</v>
      </c>
      <c r="AF6" s="224">
        <v>729</v>
      </c>
      <c r="AG6" s="224">
        <v>704</v>
      </c>
      <c r="AI6" s="213"/>
      <c r="AJ6" s="224"/>
      <c r="AK6" s="224"/>
    </row>
    <row r="7" spans="2:37" s="1" customFormat="1" ht="18" customHeight="1" x14ac:dyDescent="0.25">
      <c r="B7" s="213">
        <v>4</v>
      </c>
      <c r="C7" s="222">
        <v>427</v>
      </c>
      <c r="D7" s="222">
        <v>390</v>
      </c>
      <c r="G7" s="213"/>
      <c r="H7" s="203"/>
      <c r="I7" s="203"/>
      <c r="K7" s="205"/>
      <c r="L7" s="224"/>
      <c r="M7" s="224"/>
      <c r="O7" s="205">
        <v>4</v>
      </c>
      <c r="P7" s="224">
        <v>721</v>
      </c>
      <c r="Q7" s="224">
        <v>684</v>
      </c>
      <c r="S7" s="205"/>
      <c r="T7" s="224"/>
      <c r="U7" s="224"/>
      <c r="W7" s="205"/>
      <c r="X7" s="224"/>
      <c r="Y7" s="224"/>
      <c r="AA7" s="205"/>
      <c r="AB7" s="224"/>
      <c r="AC7" s="224"/>
      <c r="AE7" s="213" t="s">
        <v>1053</v>
      </c>
      <c r="AF7" s="224">
        <v>437</v>
      </c>
      <c r="AG7" s="224">
        <v>411.60000610351602</v>
      </c>
      <c r="AI7" s="205"/>
      <c r="AJ7" s="224"/>
      <c r="AK7" s="224"/>
    </row>
    <row r="8" spans="2:37" s="1" customFormat="1" ht="18" customHeight="1" x14ac:dyDescent="0.25">
      <c r="B8" s="213">
        <v>5</v>
      </c>
      <c r="C8" s="222">
        <v>416</v>
      </c>
      <c r="D8" s="222">
        <v>381</v>
      </c>
      <c r="E8" s="137"/>
      <c r="G8" s="205"/>
      <c r="H8" s="203"/>
      <c r="I8" s="203"/>
      <c r="K8" s="213"/>
      <c r="L8" s="225"/>
      <c r="M8" s="225"/>
      <c r="O8" s="213">
        <v>5</v>
      </c>
      <c r="P8" s="225">
        <v>724</v>
      </c>
      <c r="Q8" s="225">
        <v>689</v>
      </c>
      <c r="S8" s="213"/>
      <c r="T8" s="225"/>
      <c r="U8" s="225"/>
      <c r="W8" s="213"/>
      <c r="X8" s="225"/>
      <c r="Y8" s="225"/>
      <c r="AA8" s="213"/>
      <c r="AB8" s="225"/>
      <c r="AC8" s="225"/>
      <c r="AE8" s="213"/>
      <c r="AF8" s="225"/>
      <c r="AG8" s="225"/>
      <c r="AI8" s="213"/>
      <c r="AJ8" s="225"/>
      <c r="AK8" s="225"/>
    </row>
    <row r="9" spans="2:37" s="1" customFormat="1" ht="18" customHeight="1" x14ac:dyDescent="0.25">
      <c r="B9" s="213">
        <v>6</v>
      </c>
      <c r="C9" s="222">
        <v>412</v>
      </c>
      <c r="D9" s="222">
        <v>377</v>
      </c>
      <c r="E9" s="158"/>
      <c r="G9" s="213"/>
      <c r="H9" s="203"/>
      <c r="I9" s="203"/>
      <c r="K9" s="213"/>
      <c r="L9" s="203"/>
      <c r="M9" s="203"/>
      <c r="O9" s="213"/>
      <c r="P9" s="203"/>
      <c r="Q9" s="203"/>
      <c r="S9" s="213"/>
      <c r="T9" s="203"/>
      <c r="U9" s="203"/>
      <c r="W9" s="213"/>
      <c r="X9" s="203"/>
      <c r="Y9" s="203"/>
      <c r="AA9" s="213"/>
      <c r="AB9" s="203"/>
      <c r="AC9" s="203"/>
      <c r="AE9" s="213"/>
      <c r="AF9" s="203"/>
      <c r="AG9" s="203"/>
      <c r="AI9" s="213"/>
      <c r="AJ9" s="203"/>
      <c r="AK9" s="203"/>
    </row>
    <row r="10" spans="2:37" s="1" customFormat="1" ht="18" customHeight="1" x14ac:dyDescent="0.25">
      <c r="B10" s="213">
        <v>7</v>
      </c>
      <c r="C10" s="214">
        <v>413</v>
      </c>
      <c r="D10" s="214">
        <v>378</v>
      </c>
      <c r="G10" s="213"/>
      <c r="H10" s="203"/>
      <c r="I10" s="203"/>
      <c r="K10" s="205"/>
      <c r="L10" s="203"/>
      <c r="M10" s="203"/>
      <c r="O10" s="205"/>
      <c r="P10" s="203"/>
      <c r="Q10" s="203"/>
      <c r="S10" s="205"/>
      <c r="T10" s="203"/>
      <c r="U10" s="203"/>
      <c r="W10" s="205"/>
      <c r="X10" s="203"/>
      <c r="Y10" s="203"/>
      <c r="AA10" s="213"/>
      <c r="AB10" s="203"/>
      <c r="AC10" s="203"/>
      <c r="AE10" s="213"/>
      <c r="AF10" s="203"/>
      <c r="AG10" s="203"/>
      <c r="AI10" s="213"/>
      <c r="AJ10" s="203"/>
      <c r="AK10" s="203"/>
    </row>
    <row r="11" spans="2:37" s="1" customFormat="1" ht="18" customHeight="1" x14ac:dyDescent="0.25">
      <c r="B11" s="213">
        <v>8</v>
      </c>
      <c r="C11" s="214">
        <v>419</v>
      </c>
      <c r="D11" s="214">
        <v>384</v>
      </c>
      <c r="G11" s="213"/>
      <c r="H11" s="203"/>
      <c r="I11" s="203"/>
      <c r="K11" s="213"/>
      <c r="L11" s="203"/>
      <c r="M11" s="203"/>
      <c r="O11" s="213"/>
      <c r="P11" s="203"/>
      <c r="Q11" s="203"/>
      <c r="S11" s="213"/>
      <c r="T11" s="203"/>
      <c r="U11" s="203"/>
      <c r="W11" s="213"/>
      <c r="X11" s="203"/>
      <c r="Y11" s="203"/>
      <c r="AA11" s="213"/>
      <c r="AB11" s="203"/>
      <c r="AC11" s="203"/>
      <c r="AE11" s="213"/>
      <c r="AF11" s="203"/>
      <c r="AG11" s="203"/>
      <c r="AI11" s="213"/>
      <c r="AJ11" s="203"/>
      <c r="AK11" s="203"/>
    </row>
    <row r="12" spans="2:37" s="1" customFormat="1" ht="18" customHeight="1" x14ac:dyDescent="0.25">
      <c r="B12" s="213">
        <v>9</v>
      </c>
      <c r="C12" s="183">
        <v>416</v>
      </c>
      <c r="D12" s="183">
        <v>381</v>
      </c>
      <c r="G12" s="205"/>
      <c r="H12" s="203"/>
      <c r="I12" s="203"/>
      <c r="K12" s="213"/>
      <c r="L12" s="203"/>
      <c r="M12" s="203"/>
      <c r="O12" s="213"/>
      <c r="P12" s="203"/>
      <c r="Q12" s="203"/>
      <c r="S12" s="213"/>
      <c r="T12" s="203"/>
      <c r="U12" s="203"/>
      <c r="W12" s="213"/>
      <c r="X12" s="203"/>
      <c r="Y12" s="203"/>
      <c r="AA12" s="213"/>
      <c r="AB12" s="203"/>
      <c r="AC12" s="203"/>
      <c r="AE12" s="213"/>
      <c r="AF12" s="203"/>
      <c r="AG12" s="203"/>
      <c r="AI12" s="213"/>
      <c r="AJ12" s="203"/>
      <c r="AK12" s="203"/>
    </row>
    <row r="13" spans="2:37" s="1" customFormat="1" ht="18" customHeight="1" x14ac:dyDescent="0.25">
      <c r="B13" s="213">
        <v>10</v>
      </c>
      <c r="C13" s="183">
        <v>417</v>
      </c>
      <c r="D13" s="183">
        <v>382</v>
      </c>
      <c r="G13" s="213"/>
      <c r="H13" s="182"/>
      <c r="I13" s="182"/>
      <c r="K13" s="205"/>
      <c r="L13" s="182"/>
      <c r="M13" s="182"/>
      <c r="O13" s="205"/>
      <c r="P13" s="182"/>
      <c r="Q13" s="182"/>
      <c r="S13" s="205"/>
      <c r="T13" s="182"/>
      <c r="U13" s="182"/>
      <c r="W13" s="205"/>
      <c r="X13" s="182"/>
      <c r="Y13" s="182"/>
      <c r="AA13" s="205"/>
      <c r="AB13" s="182"/>
      <c r="AC13" s="182"/>
      <c r="AE13" s="205"/>
      <c r="AF13" s="182"/>
      <c r="AG13" s="182"/>
      <c r="AI13" s="205"/>
      <c r="AJ13" s="182"/>
      <c r="AK13" s="182"/>
    </row>
    <row r="14" spans="2:37" s="1" customFormat="1" ht="18" customHeight="1" x14ac:dyDescent="0.25">
      <c r="B14" s="213">
        <v>11</v>
      </c>
      <c r="C14" s="221">
        <v>407</v>
      </c>
      <c r="D14" s="221">
        <v>372</v>
      </c>
      <c r="G14" s="213"/>
      <c r="H14" s="182"/>
      <c r="I14" s="182"/>
      <c r="K14" s="213"/>
      <c r="L14" s="182"/>
      <c r="M14" s="182"/>
      <c r="O14" s="213"/>
      <c r="P14" s="182"/>
      <c r="Q14" s="182"/>
      <c r="S14" s="213"/>
      <c r="T14" s="182"/>
      <c r="U14" s="182"/>
      <c r="W14" s="213"/>
      <c r="X14" s="182"/>
      <c r="Y14" s="182"/>
      <c r="AA14" s="213"/>
      <c r="AB14" s="182"/>
      <c r="AC14" s="182"/>
      <c r="AE14" s="213"/>
      <c r="AF14" s="182"/>
      <c r="AG14" s="182"/>
      <c r="AI14" s="213"/>
      <c r="AJ14" s="182"/>
      <c r="AK14" s="182"/>
    </row>
    <row r="15" spans="2:37" s="1" customFormat="1" ht="16.5" customHeight="1" x14ac:dyDescent="0.25">
      <c r="B15" s="213"/>
      <c r="C15" s="221"/>
      <c r="D15" s="221"/>
      <c r="E15" s="137"/>
      <c r="G15" s="12"/>
      <c r="H15" s="182"/>
      <c r="I15" s="182"/>
      <c r="K15" s="12"/>
      <c r="L15" s="182"/>
      <c r="M15" s="182"/>
      <c r="O15" s="12"/>
      <c r="P15" s="182"/>
      <c r="Q15" s="182"/>
      <c r="S15" s="12"/>
      <c r="T15" s="182"/>
      <c r="U15" s="182"/>
      <c r="W15" s="12"/>
      <c r="X15" s="182"/>
      <c r="Y15" s="182"/>
      <c r="AA15" s="12"/>
      <c r="AB15" s="182"/>
      <c r="AC15" s="182"/>
      <c r="AE15" s="12"/>
      <c r="AF15" s="182"/>
      <c r="AG15" s="182"/>
      <c r="AI15" s="12"/>
      <c r="AJ15" s="182"/>
      <c r="AK15" s="182"/>
    </row>
    <row r="16" spans="2:37" s="1" customFormat="1" ht="18" customHeight="1" x14ac:dyDescent="0.25">
      <c r="B16" s="213"/>
      <c r="C16" s="183"/>
      <c r="D16" s="183"/>
      <c r="G16" s="12"/>
      <c r="H16" s="182"/>
      <c r="I16" s="182"/>
      <c r="K16" s="12"/>
      <c r="L16" s="182"/>
      <c r="M16" s="182"/>
      <c r="O16" s="12"/>
      <c r="P16" s="182"/>
      <c r="Q16" s="182"/>
      <c r="S16" s="12"/>
      <c r="T16" s="182"/>
      <c r="U16" s="182"/>
      <c r="W16" s="12"/>
      <c r="X16" s="182"/>
      <c r="Y16" s="182"/>
      <c r="AA16" s="12"/>
      <c r="AB16" s="182"/>
      <c r="AC16" s="182"/>
      <c r="AE16" s="12"/>
      <c r="AF16" s="182"/>
      <c r="AG16" s="182"/>
      <c r="AI16" s="12"/>
      <c r="AJ16" s="182"/>
      <c r="AK16" s="182"/>
    </row>
    <row r="17" spans="2:37" s="1" customFormat="1" ht="18" customHeight="1" x14ac:dyDescent="0.25">
      <c r="B17" s="213"/>
      <c r="C17" s="183"/>
      <c r="D17" s="183"/>
      <c r="G17" s="12"/>
      <c r="H17" s="182"/>
      <c r="I17" s="182"/>
      <c r="K17" s="12"/>
      <c r="L17" s="182"/>
      <c r="M17" s="182"/>
      <c r="O17" s="12"/>
      <c r="P17" s="182"/>
      <c r="Q17" s="182"/>
      <c r="S17" s="12"/>
      <c r="T17" s="182"/>
      <c r="U17" s="182"/>
      <c r="W17" s="12"/>
      <c r="X17" s="182"/>
      <c r="Y17" s="182"/>
      <c r="AA17" s="12"/>
      <c r="AB17" s="182"/>
      <c r="AC17" s="182"/>
      <c r="AE17" s="12"/>
      <c r="AF17" s="182"/>
      <c r="AG17" s="182"/>
      <c r="AI17" s="12"/>
      <c r="AJ17" s="182"/>
      <c r="AK17" s="182"/>
    </row>
    <row r="18" spans="2:37" s="1" customFormat="1" ht="18" customHeight="1" x14ac:dyDescent="0.25">
      <c r="B18" s="213"/>
      <c r="C18" s="183"/>
      <c r="D18" s="183"/>
      <c r="G18" s="12"/>
      <c r="H18" s="182"/>
      <c r="I18" s="182"/>
      <c r="K18" s="12"/>
      <c r="L18" s="182"/>
      <c r="M18" s="182"/>
      <c r="O18" s="12"/>
      <c r="P18" s="182"/>
      <c r="Q18" s="182"/>
      <c r="S18" s="12"/>
      <c r="T18" s="182"/>
      <c r="U18" s="182"/>
      <c r="W18" s="12"/>
      <c r="X18" s="182"/>
      <c r="Y18" s="182"/>
      <c r="AA18" s="12"/>
      <c r="AB18" s="182"/>
      <c r="AC18" s="182"/>
      <c r="AE18" s="12"/>
      <c r="AF18" s="182"/>
      <c r="AG18" s="182"/>
      <c r="AI18" s="12"/>
      <c r="AJ18" s="182"/>
      <c r="AK18" s="182"/>
    </row>
    <row r="19" spans="2:37" s="1" customFormat="1" ht="18" customHeight="1" x14ac:dyDescent="0.25">
      <c r="B19" s="213"/>
      <c r="C19" s="183"/>
      <c r="D19" s="183"/>
      <c r="G19" s="12"/>
      <c r="H19" s="182"/>
      <c r="I19" s="182"/>
      <c r="K19" s="12"/>
      <c r="L19" s="182"/>
      <c r="M19" s="182"/>
      <c r="O19" s="12"/>
      <c r="P19" s="182"/>
      <c r="Q19" s="182"/>
      <c r="S19" s="12"/>
      <c r="T19" s="182"/>
      <c r="U19" s="182"/>
      <c r="W19" s="12"/>
      <c r="X19" s="182"/>
      <c r="Y19" s="182"/>
      <c r="AA19" s="12"/>
      <c r="AB19" s="182"/>
      <c r="AC19" s="182"/>
      <c r="AE19" s="12"/>
      <c r="AF19" s="182"/>
      <c r="AG19" s="182"/>
      <c r="AI19" s="12"/>
      <c r="AJ19" s="182"/>
      <c r="AK19" s="182"/>
    </row>
    <row r="20" spans="2:37" s="1" customFormat="1" ht="18" customHeight="1" x14ac:dyDescent="0.25">
      <c r="B20" s="213"/>
      <c r="C20" s="183"/>
      <c r="D20" s="183"/>
      <c r="G20" s="12"/>
      <c r="H20" s="182"/>
      <c r="I20" s="182"/>
      <c r="K20" s="12"/>
      <c r="L20" s="182"/>
      <c r="M20" s="182"/>
      <c r="O20" s="12"/>
      <c r="P20" s="182"/>
      <c r="Q20" s="182"/>
      <c r="S20" s="12"/>
      <c r="T20" s="182"/>
      <c r="U20" s="182"/>
      <c r="W20" s="12"/>
      <c r="X20" s="182"/>
      <c r="Y20" s="182"/>
      <c r="AA20" s="12"/>
      <c r="AB20" s="182"/>
      <c r="AC20" s="182"/>
      <c r="AE20" s="12"/>
      <c r="AF20" s="182"/>
      <c r="AG20" s="182"/>
      <c r="AI20" s="12"/>
      <c r="AJ20" s="182"/>
      <c r="AK20" s="182"/>
    </row>
    <row r="21" spans="2:37" s="1" customFormat="1" ht="18" customHeight="1" x14ac:dyDescent="0.25">
      <c r="B21" s="213"/>
      <c r="C21" s="183"/>
      <c r="D21" s="183"/>
      <c r="G21" s="12"/>
      <c r="H21" s="182"/>
      <c r="I21" s="183"/>
      <c r="K21" s="12"/>
      <c r="L21" s="182"/>
      <c r="M21" s="183"/>
      <c r="O21" s="12"/>
      <c r="P21" s="182"/>
      <c r="Q21" s="183"/>
      <c r="S21" s="12"/>
      <c r="T21" s="182"/>
      <c r="U21" s="183"/>
      <c r="W21" s="12"/>
      <c r="X21" s="182"/>
      <c r="Y21" s="183"/>
      <c r="AA21" s="12"/>
      <c r="AB21" s="182"/>
      <c r="AC21" s="183"/>
      <c r="AE21" s="12"/>
      <c r="AF21" s="182"/>
      <c r="AG21" s="183"/>
      <c r="AI21" s="12"/>
      <c r="AJ21" s="182"/>
      <c r="AK21" s="183"/>
    </row>
    <row r="22" spans="2:37" s="1" customFormat="1" ht="18" customHeight="1" x14ac:dyDescent="0.25">
      <c r="B22" s="213"/>
      <c r="C22" s="182"/>
      <c r="D22" s="182"/>
      <c r="G22" s="12"/>
      <c r="H22" s="182"/>
      <c r="I22" s="182"/>
      <c r="K22" s="12"/>
      <c r="L22" s="182"/>
      <c r="M22" s="182"/>
      <c r="O22" s="12"/>
      <c r="P22" s="182"/>
      <c r="Q22" s="182"/>
      <c r="S22" s="12"/>
      <c r="T22" s="182"/>
      <c r="U22" s="182"/>
      <c r="W22" s="12"/>
      <c r="X22" s="182"/>
      <c r="Y22" s="182"/>
      <c r="AA22" s="12"/>
      <c r="AB22" s="182"/>
      <c r="AC22" s="182"/>
      <c r="AE22" s="12"/>
      <c r="AF22" s="182"/>
      <c r="AG22" s="182"/>
      <c r="AI22" s="12"/>
      <c r="AJ22" s="182"/>
      <c r="AK22" s="182"/>
    </row>
    <row r="23" spans="2:37" s="1" customFormat="1" ht="18" customHeight="1" x14ac:dyDescent="0.25">
      <c r="B23" s="213"/>
      <c r="C23" s="182"/>
      <c r="D23" s="182"/>
      <c r="G23" s="12"/>
      <c r="H23" s="182"/>
      <c r="I23" s="183"/>
      <c r="K23" s="12"/>
      <c r="L23" s="182"/>
      <c r="M23" s="183"/>
      <c r="O23" s="12"/>
      <c r="P23" s="182"/>
      <c r="Q23" s="183"/>
      <c r="S23" s="12"/>
      <c r="T23" s="182"/>
      <c r="U23" s="183"/>
      <c r="W23" s="12"/>
      <c r="X23" s="182"/>
      <c r="Y23" s="183"/>
      <c r="AA23" s="12"/>
      <c r="AB23" s="182"/>
      <c r="AC23" s="183"/>
      <c r="AE23" s="12"/>
      <c r="AF23" s="182"/>
      <c r="AG23" s="183"/>
      <c r="AI23" s="12"/>
      <c r="AJ23" s="182"/>
      <c r="AK23" s="183"/>
    </row>
    <row r="24" spans="2:37" s="1" customFormat="1" ht="18" customHeight="1" x14ac:dyDescent="0.25">
      <c r="B24" s="213"/>
      <c r="C24" s="182"/>
      <c r="D24" s="182"/>
      <c r="G24" s="12"/>
      <c r="H24" s="182"/>
      <c r="I24" s="183"/>
      <c r="K24" s="12"/>
      <c r="L24" s="182"/>
      <c r="M24" s="183"/>
      <c r="O24" s="12"/>
      <c r="P24" s="182"/>
      <c r="Q24" s="183"/>
      <c r="S24" s="12"/>
      <c r="T24" s="182"/>
      <c r="U24" s="183"/>
      <c r="W24" s="12"/>
      <c r="X24" s="182"/>
      <c r="Y24" s="183"/>
      <c r="AA24" s="12"/>
      <c r="AB24" s="182"/>
      <c r="AC24" s="183"/>
      <c r="AE24" s="12"/>
      <c r="AF24" s="182"/>
      <c r="AG24" s="183"/>
      <c r="AI24" s="12"/>
      <c r="AJ24" s="182"/>
      <c r="AK24" s="183"/>
    </row>
    <row r="25" spans="2:37" s="1" customFormat="1" ht="18" customHeight="1" x14ac:dyDescent="0.25">
      <c r="B25" s="213"/>
      <c r="C25" s="182"/>
      <c r="D25" s="182"/>
      <c r="G25" s="12"/>
      <c r="H25" s="182"/>
      <c r="I25" s="183"/>
      <c r="K25" s="12"/>
      <c r="L25" s="182"/>
      <c r="M25" s="183"/>
      <c r="O25" s="12"/>
      <c r="P25" s="182"/>
      <c r="Q25" s="183"/>
      <c r="S25" s="12"/>
      <c r="T25" s="182"/>
      <c r="U25" s="183"/>
      <c r="W25" s="12"/>
      <c r="X25" s="182"/>
      <c r="Y25" s="183"/>
      <c r="AA25" s="12"/>
      <c r="AB25" s="182"/>
      <c r="AC25" s="183"/>
      <c r="AE25" s="12"/>
      <c r="AF25" s="182"/>
      <c r="AG25" s="183"/>
      <c r="AI25" s="12"/>
      <c r="AJ25" s="182"/>
      <c r="AK25" s="183"/>
    </row>
    <row r="26" spans="2:37" s="1" customFormat="1" ht="18" customHeight="1" x14ac:dyDescent="0.25">
      <c r="B26" s="213"/>
      <c r="C26" s="182"/>
      <c r="D26" s="182"/>
      <c r="G26" s="12"/>
      <c r="H26" s="182"/>
      <c r="I26" s="183"/>
      <c r="K26" s="12"/>
      <c r="L26" s="182"/>
      <c r="M26" s="183"/>
      <c r="O26" s="12"/>
      <c r="P26" s="182"/>
      <c r="Q26" s="183"/>
      <c r="S26" s="12"/>
      <c r="T26" s="182"/>
      <c r="U26" s="183"/>
      <c r="W26" s="12"/>
      <c r="X26" s="182"/>
      <c r="Y26" s="183"/>
      <c r="AA26" s="12"/>
      <c r="AB26" s="182"/>
      <c r="AC26" s="183"/>
      <c r="AE26" s="12"/>
      <c r="AF26" s="182"/>
      <c r="AG26" s="183"/>
      <c r="AI26" s="12"/>
      <c r="AJ26" s="182"/>
      <c r="AK26" s="183"/>
    </row>
    <row r="27" spans="2:37" s="1" customFormat="1" ht="18" customHeight="1" x14ac:dyDescent="0.25">
      <c r="B27" s="213"/>
      <c r="C27" s="182"/>
      <c r="D27" s="182"/>
      <c r="G27" s="12"/>
      <c r="H27" s="182"/>
      <c r="I27" s="183"/>
      <c r="K27" s="12"/>
      <c r="L27" s="182"/>
      <c r="M27" s="183"/>
      <c r="O27" s="12"/>
      <c r="P27" s="182"/>
      <c r="Q27" s="183"/>
      <c r="S27" s="12"/>
      <c r="T27" s="182"/>
      <c r="U27" s="183"/>
      <c r="W27" s="12"/>
      <c r="X27" s="182"/>
      <c r="Y27" s="183"/>
      <c r="AA27" s="12"/>
      <c r="AB27" s="182"/>
      <c r="AC27" s="183"/>
      <c r="AE27" s="12"/>
      <c r="AF27" s="182"/>
      <c r="AG27" s="183"/>
      <c r="AI27" s="12"/>
      <c r="AJ27" s="182"/>
      <c r="AK27" s="183"/>
    </row>
    <row r="28" spans="2:37" s="1" customFormat="1" ht="18" customHeight="1" x14ac:dyDescent="0.25">
      <c r="B28" s="12"/>
      <c r="C28" s="182"/>
      <c r="D28" s="183"/>
      <c r="G28" s="12"/>
      <c r="H28" s="182"/>
      <c r="I28" s="183"/>
      <c r="K28" s="12"/>
      <c r="L28" s="182"/>
      <c r="M28" s="183"/>
      <c r="O28" s="12"/>
      <c r="P28" s="182"/>
      <c r="Q28" s="183"/>
      <c r="S28" s="12"/>
      <c r="T28" s="182"/>
      <c r="U28" s="183"/>
      <c r="W28" s="12"/>
      <c r="X28" s="182"/>
      <c r="Y28" s="183"/>
      <c r="AA28" s="12"/>
      <c r="AB28" s="182"/>
      <c r="AC28" s="183"/>
      <c r="AE28" s="12"/>
      <c r="AF28" s="182"/>
      <c r="AG28" s="183"/>
      <c r="AI28" s="12"/>
      <c r="AJ28" s="182"/>
      <c r="AK28" s="183"/>
    </row>
    <row r="29" spans="2:37" s="1" customFormat="1" ht="18" customHeight="1" x14ac:dyDescent="0.25">
      <c r="B29" s="12"/>
      <c r="C29" s="182"/>
      <c r="D29" s="183"/>
      <c r="G29" s="12"/>
      <c r="H29" s="182"/>
      <c r="I29" s="183"/>
      <c r="K29" s="12"/>
      <c r="L29" s="182"/>
      <c r="M29" s="183"/>
      <c r="O29" s="12"/>
      <c r="P29" s="182"/>
      <c r="Q29" s="183"/>
      <c r="S29" s="12"/>
      <c r="T29" s="182"/>
      <c r="U29" s="183"/>
      <c r="W29" s="12"/>
      <c r="X29" s="182"/>
      <c r="Y29" s="183"/>
      <c r="AA29" s="12"/>
      <c r="AB29" s="182"/>
      <c r="AC29" s="183"/>
      <c r="AE29" s="12"/>
      <c r="AF29" s="182"/>
      <c r="AG29" s="183"/>
      <c r="AI29" s="12"/>
      <c r="AJ29" s="182"/>
      <c r="AK29" s="183"/>
    </row>
    <row r="30" spans="2:37" s="1" customFormat="1" ht="18" customHeight="1" thickBot="1" x14ac:dyDescent="0.3">
      <c r="B30" s="204">
        <f>COUNTA(B4:B29)</f>
        <v>11</v>
      </c>
      <c r="C30" s="31"/>
      <c r="D30" s="31"/>
      <c r="E30" s="137"/>
      <c r="G30" s="204">
        <f>COUNTA(G4:G29)</f>
        <v>1</v>
      </c>
      <c r="H30" s="182"/>
      <c r="I30" s="183"/>
      <c r="K30" s="204">
        <f>COUNTA(K4:K29)</f>
        <v>2</v>
      </c>
      <c r="L30" s="182"/>
      <c r="M30" s="183"/>
      <c r="O30" s="204">
        <f>COUNTA(O4:O29)</f>
        <v>5</v>
      </c>
      <c r="P30" s="182"/>
      <c r="Q30" s="183"/>
      <c r="S30" s="204">
        <f>COUNTA(S4:S29)</f>
        <v>1</v>
      </c>
      <c r="T30" s="182"/>
      <c r="U30" s="183"/>
      <c r="W30" s="204">
        <f>COUNTA(W4:W29)</f>
        <v>1</v>
      </c>
      <c r="X30" s="182"/>
      <c r="Y30" s="183"/>
      <c r="AA30" s="204">
        <f>COUNTA(AA4:AA29)</f>
        <v>1</v>
      </c>
      <c r="AB30" s="182"/>
      <c r="AC30" s="183"/>
      <c r="AE30" s="204">
        <f>COUNTA(AE4:AE29)</f>
        <v>4</v>
      </c>
      <c r="AF30" s="182"/>
      <c r="AG30" s="183"/>
      <c r="AI30" s="204">
        <f>COUNTA(AI4:AI29)</f>
        <v>1</v>
      </c>
      <c r="AJ30" s="182"/>
      <c r="AK30" s="183"/>
    </row>
    <row r="31" spans="2:37" ht="18" customHeight="1" thickBot="1" x14ac:dyDescent="0.3">
      <c r="B31" s="11"/>
      <c r="C31" s="9">
        <f>SUM(C4:C27)</f>
        <v>4591</v>
      </c>
      <c r="D31" s="10">
        <f>SUM(D4:D27)</f>
        <v>4202</v>
      </c>
      <c r="G31" s="11"/>
      <c r="H31" s="9">
        <f>SUM(H4:H27)</f>
        <v>195</v>
      </c>
      <c r="I31" s="10">
        <f>SUM(I4:I27)</f>
        <v>170</v>
      </c>
      <c r="K31" s="11"/>
      <c r="L31" s="9">
        <f>SUM(L4:L19)</f>
        <v>1059</v>
      </c>
      <c r="M31" s="10">
        <f>SUM(M4:M19)</f>
        <v>989</v>
      </c>
      <c r="O31" s="11"/>
      <c r="P31" s="9">
        <f>SUM(P4:P19)</f>
        <v>3593</v>
      </c>
      <c r="Q31" s="10">
        <f>SUM(Q4:Q19)</f>
        <v>3416</v>
      </c>
      <c r="S31" s="11"/>
      <c r="T31" s="9">
        <f>SUM(T4:T19)</f>
        <v>261</v>
      </c>
      <c r="U31" s="10">
        <f>SUM(U4:U19)</f>
        <v>226</v>
      </c>
      <c r="W31" s="11"/>
      <c r="X31" s="9">
        <f>SUM(X4:X19)</f>
        <v>595</v>
      </c>
      <c r="Y31" s="10">
        <f>SUM(Y4:Y19)</f>
        <v>569.5</v>
      </c>
      <c r="AA31" s="11"/>
      <c r="AB31" s="9">
        <f>SUM(AB4:AB19)</f>
        <v>432</v>
      </c>
      <c r="AC31" s="10">
        <f>SUM(AC4:AC19)</f>
        <v>409.89999389648398</v>
      </c>
      <c r="AE31" s="11"/>
      <c r="AF31" s="9">
        <f>SUM(AF4:AF19)</f>
        <v>2607</v>
      </c>
      <c r="AG31" s="10">
        <f>SUM(AG4:AG19)</f>
        <v>2506.6000061035161</v>
      </c>
      <c r="AI31" s="11"/>
      <c r="AJ31" s="9">
        <f>SUM(AJ4:AJ19)</f>
        <v>513</v>
      </c>
      <c r="AK31" s="10">
        <f>SUM(AK4:AK19)</f>
        <v>487.95001220703102</v>
      </c>
    </row>
    <row r="32" spans="2:37" s="34" customFormat="1" ht="16.5" customHeight="1" thickBot="1" x14ac:dyDescent="0.3"/>
    <row r="33" spans="2:37" s="4" customFormat="1" ht="46.5" customHeight="1" thickBot="1" x14ac:dyDescent="0.3">
      <c r="B33" s="230" t="str">
        <f>B2</f>
        <v>9801993 - 787274TFR COSTCO 5ct Petite Romaine</v>
      </c>
      <c r="C33" s="231"/>
      <c r="D33" s="232"/>
      <c r="G33" s="230" t="str">
        <f>G2</f>
        <v>1587V2TJ's 3Ct Little Gem 14oz</v>
      </c>
      <c r="H33" s="231"/>
      <c r="I33" s="232"/>
      <c r="K33" s="230" t="str">
        <f>K2</f>
        <v>5TSSAMSPP-15lb TS Sams Perfect Pair Wkt</v>
      </c>
      <c r="L33" s="231"/>
      <c r="M33" s="232"/>
      <c r="O33" s="230" t="str">
        <f>O2</f>
        <v>9801902 - 783913TFR COSTCO 6Ct Rom Hrts USA</v>
      </c>
      <c r="P33" s="231"/>
      <c r="Q33" s="232"/>
      <c r="S33" s="230" t="str">
        <f>S2</f>
        <v>61953-11KROGER 2Ct Artsn Rom SUP</v>
      </c>
      <c r="T33" s="231"/>
      <c r="U33" s="232"/>
      <c r="W33" s="230" t="str">
        <f>W2</f>
        <v>3000008595/8OZ DOLE SLC STRAW/BAN- OUT</v>
      </c>
      <c r="X33" s="231"/>
      <c r="Y33" s="232"/>
      <c r="AA33" s="230" t="str">
        <f>AA2</f>
        <v>1292591LB WHOLESOME PANTRY ORG RS CF</v>
      </c>
      <c r="AB33" s="231"/>
      <c r="AC33" s="232"/>
      <c r="AE33" s="230" t="str">
        <f>AE2</f>
        <v>97886-12LB PRESIDENTS CHOICE ORG CAN</v>
      </c>
      <c r="AF33" s="231"/>
      <c r="AG33" s="232"/>
      <c r="AI33" s="230" t="str">
        <f>AI2</f>
        <v>S2BFT-A12LB BOLTHOUSE FRESH TZIP RS</v>
      </c>
      <c r="AJ33" s="231"/>
      <c r="AK33" s="232"/>
    </row>
    <row r="34" spans="2:37" ht="18" customHeight="1" thickBot="1" x14ac:dyDescent="0.3">
      <c r="B34" s="1"/>
      <c r="C34" s="1"/>
      <c r="D34" s="1"/>
      <c r="G34" s="1"/>
      <c r="H34" s="1"/>
      <c r="I34" s="1"/>
      <c r="K34" s="1"/>
      <c r="L34" s="1"/>
      <c r="M34" s="1"/>
      <c r="O34" s="1"/>
      <c r="P34" s="1"/>
      <c r="Q34" s="1"/>
      <c r="S34" s="1"/>
      <c r="T34" s="1"/>
      <c r="U34" s="1"/>
      <c r="W34" s="1"/>
      <c r="X34" s="1"/>
      <c r="Y34" s="1"/>
      <c r="AA34" s="1"/>
      <c r="AB34" s="1"/>
      <c r="AC34" s="1"/>
      <c r="AE34" s="1"/>
      <c r="AF34" s="1"/>
      <c r="AG34" s="1"/>
      <c r="AI34" s="1"/>
      <c r="AJ34" s="1"/>
      <c r="AK34" s="1"/>
    </row>
    <row r="35" spans="2:37" ht="18" customHeight="1" thickBot="1" x14ac:dyDescent="0.3">
      <c r="B35" s="26" t="s">
        <v>16</v>
      </c>
      <c r="C35" s="24"/>
      <c r="D35" s="13">
        <v>29688</v>
      </c>
      <c r="G35" s="26" t="s">
        <v>16</v>
      </c>
      <c r="H35" s="24"/>
      <c r="I35" s="13">
        <v>30840</v>
      </c>
      <c r="K35" s="26" t="s">
        <v>16</v>
      </c>
      <c r="L35" s="24"/>
      <c r="M35" s="13">
        <v>29749</v>
      </c>
      <c r="O35" s="26" t="s">
        <v>16</v>
      </c>
      <c r="P35" s="24"/>
      <c r="Q35" s="13">
        <v>30094</v>
      </c>
      <c r="S35" s="26" t="s">
        <v>16</v>
      </c>
      <c r="T35" s="24"/>
      <c r="U35" s="13">
        <v>30231</v>
      </c>
      <c r="W35" s="26" t="s">
        <v>16</v>
      </c>
      <c r="X35" s="24"/>
      <c r="Y35" s="13">
        <v>29482</v>
      </c>
      <c r="AA35" s="26" t="s">
        <v>16</v>
      </c>
      <c r="AB35" s="24"/>
      <c r="AC35" s="13">
        <v>29898</v>
      </c>
      <c r="AE35" s="26" t="s">
        <v>16</v>
      </c>
      <c r="AF35" s="24"/>
      <c r="AG35" s="13">
        <v>29897</v>
      </c>
      <c r="AI35" s="26" t="s">
        <v>16</v>
      </c>
      <c r="AJ35" s="24"/>
      <c r="AK35" s="13">
        <v>29483</v>
      </c>
    </row>
    <row r="36" spans="2:37" ht="18" customHeight="1" thickBot="1" x14ac:dyDescent="0.3">
      <c r="B36" s="5" t="s">
        <v>17</v>
      </c>
      <c r="D36" s="184">
        <v>14374</v>
      </c>
      <c r="E36" s="184">
        <v>13064</v>
      </c>
      <c r="G36" s="5" t="s">
        <v>17</v>
      </c>
      <c r="I36" s="184">
        <v>14460</v>
      </c>
      <c r="K36" s="5" t="s">
        <v>17</v>
      </c>
      <c r="M36" s="184">
        <v>13944</v>
      </c>
      <c r="O36" s="5" t="s">
        <v>17</v>
      </c>
      <c r="Q36" s="184">
        <v>14373</v>
      </c>
      <c r="S36" s="5" t="s">
        <v>17</v>
      </c>
      <c r="U36" s="229">
        <v>14384</v>
      </c>
      <c r="W36" s="5" t="s">
        <v>17</v>
      </c>
      <c r="Y36" s="184">
        <v>13991</v>
      </c>
      <c r="AA36" s="5" t="s">
        <v>17</v>
      </c>
      <c r="AC36" s="184">
        <v>14289</v>
      </c>
      <c r="AE36" s="5" t="s">
        <v>17</v>
      </c>
      <c r="AG36" s="184">
        <v>14277</v>
      </c>
      <c r="AI36" s="5" t="s">
        <v>17</v>
      </c>
      <c r="AK36" s="184">
        <v>12955</v>
      </c>
    </row>
    <row r="37" spans="2:37" ht="18" customHeight="1" thickBot="1" x14ac:dyDescent="0.3">
      <c r="B37" s="5" t="s">
        <v>19</v>
      </c>
      <c r="D37" s="201">
        <v>123356</v>
      </c>
      <c r="G37" s="5" t="s">
        <v>19</v>
      </c>
      <c r="I37" s="201">
        <v>123411</v>
      </c>
      <c r="K37" s="5" t="s">
        <v>19</v>
      </c>
      <c r="M37" s="201">
        <v>123359</v>
      </c>
      <c r="O37" s="5" t="s">
        <v>19</v>
      </c>
      <c r="Q37" s="201">
        <v>123357</v>
      </c>
      <c r="S37" s="5" t="s">
        <v>19</v>
      </c>
      <c r="U37" s="201">
        <v>123333</v>
      </c>
      <c r="W37" s="5" t="s">
        <v>19</v>
      </c>
      <c r="Y37" s="201">
        <v>123360</v>
      </c>
      <c r="AA37" s="5" t="s">
        <v>19</v>
      </c>
      <c r="AC37" s="201">
        <v>123361</v>
      </c>
      <c r="AE37" s="5" t="s">
        <v>19</v>
      </c>
      <c r="AG37" s="201">
        <v>123362</v>
      </c>
      <c r="AI37" s="5" t="s">
        <v>19</v>
      </c>
      <c r="AK37" s="201">
        <v>123423</v>
      </c>
    </row>
    <row r="38" spans="2:37" ht="18" customHeight="1" x14ac:dyDescent="0.25">
      <c r="B38" s="5" t="s">
        <v>510</v>
      </c>
      <c r="C38" s="24"/>
      <c r="D38" s="22">
        <v>1000</v>
      </c>
      <c r="G38" s="5" t="s">
        <v>510</v>
      </c>
      <c r="H38" s="24"/>
      <c r="I38" s="22">
        <v>1000</v>
      </c>
      <c r="K38" s="5" t="s">
        <v>510</v>
      </c>
      <c r="L38" s="24"/>
      <c r="M38" s="24">
        <v>1000</v>
      </c>
      <c r="O38" s="5" t="s">
        <v>510</v>
      </c>
      <c r="P38" s="24"/>
      <c r="Q38" s="22">
        <v>1000</v>
      </c>
      <c r="S38" s="5" t="s">
        <v>510</v>
      </c>
      <c r="T38" s="24"/>
      <c r="U38" s="22">
        <v>1000</v>
      </c>
      <c r="W38" s="228" t="s">
        <v>124</v>
      </c>
      <c r="X38" s="24"/>
      <c r="Y38" s="22">
        <v>2615.29</v>
      </c>
      <c r="AA38" s="228" t="s">
        <v>124</v>
      </c>
      <c r="AB38" s="24"/>
      <c r="AC38" s="22">
        <v>4842</v>
      </c>
      <c r="AE38" s="228" t="s">
        <v>124</v>
      </c>
      <c r="AF38" s="24">
        <v>3850</v>
      </c>
      <c r="AG38" s="22">
        <v>4000</v>
      </c>
      <c r="AI38" s="228" t="s">
        <v>124</v>
      </c>
      <c r="AJ38" s="24"/>
      <c r="AK38" s="22">
        <v>6786</v>
      </c>
    </row>
    <row r="39" spans="2:37" ht="18" customHeight="1" x14ac:dyDescent="0.25">
      <c r="B39" s="5" t="s">
        <v>23</v>
      </c>
      <c r="C39" s="1"/>
      <c r="D39" s="24">
        <v>42</v>
      </c>
      <c r="G39" s="5" t="s">
        <v>23</v>
      </c>
      <c r="H39" s="1"/>
      <c r="I39" s="24">
        <v>36</v>
      </c>
      <c r="K39" s="5" t="s">
        <v>23</v>
      </c>
      <c r="L39" s="1"/>
      <c r="M39">
        <v>60</v>
      </c>
      <c r="O39" s="5" t="s">
        <v>23</v>
      </c>
      <c r="P39" s="1"/>
      <c r="Q39" s="24">
        <v>42</v>
      </c>
      <c r="S39" s="5" t="s">
        <v>23</v>
      </c>
      <c r="T39" s="1"/>
      <c r="U39" s="24">
        <v>20</v>
      </c>
      <c r="W39" s="228" t="s">
        <v>125</v>
      </c>
      <c r="X39" s="1"/>
      <c r="Y39" s="24">
        <v>13</v>
      </c>
      <c r="AA39" s="228" t="s">
        <v>125</v>
      </c>
      <c r="AB39" s="1"/>
      <c r="AC39" s="24">
        <v>19</v>
      </c>
      <c r="AE39" s="228" t="s">
        <v>125</v>
      </c>
      <c r="AF39" s="1">
        <v>20</v>
      </c>
      <c r="AG39" s="24">
        <v>32</v>
      </c>
      <c r="AI39" s="228" t="s">
        <v>125</v>
      </c>
      <c r="AJ39" s="1"/>
      <c r="AK39" s="24">
        <v>14</v>
      </c>
    </row>
    <row r="40" spans="2:37" ht="18" customHeight="1" x14ac:dyDescent="0.25">
      <c r="B40" s="5" t="s">
        <v>511</v>
      </c>
      <c r="C40" s="1"/>
      <c r="D40" s="23">
        <f>D39*D38</f>
        <v>42000</v>
      </c>
      <c r="G40" s="5" t="s">
        <v>511</v>
      </c>
      <c r="H40" s="1"/>
      <c r="I40" s="23">
        <f>I39*I38</f>
        <v>36000</v>
      </c>
      <c r="K40" s="5" t="s">
        <v>511</v>
      </c>
      <c r="L40" s="1"/>
      <c r="M40" s="23">
        <f>M39*M38</f>
        <v>60000</v>
      </c>
      <c r="O40" s="5" t="s">
        <v>511</v>
      </c>
      <c r="P40" s="1"/>
      <c r="Q40" s="23">
        <f>Q39*Q38</f>
        <v>42000</v>
      </c>
      <c r="S40" s="5" t="s">
        <v>511</v>
      </c>
      <c r="T40" s="1"/>
      <c r="U40" s="23">
        <f>U39*U38</f>
        <v>20000</v>
      </c>
      <c r="W40" s="228" t="s">
        <v>126</v>
      </c>
      <c r="X40" s="1"/>
      <c r="Y40" s="23">
        <f>Y39*Y38</f>
        <v>33998.769999999997</v>
      </c>
      <c r="AA40" s="228" t="s">
        <v>126</v>
      </c>
      <c r="AB40" s="1"/>
      <c r="AC40" s="23">
        <f>AC39*AC38</f>
        <v>91998</v>
      </c>
      <c r="AE40" s="228" t="s">
        <v>126</v>
      </c>
      <c r="AF40" s="1"/>
      <c r="AG40" s="23">
        <f>AG39*AG38</f>
        <v>128000</v>
      </c>
      <c r="AI40" s="228" t="s">
        <v>126</v>
      </c>
      <c r="AJ40" s="1"/>
      <c r="AK40" s="23">
        <f>AK39*AK38</f>
        <v>95004</v>
      </c>
    </row>
    <row r="41" spans="2:37" ht="18" customHeight="1" thickBot="1" x14ac:dyDescent="0.3">
      <c r="B41" s="5"/>
      <c r="C41" s="1"/>
      <c r="D41" s="32">
        <v>462</v>
      </c>
      <c r="G41" s="5"/>
      <c r="H41" s="1"/>
      <c r="I41" s="32">
        <v>36</v>
      </c>
      <c r="K41" s="5"/>
      <c r="L41" s="1"/>
      <c r="M41" s="32">
        <v>107</v>
      </c>
      <c r="O41" s="5"/>
      <c r="P41" s="1"/>
      <c r="Q41" s="32">
        <v>210</v>
      </c>
      <c r="S41" s="5"/>
      <c r="T41" s="1"/>
      <c r="U41" s="32">
        <v>20</v>
      </c>
      <c r="W41" s="228" t="s">
        <v>127</v>
      </c>
      <c r="X41" s="1"/>
      <c r="Y41" s="32">
        <v>13</v>
      </c>
      <c r="AA41" s="228" t="s">
        <v>127</v>
      </c>
      <c r="AB41" s="1"/>
      <c r="AC41" s="32">
        <v>19</v>
      </c>
      <c r="AE41" s="228" t="s">
        <v>127</v>
      </c>
      <c r="AF41" s="1"/>
      <c r="AG41" s="32">
        <v>116</v>
      </c>
      <c r="AI41" s="228" t="s">
        <v>127</v>
      </c>
      <c r="AJ41" s="1"/>
      <c r="AK41" s="32">
        <v>14</v>
      </c>
    </row>
    <row r="42" spans="2:37" ht="18" customHeight="1" thickBot="1" x14ac:dyDescent="0.3">
      <c r="B42" s="5"/>
      <c r="C42" s="1"/>
      <c r="D42" s="185">
        <v>462000</v>
      </c>
      <c r="G42" s="5"/>
      <c r="H42" s="1"/>
      <c r="I42" s="185">
        <v>36000</v>
      </c>
      <c r="K42" s="5"/>
      <c r="L42" s="1"/>
      <c r="M42" s="185">
        <v>107000</v>
      </c>
      <c r="O42" s="5"/>
      <c r="P42" s="1"/>
      <c r="Q42" s="185">
        <v>210000</v>
      </c>
      <c r="S42" s="5"/>
      <c r="T42" s="1"/>
      <c r="U42" s="185">
        <v>20000</v>
      </c>
      <c r="W42" s="5"/>
      <c r="X42" s="1"/>
      <c r="Y42" s="185">
        <v>34000</v>
      </c>
      <c r="AA42" s="5"/>
      <c r="AB42" s="1"/>
      <c r="AC42" s="185">
        <v>92000</v>
      </c>
      <c r="AE42" s="5"/>
      <c r="AF42" s="1"/>
      <c r="AG42" s="185">
        <v>461000</v>
      </c>
      <c r="AI42" s="5"/>
      <c r="AJ42" s="1"/>
      <c r="AK42" s="185">
        <v>95000</v>
      </c>
    </row>
    <row r="43" spans="2:37" ht="18" customHeight="1" x14ac:dyDescent="0.25">
      <c r="B43" s="5" t="s">
        <v>30</v>
      </c>
      <c r="C43" s="1"/>
      <c r="D43" s="22"/>
      <c r="G43" s="5" t="s">
        <v>30</v>
      </c>
      <c r="H43" s="1"/>
      <c r="I43" s="22"/>
      <c r="K43" s="5" t="s">
        <v>30</v>
      </c>
      <c r="L43" s="1"/>
      <c r="M43" s="22"/>
      <c r="O43" s="5" t="s">
        <v>30</v>
      </c>
      <c r="P43" s="1"/>
      <c r="Q43" s="22"/>
      <c r="S43" s="5" t="s">
        <v>30</v>
      </c>
      <c r="T43" s="1"/>
      <c r="U43" s="22"/>
      <c r="W43" s="5" t="s">
        <v>30</v>
      </c>
      <c r="X43" s="1"/>
      <c r="Y43" s="22"/>
      <c r="AA43" s="5" t="s">
        <v>30</v>
      </c>
      <c r="AB43" s="1"/>
      <c r="AC43" s="22"/>
      <c r="AE43" s="5" t="s">
        <v>30</v>
      </c>
      <c r="AF43" s="1"/>
      <c r="AG43" s="22"/>
      <c r="AI43" s="5" t="s">
        <v>30</v>
      </c>
      <c r="AJ43" s="1"/>
      <c r="AK43" s="22"/>
    </row>
    <row r="44" spans="2:37" ht="18" customHeight="1" thickBot="1" x14ac:dyDescent="0.3">
      <c r="B44" s="5" t="s">
        <v>31</v>
      </c>
      <c r="C44" s="1"/>
      <c r="D44" s="24"/>
      <c r="G44" s="5" t="s">
        <v>31</v>
      </c>
      <c r="H44" s="1"/>
      <c r="I44" s="24"/>
      <c r="K44" s="5" t="s">
        <v>31</v>
      </c>
      <c r="L44" s="1"/>
      <c r="M44" s="24"/>
      <c r="O44" s="5" t="s">
        <v>31</v>
      </c>
      <c r="P44" s="1"/>
      <c r="Q44" s="24"/>
      <c r="S44" s="5" t="s">
        <v>31</v>
      </c>
      <c r="T44" s="1"/>
      <c r="U44" s="24"/>
      <c r="W44" s="5" t="s">
        <v>31</v>
      </c>
      <c r="X44" s="1"/>
      <c r="Y44" s="24"/>
      <c r="AA44" s="5" t="s">
        <v>31</v>
      </c>
      <c r="AB44" s="1"/>
      <c r="AC44" s="24"/>
      <c r="AE44" s="5" t="s">
        <v>31</v>
      </c>
      <c r="AF44" s="1"/>
      <c r="AG44" s="24"/>
      <c r="AI44" s="5" t="s">
        <v>31</v>
      </c>
      <c r="AJ44" s="1"/>
      <c r="AK44" s="24"/>
    </row>
    <row r="45" spans="2:37" ht="18" customHeight="1" thickBot="1" x14ac:dyDescent="0.3">
      <c r="B45" s="5" t="s">
        <v>32</v>
      </c>
      <c r="C45" s="1"/>
      <c r="D45" s="25">
        <f>D46/1000</f>
        <v>3.85E-2</v>
      </c>
      <c r="G45" s="5" t="s">
        <v>32</v>
      </c>
      <c r="H45" s="1"/>
      <c r="I45" s="25">
        <f>I46/1000</f>
        <v>2.2499999999999999E-2</v>
      </c>
      <c r="K45" s="5" t="s">
        <v>32</v>
      </c>
      <c r="L45" s="1"/>
      <c r="M45" s="25">
        <f>M46/1000</f>
        <v>3.5549999999999998E-2</v>
      </c>
      <c r="O45" s="5" t="s">
        <v>32</v>
      </c>
      <c r="P45" s="1"/>
      <c r="Q45" s="25">
        <f>Q46/1000</f>
        <v>7.2730000000000003E-2</v>
      </c>
      <c r="S45" s="5" t="s">
        <v>32</v>
      </c>
      <c r="T45" s="1"/>
      <c r="U45" s="25">
        <f>U46/1000</f>
        <v>9.9790000000000004E-2</v>
      </c>
      <c r="W45" s="5" t="s">
        <v>32</v>
      </c>
      <c r="X45" s="1"/>
      <c r="Y45" s="25">
        <f>Y46/1000</f>
        <v>6.8239999999999995E-2</v>
      </c>
      <c r="AA45" s="5" t="s">
        <v>32</v>
      </c>
      <c r="AB45" s="1"/>
      <c r="AC45" s="25">
        <f>AC46/1000</f>
        <v>1.4590000000000001E-2</v>
      </c>
      <c r="AE45" s="5" t="s">
        <v>32</v>
      </c>
      <c r="AF45" s="1"/>
      <c r="AG45" s="25">
        <f>AG46/1000</f>
        <v>1.6500000000000001E-2</v>
      </c>
      <c r="AI45" s="5" t="s">
        <v>32</v>
      </c>
      <c r="AJ45" s="1"/>
      <c r="AK45" s="25">
        <f>AK46/1000</f>
        <v>1.736E-2</v>
      </c>
    </row>
    <row r="46" spans="2:37" ht="18" customHeight="1" thickBot="1" x14ac:dyDescent="0.3">
      <c r="B46" s="5" t="s">
        <v>33</v>
      </c>
      <c r="C46" s="1" t="s">
        <v>129</v>
      </c>
      <c r="D46" s="2">
        <v>38.5</v>
      </c>
      <c r="G46" s="5" t="s">
        <v>33</v>
      </c>
      <c r="H46" s="1" t="s">
        <v>129</v>
      </c>
      <c r="I46" s="2">
        <v>22.5</v>
      </c>
      <c r="K46" s="5" t="s">
        <v>33</v>
      </c>
      <c r="L46" s="1" t="s">
        <v>129</v>
      </c>
      <c r="M46" s="2">
        <v>35.549999999999997</v>
      </c>
      <c r="O46" s="5" t="s">
        <v>33</v>
      </c>
      <c r="P46" s="1" t="s">
        <v>129</v>
      </c>
      <c r="Q46" s="2">
        <v>72.73</v>
      </c>
      <c r="S46" s="5" t="s">
        <v>33</v>
      </c>
      <c r="T46" s="1" t="s">
        <v>129</v>
      </c>
      <c r="U46" s="2">
        <v>99.79</v>
      </c>
      <c r="W46" s="5" t="s">
        <v>33</v>
      </c>
      <c r="X46" s="1" t="s">
        <v>129</v>
      </c>
      <c r="Y46" s="2">
        <v>68.239999999999995</v>
      </c>
      <c r="AA46" s="5" t="s">
        <v>33</v>
      </c>
      <c r="AB46" s="1" t="s">
        <v>129</v>
      </c>
      <c r="AC46" s="2">
        <v>14.59</v>
      </c>
      <c r="AE46" s="5" t="s">
        <v>33</v>
      </c>
      <c r="AF46" s="1" t="s">
        <v>129</v>
      </c>
      <c r="AG46" s="2">
        <v>16.5</v>
      </c>
      <c r="AI46" s="5" t="s">
        <v>33</v>
      </c>
      <c r="AJ46" s="1" t="s">
        <v>129</v>
      </c>
      <c r="AK46" s="2">
        <v>17.36</v>
      </c>
    </row>
    <row r="47" spans="2:37" ht="18" customHeight="1" thickBot="1" x14ac:dyDescent="0.3">
      <c r="B47" s="15" t="s">
        <v>34</v>
      </c>
      <c r="C47" s="16"/>
      <c r="D47" s="17">
        <f>D42*D45</f>
        <v>17787</v>
      </c>
      <c r="G47" s="15" t="s">
        <v>34</v>
      </c>
      <c r="H47" s="16"/>
      <c r="I47" s="17">
        <f>I42*I45</f>
        <v>810</v>
      </c>
      <c r="K47" s="15" t="s">
        <v>34</v>
      </c>
      <c r="L47" s="16"/>
      <c r="M47" s="17">
        <f>M42*M45</f>
        <v>3803.85</v>
      </c>
      <c r="O47" s="15" t="s">
        <v>34</v>
      </c>
      <c r="P47" s="16"/>
      <c r="Q47" s="17">
        <f>Q42*Q45</f>
        <v>15273.300000000001</v>
      </c>
      <c r="S47" s="15" t="s">
        <v>34</v>
      </c>
      <c r="T47" s="16"/>
      <c r="U47" s="17">
        <f>U42*U45</f>
        <v>1995.8000000000002</v>
      </c>
      <c r="W47" s="15" t="s">
        <v>34</v>
      </c>
      <c r="X47" s="16"/>
      <c r="Y47" s="17">
        <f>Y42*Y45</f>
        <v>2320.16</v>
      </c>
      <c r="AA47" s="15" t="s">
        <v>34</v>
      </c>
      <c r="AB47" s="16"/>
      <c r="AC47" s="17">
        <f>AC42*AC45</f>
        <v>1342.28</v>
      </c>
      <c r="AE47" s="15" t="s">
        <v>34</v>
      </c>
      <c r="AF47" s="16"/>
      <c r="AG47" s="17">
        <f>AG42*AG45</f>
        <v>7606.5</v>
      </c>
      <c r="AI47" s="15" t="s">
        <v>34</v>
      </c>
      <c r="AJ47" s="16"/>
      <c r="AK47" s="17">
        <f>AK42*AK45</f>
        <v>1649.2</v>
      </c>
    </row>
    <row r="48" spans="2:37" ht="18" customHeight="1" thickBot="1" x14ac:dyDescent="0.3">
      <c r="B48" s="1"/>
      <c r="C48" s="3" t="s">
        <v>35</v>
      </c>
      <c r="D48" s="3" t="s">
        <v>12</v>
      </c>
      <c r="G48" s="1"/>
      <c r="H48" s="3" t="s">
        <v>35</v>
      </c>
      <c r="I48" s="3" t="s">
        <v>12</v>
      </c>
      <c r="K48" s="1"/>
      <c r="L48" s="3" t="s">
        <v>35</v>
      </c>
      <c r="M48" s="3" t="s">
        <v>12</v>
      </c>
      <c r="O48" s="1"/>
      <c r="P48" s="3" t="s">
        <v>35</v>
      </c>
      <c r="Q48" s="3" t="s">
        <v>12</v>
      </c>
      <c r="S48" s="1"/>
      <c r="T48" s="3" t="s">
        <v>35</v>
      </c>
      <c r="U48" s="3" t="s">
        <v>12</v>
      </c>
      <c r="W48" s="1"/>
      <c r="X48" s="3" t="s">
        <v>35</v>
      </c>
      <c r="Y48" s="3" t="s">
        <v>12</v>
      </c>
      <c r="AA48" s="1"/>
      <c r="AB48" s="3" t="s">
        <v>35</v>
      </c>
      <c r="AC48" s="3" t="s">
        <v>12</v>
      </c>
      <c r="AE48" s="1"/>
      <c r="AF48" s="3" t="s">
        <v>35</v>
      </c>
      <c r="AG48" s="3" t="s">
        <v>12</v>
      </c>
      <c r="AI48" s="1"/>
      <c r="AJ48" s="3" t="s">
        <v>35</v>
      </c>
      <c r="AK48" s="3" t="s">
        <v>12</v>
      </c>
    </row>
    <row r="49" spans="2:37" ht="18" customHeight="1" thickBot="1" x14ac:dyDescent="0.3">
      <c r="B49" s="11"/>
      <c r="C49" s="9">
        <f>C31</f>
        <v>4591</v>
      </c>
      <c r="D49" s="10">
        <f>D31</f>
        <v>4202</v>
      </c>
      <c r="G49" s="11"/>
      <c r="H49" s="9">
        <f>H31</f>
        <v>195</v>
      </c>
      <c r="I49" s="10">
        <f>I31</f>
        <v>170</v>
      </c>
      <c r="K49" s="11"/>
      <c r="L49" s="9">
        <f>L31</f>
        <v>1059</v>
      </c>
      <c r="M49" s="10">
        <f>M31</f>
        <v>989</v>
      </c>
      <c r="O49" s="11"/>
      <c r="P49" s="9">
        <f>P31</f>
        <v>3593</v>
      </c>
      <c r="Q49" s="10">
        <f>Q31</f>
        <v>3416</v>
      </c>
      <c r="S49" s="11"/>
      <c r="T49" s="9">
        <f>T31</f>
        <v>261</v>
      </c>
      <c r="U49" s="10">
        <f>U31</f>
        <v>226</v>
      </c>
      <c r="W49" s="11"/>
      <c r="X49" s="9">
        <f>X31</f>
        <v>595</v>
      </c>
      <c r="Y49" s="10">
        <f>Y31</f>
        <v>569.5</v>
      </c>
      <c r="AA49" s="11"/>
      <c r="AB49" s="9">
        <f>AB31</f>
        <v>432</v>
      </c>
      <c r="AC49" s="10">
        <f>AC31</f>
        <v>409.89999389648398</v>
      </c>
      <c r="AE49" s="11"/>
      <c r="AF49" s="9">
        <f>AF31</f>
        <v>2607</v>
      </c>
      <c r="AG49" s="10">
        <f>AG31</f>
        <v>2506.6000061035161</v>
      </c>
      <c r="AI49" s="11"/>
      <c r="AJ49" s="9">
        <f>AJ31</f>
        <v>513</v>
      </c>
      <c r="AK49" s="10">
        <f>AK31</f>
        <v>487.95001220703102</v>
      </c>
    </row>
    <row r="50" spans="2:37" ht="18" customHeight="1" thickBot="1" x14ac:dyDescent="0.3">
      <c r="B50" s="82" t="s">
        <v>36</v>
      </c>
      <c r="C50" s="83">
        <f>D47/D49</f>
        <v>4.2329842931937174</v>
      </c>
      <c r="D50" s="84" t="s">
        <v>37</v>
      </c>
      <c r="G50" s="82" t="s">
        <v>36</v>
      </c>
      <c r="H50" s="83">
        <f>I47/I49</f>
        <v>4.7647058823529411</v>
      </c>
      <c r="I50" s="84" t="s">
        <v>37</v>
      </c>
      <c r="K50" s="82" t="s">
        <v>36</v>
      </c>
      <c r="L50" s="83">
        <f>M47/M49</f>
        <v>3.8461577350859453</v>
      </c>
      <c r="M50" s="84" t="s">
        <v>37</v>
      </c>
      <c r="O50" s="82" t="s">
        <v>36</v>
      </c>
      <c r="P50" s="83">
        <f>Q47/Q49</f>
        <v>4.4711065573770492</v>
      </c>
      <c r="Q50" s="84" t="s">
        <v>37</v>
      </c>
      <c r="S50" s="82" t="s">
        <v>36</v>
      </c>
      <c r="T50" s="83">
        <f>U47/U49</f>
        <v>8.8309734513274343</v>
      </c>
      <c r="U50" s="84" t="s">
        <v>37</v>
      </c>
      <c r="W50" s="82" t="s">
        <v>36</v>
      </c>
      <c r="X50" s="83">
        <f>Y47/Y49</f>
        <v>4.0740298507462684</v>
      </c>
      <c r="Y50" s="84" t="s">
        <v>37</v>
      </c>
      <c r="AA50" s="82" t="s">
        <v>36</v>
      </c>
      <c r="AB50" s="83">
        <f>AC47/AC49</f>
        <v>3.2746524029931527</v>
      </c>
      <c r="AC50" s="84" t="s">
        <v>37</v>
      </c>
      <c r="AE50" s="82" t="s">
        <v>36</v>
      </c>
      <c r="AF50" s="83">
        <f>AG47/AG49</f>
        <v>3.0345886784801479</v>
      </c>
      <c r="AG50" s="84" t="s">
        <v>37</v>
      </c>
      <c r="AI50" s="82" t="s">
        <v>36</v>
      </c>
      <c r="AJ50" s="83">
        <f>AK47/AK49</f>
        <v>3.379854408734527</v>
      </c>
      <c r="AK50" s="84" t="s">
        <v>37</v>
      </c>
    </row>
    <row r="51" spans="2:37" ht="18" customHeight="1" x14ac:dyDescent="0.25">
      <c r="B51" s="87" t="s">
        <v>38</v>
      </c>
      <c r="C51" s="85">
        <f>TRUNC(C50,2)</f>
        <v>4.2300000000000004</v>
      </c>
      <c r="D51" s="86">
        <f>D47/C51</f>
        <v>4204.9645390070918</v>
      </c>
      <c r="G51" s="87" t="s">
        <v>38</v>
      </c>
      <c r="H51" s="85">
        <f>TRUNC(H50,2)</f>
        <v>4.76</v>
      </c>
      <c r="I51" s="86">
        <f>I47/H51</f>
        <v>170.16806722689077</v>
      </c>
      <c r="K51" s="87" t="s">
        <v>38</v>
      </c>
      <c r="L51" s="85">
        <f>TRUNC(L50,2)</f>
        <v>3.84</v>
      </c>
      <c r="M51" s="86">
        <f>M47/L51</f>
        <v>990.5859375</v>
      </c>
      <c r="O51" s="87" t="s">
        <v>38</v>
      </c>
      <c r="P51" s="85">
        <f>TRUNC(P50,2)</f>
        <v>4.47</v>
      </c>
      <c r="Q51" s="86">
        <f>Q47/P51</f>
        <v>3416.8456375838932</v>
      </c>
      <c r="S51" s="87" t="s">
        <v>38</v>
      </c>
      <c r="T51" s="85">
        <f>TRUNC(T50,2)</f>
        <v>8.83</v>
      </c>
      <c r="U51" s="86">
        <f>U47/T51</f>
        <v>226.02491506228768</v>
      </c>
      <c r="W51" s="87" t="s">
        <v>38</v>
      </c>
      <c r="X51" s="85">
        <f>TRUNC(X50,2)</f>
        <v>4.07</v>
      </c>
      <c r="Y51" s="86">
        <f>Y47/X51</f>
        <v>570.06388206388203</v>
      </c>
      <c r="AA51" s="87" t="s">
        <v>38</v>
      </c>
      <c r="AB51" s="85">
        <f>TRUNC(AB50,2)</f>
        <v>3.27</v>
      </c>
      <c r="AC51" s="86">
        <f>AC47/AB51</f>
        <v>410.48318042813457</v>
      </c>
      <c r="AE51" s="87" t="s">
        <v>38</v>
      </c>
      <c r="AF51" s="85">
        <f>TRUNC(AF50,2)</f>
        <v>3.03</v>
      </c>
      <c r="AG51" s="86">
        <f>AG47/AF51</f>
        <v>2510.3960396039606</v>
      </c>
      <c r="AI51" s="87" t="s">
        <v>38</v>
      </c>
      <c r="AJ51" s="85">
        <f>TRUNC(AJ50,2)</f>
        <v>3.37</v>
      </c>
      <c r="AK51" s="86">
        <f>AK47/AJ51</f>
        <v>489.3768545994065</v>
      </c>
    </row>
    <row r="54" spans="2:37" ht="15.75" thickBot="1" x14ac:dyDescent="0.3"/>
    <row r="55" spans="2:37" ht="15.75" thickBot="1" x14ac:dyDescent="0.3">
      <c r="B55" s="18" t="s">
        <v>39</v>
      </c>
      <c r="C55" s="33">
        <f>D47+I47+M47+Q47+U47+Y47+AC47+AG47+AK47</f>
        <v>52588.09</v>
      </c>
      <c r="F55" s="97" t="s">
        <v>40</v>
      </c>
      <c r="G55" s="110">
        <f>B30+G30+K30+O30+S30+W30+AA30+AE30+AI30</f>
        <v>27</v>
      </c>
    </row>
    <row r="56" spans="2:37" x14ac:dyDescent="0.25">
      <c r="B56" s="19" t="s">
        <v>41</v>
      </c>
      <c r="C56" s="118">
        <f>(5000/24)*24</f>
        <v>5000</v>
      </c>
      <c r="D56" s="116">
        <f>C56/1.16</f>
        <v>4310.3448275862074</v>
      </c>
      <c r="F56" s="99" t="s">
        <v>42</v>
      </c>
      <c r="G56" s="164">
        <f>D41+I41+M41+Q41+U41</f>
        <v>835</v>
      </c>
    </row>
    <row r="57" spans="2:37" ht="15.75" customHeight="1" thickBot="1" x14ac:dyDescent="0.3">
      <c r="B57" s="21" t="s">
        <v>43</v>
      </c>
      <c r="C57" s="20">
        <f>C55+C56</f>
        <v>57588.09</v>
      </c>
      <c r="D57" s="35">
        <f>C57*18.6</f>
        <v>1071138.4739999999</v>
      </c>
      <c r="F57" s="100" t="s">
        <v>44</v>
      </c>
      <c r="G57" s="164">
        <f>Y41+AC41+AG41+AK41</f>
        <v>162</v>
      </c>
    </row>
    <row r="58" spans="2:37" ht="15.75" customHeight="1" x14ac:dyDescent="0.25">
      <c r="B58" s="1"/>
      <c r="C58" s="1"/>
    </row>
    <row r="59" spans="2:37" ht="15.75" thickBot="1" x14ac:dyDescent="0.3">
      <c r="B59" s="21" t="s">
        <v>11</v>
      </c>
      <c r="C59" s="27">
        <f>C49+H49+L49+Q49+U49+Y49+AC49</f>
        <v>10466.399993896484</v>
      </c>
      <c r="F59" s="92" t="s">
        <v>0</v>
      </c>
    </row>
    <row r="60" spans="2:37" ht="15.75" thickBot="1" x14ac:dyDescent="0.3">
      <c r="B60" s="21" t="s">
        <v>12</v>
      </c>
      <c r="C60" s="27">
        <f>D51+I51+M51+Q51+U51+Y51+AC51+AG51+AK51</f>
        <v>12988.909053075546</v>
      </c>
      <c r="F60" s="37" t="s">
        <v>45</v>
      </c>
    </row>
    <row r="61" spans="2:37" x14ac:dyDescent="0.25">
      <c r="F61" s="38" t="s">
        <v>1</v>
      </c>
    </row>
    <row r="62" spans="2:37" ht="13.5" customHeight="1" x14ac:dyDescent="0.25">
      <c r="D62" s="36"/>
      <c r="F62" s="115" t="s">
        <v>128</v>
      </c>
    </row>
    <row r="63" spans="2:37" x14ac:dyDescent="0.25">
      <c r="F63" s="148" t="s">
        <v>550</v>
      </c>
    </row>
    <row r="65" spans="4:4" x14ac:dyDescent="0.25">
      <c r="D65" s="35"/>
    </row>
  </sheetData>
  <mergeCells count="18">
    <mergeCell ref="AE2:AG2"/>
    <mergeCell ref="AE33:AG33"/>
    <mergeCell ref="AI2:AK2"/>
    <mergeCell ref="AI33:AK33"/>
    <mergeCell ref="AA2:AC2"/>
    <mergeCell ref="AA33:AC33"/>
    <mergeCell ref="K2:M2"/>
    <mergeCell ref="K33:M33"/>
    <mergeCell ref="W2:Y2"/>
    <mergeCell ref="W33:Y33"/>
    <mergeCell ref="B2:D2"/>
    <mergeCell ref="B33:D33"/>
    <mergeCell ref="G2:I2"/>
    <mergeCell ref="G33:I33"/>
    <mergeCell ref="S2:U2"/>
    <mergeCell ref="S33:U33"/>
    <mergeCell ref="O2:Q2"/>
    <mergeCell ref="O33:Q33"/>
  </mergeCells>
  <phoneticPr fontId="29" type="noConversion"/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5DFEF78-008F-404F-8783-CCBAEDD51DDE}">
          <x14:formula1>
            <xm:f>catálogo!$E$2:$E$1380</xm:f>
          </x14:formula1>
          <xm:sqref>C36:E36 AJ36:AK36 AF36:AG36 AB36:AC36 X36:Y36 T36:U36 P36:Q36 L36:M36 H36:I36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EC93-AB7C-46BE-AB62-D82F5E5A050D}">
  <dimension ref="A1:D39"/>
  <sheetViews>
    <sheetView workbookViewId="0">
      <selection activeCell="B26" sqref="B26:B29"/>
    </sheetView>
  </sheetViews>
  <sheetFormatPr baseColWidth="10" defaultColWidth="11.42578125" defaultRowHeight="15" x14ac:dyDescent="0.25"/>
  <sheetData>
    <row r="1" spans="1:4" ht="16.5" thickBot="1" x14ac:dyDescent="0.3">
      <c r="A1" s="112"/>
      <c r="B1" s="114"/>
      <c r="C1" s="111"/>
      <c r="D1" s="38" t="s">
        <v>1</v>
      </c>
    </row>
    <row r="2" spans="1:4" ht="15.75" thickBot="1" x14ac:dyDescent="0.3">
      <c r="A2" s="4"/>
      <c r="B2" s="230" t="s">
        <v>122</v>
      </c>
      <c r="C2" s="233"/>
      <c r="D2" s="232"/>
    </row>
    <row r="3" spans="1:4" x14ac:dyDescent="0.25">
      <c r="B3" s="6" t="s">
        <v>10</v>
      </c>
      <c r="C3" s="7" t="s">
        <v>11</v>
      </c>
      <c r="D3" s="8" t="s">
        <v>12</v>
      </c>
    </row>
    <row r="4" spans="1:4" x14ac:dyDescent="0.25">
      <c r="A4" s="1"/>
      <c r="B4" s="12" t="s">
        <v>123</v>
      </c>
      <c r="C4" s="30">
        <v>455</v>
      </c>
      <c r="D4" s="30">
        <v>430</v>
      </c>
    </row>
    <row r="5" spans="1:4" x14ac:dyDescent="0.25">
      <c r="A5" s="1"/>
      <c r="B5" s="12"/>
      <c r="C5" s="30"/>
      <c r="D5" s="30"/>
    </row>
    <row r="6" spans="1:4" x14ac:dyDescent="0.25">
      <c r="A6" s="1"/>
      <c r="B6" s="12"/>
      <c r="C6" s="30"/>
      <c r="D6" s="30"/>
    </row>
    <row r="7" spans="1:4" x14ac:dyDescent="0.25">
      <c r="A7" s="1"/>
      <c r="B7" s="12"/>
      <c r="C7" s="30"/>
      <c r="D7" s="56"/>
    </row>
    <row r="8" spans="1:4" x14ac:dyDescent="0.25">
      <c r="A8" s="1"/>
      <c r="B8" s="12"/>
      <c r="C8" s="30"/>
      <c r="D8" s="56"/>
    </row>
    <row r="9" spans="1:4" x14ac:dyDescent="0.25">
      <c r="A9" s="1"/>
      <c r="B9" s="12"/>
      <c r="C9" s="30"/>
      <c r="D9" s="31"/>
    </row>
    <row r="10" spans="1:4" x14ac:dyDescent="0.25">
      <c r="A10" s="1"/>
      <c r="B10" s="12"/>
      <c r="C10" s="30"/>
      <c r="D10" s="31"/>
    </row>
    <row r="11" spans="1:4" x14ac:dyDescent="0.25">
      <c r="A11" s="1"/>
      <c r="B11" s="12"/>
      <c r="C11" s="30"/>
      <c r="D11" s="31"/>
    </row>
    <row r="12" spans="1:4" x14ac:dyDescent="0.25">
      <c r="A12" s="1"/>
      <c r="B12" s="12"/>
      <c r="C12" s="30"/>
      <c r="D12" s="56"/>
    </row>
    <row r="13" spans="1:4" x14ac:dyDescent="0.25">
      <c r="A13" s="1"/>
      <c r="B13" s="12"/>
      <c r="C13" s="30"/>
      <c r="D13" s="31"/>
    </row>
    <row r="14" spans="1:4" x14ac:dyDescent="0.25">
      <c r="A14" s="1"/>
      <c r="B14" s="12"/>
      <c r="C14" s="30"/>
      <c r="D14" s="31"/>
    </row>
    <row r="15" spans="1:4" x14ac:dyDescent="0.25">
      <c r="A15" s="1"/>
      <c r="B15" s="12"/>
      <c r="C15" s="30"/>
      <c r="D15" s="30"/>
    </row>
    <row r="16" spans="1:4" x14ac:dyDescent="0.25">
      <c r="B16" s="12"/>
      <c r="C16" s="109"/>
      <c r="D16" s="30"/>
    </row>
    <row r="17" spans="1:4" x14ac:dyDescent="0.25">
      <c r="B17" s="12"/>
      <c r="C17" s="110"/>
      <c r="D17" s="30"/>
    </row>
    <row r="18" spans="1:4" ht="15.75" thickBot="1" x14ac:dyDescent="0.3">
      <c r="B18" s="40"/>
      <c r="C18" s="41"/>
      <c r="D18" s="42"/>
    </row>
    <row r="19" spans="1:4" ht="15.75" thickBot="1" x14ac:dyDescent="0.3">
      <c r="B19" s="11"/>
      <c r="C19" s="9">
        <f>SUM(C4:C18)</f>
        <v>455</v>
      </c>
      <c r="D19" s="10">
        <f>SUM(D4:D18)</f>
        <v>430</v>
      </c>
    </row>
    <row r="20" spans="1:4" ht="15.75" thickBot="1" x14ac:dyDescent="0.3">
      <c r="A20" s="34"/>
      <c r="B20" s="34"/>
      <c r="C20" s="34"/>
      <c r="D20" s="34"/>
    </row>
    <row r="21" spans="1:4" ht="15.75" thickBot="1" x14ac:dyDescent="0.3">
      <c r="A21" s="4"/>
      <c r="B21" s="230" t="str">
        <f>B2</f>
        <v>300000869 5LB MIXED BERRIES DOLE</v>
      </c>
      <c r="C21" s="231"/>
      <c r="D21" s="232"/>
    </row>
    <row r="22" spans="1:4" ht="15.75" thickBot="1" x14ac:dyDescent="0.3">
      <c r="B22" s="1"/>
      <c r="C22" s="1"/>
      <c r="D22" s="1"/>
    </row>
    <row r="23" spans="1:4" ht="15.75" thickBot="1" x14ac:dyDescent="0.3">
      <c r="B23" s="26" t="s">
        <v>16</v>
      </c>
      <c r="C23" s="1"/>
      <c r="D23" s="13">
        <v>14373</v>
      </c>
    </row>
    <row r="24" spans="1:4" ht="15.75" thickBot="1" x14ac:dyDescent="0.3">
      <c r="B24" s="5" t="s">
        <v>17</v>
      </c>
      <c r="D24" s="13">
        <v>9895</v>
      </c>
    </row>
    <row r="25" spans="1:4" ht="15.75" thickBot="1" x14ac:dyDescent="0.3">
      <c r="B25" s="5" t="s">
        <v>19</v>
      </c>
      <c r="D25" s="58">
        <v>99755</v>
      </c>
    </row>
    <row r="26" spans="1:4" x14ac:dyDescent="0.25">
      <c r="B26" s="113" t="s">
        <v>124</v>
      </c>
      <c r="C26" s="1"/>
      <c r="D26" s="22">
        <v>3185</v>
      </c>
    </row>
    <row r="27" spans="1:4" x14ac:dyDescent="0.25">
      <c r="B27" s="113" t="s">
        <v>125</v>
      </c>
      <c r="C27" s="1"/>
      <c r="D27" s="24">
        <v>9</v>
      </c>
    </row>
    <row r="28" spans="1:4" x14ac:dyDescent="0.25">
      <c r="B28" s="113" t="s">
        <v>126</v>
      </c>
      <c r="C28" s="1"/>
      <c r="D28" s="23">
        <f>D26*D27</f>
        <v>28665</v>
      </c>
    </row>
    <row r="29" spans="1:4" ht="15.75" thickBot="1" x14ac:dyDescent="0.3">
      <c r="B29" s="113" t="s">
        <v>127</v>
      </c>
      <c r="C29" s="1"/>
      <c r="D29" s="32">
        <f>D27</f>
        <v>9</v>
      </c>
    </row>
    <row r="30" spans="1:4" ht="15.75" thickBot="1" x14ac:dyDescent="0.3">
      <c r="B30" s="5" t="s">
        <v>29</v>
      </c>
      <c r="C30" s="1"/>
      <c r="D30" s="14">
        <f>D29*D26</f>
        <v>28665</v>
      </c>
    </row>
    <row r="31" spans="1:4" x14ac:dyDescent="0.25">
      <c r="B31" s="5" t="s">
        <v>30</v>
      </c>
      <c r="C31" s="1"/>
      <c r="D31" s="22"/>
    </row>
    <row r="32" spans="1:4" ht="15.75" thickBot="1" x14ac:dyDescent="0.3">
      <c r="B32" s="5" t="s">
        <v>31</v>
      </c>
      <c r="C32" s="1"/>
      <c r="D32" s="24"/>
    </row>
    <row r="33" spans="2:4" ht="15.75" thickBot="1" x14ac:dyDescent="0.3">
      <c r="B33" s="5" t="s">
        <v>32</v>
      </c>
      <c r="C33" s="1"/>
      <c r="D33" s="25">
        <f>68.52/1000</f>
        <v>6.8519999999999998E-2</v>
      </c>
    </row>
    <row r="34" spans="2:4" ht="15.75" thickBot="1" x14ac:dyDescent="0.3">
      <c r="B34" s="5" t="s">
        <v>33</v>
      </c>
      <c r="C34" s="1"/>
      <c r="D34" s="2">
        <f>D33*1000</f>
        <v>68.52</v>
      </c>
    </row>
    <row r="35" spans="2:4" ht="15.75" thickBot="1" x14ac:dyDescent="0.3">
      <c r="B35" s="15" t="s">
        <v>34</v>
      </c>
      <c r="C35" s="16"/>
      <c r="D35" s="17">
        <f>D30*D33</f>
        <v>1964.1258</v>
      </c>
    </row>
    <row r="36" spans="2:4" ht="15.75" thickBot="1" x14ac:dyDescent="0.3">
      <c r="B36" s="1"/>
      <c r="C36" s="3" t="s">
        <v>35</v>
      </c>
      <c r="D36" s="3" t="s">
        <v>12</v>
      </c>
    </row>
    <row r="37" spans="2:4" ht="15.75" thickBot="1" x14ac:dyDescent="0.3">
      <c r="B37" s="11"/>
      <c r="C37" s="9">
        <f>C19</f>
        <v>455</v>
      </c>
      <c r="D37" s="10">
        <f>D19</f>
        <v>430</v>
      </c>
    </row>
    <row r="38" spans="2:4" ht="15.75" thickBot="1" x14ac:dyDescent="0.3">
      <c r="B38" s="82" t="s">
        <v>36</v>
      </c>
      <c r="C38" s="83">
        <f>D35/D37</f>
        <v>4.5677344186046511</v>
      </c>
      <c r="D38" s="84" t="s">
        <v>37</v>
      </c>
    </row>
    <row r="39" spans="2:4" x14ac:dyDescent="0.25">
      <c r="B39" s="87" t="s">
        <v>38</v>
      </c>
      <c r="C39" s="85">
        <f>TRUNC(C38,2)</f>
        <v>4.5599999999999996</v>
      </c>
      <c r="D39" s="86">
        <f>D35/C39</f>
        <v>430.72934210526319</v>
      </c>
    </row>
  </sheetData>
  <mergeCells count="2">
    <mergeCell ref="B2:D2"/>
    <mergeCell ref="B21:D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D716-4839-4B50-81D0-80A4588CFF59}">
  <sheetPr filterMode="1"/>
  <dimension ref="A1:K1385"/>
  <sheetViews>
    <sheetView topLeftCell="D1260" zoomScale="90" zoomScaleNormal="90" workbookViewId="0">
      <selection activeCell="C1276" sqref="A1276:XFD1276"/>
    </sheetView>
  </sheetViews>
  <sheetFormatPr baseColWidth="10" defaultRowHeight="15" x14ac:dyDescent="0.25"/>
  <cols>
    <col min="1" max="1" width="20.42578125" style="1" hidden="1" customWidth="1"/>
    <col min="2" max="2" width="32.28515625" hidden="1" customWidth="1"/>
    <col min="3" max="3" width="52.140625" style="1" customWidth="1"/>
    <col min="4" max="4" width="68.140625" customWidth="1"/>
    <col min="5" max="5" width="14.5703125" style="1" customWidth="1"/>
    <col min="6" max="6" width="16.28515625" style="1" customWidth="1"/>
    <col min="7" max="7" width="18.7109375" style="1" customWidth="1"/>
    <col min="8" max="8" width="66.5703125" customWidth="1"/>
  </cols>
  <sheetData>
    <row r="1" spans="1:8" s="122" customFormat="1" ht="23.25" x14ac:dyDescent="0.35">
      <c r="A1" s="119" t="s">
        <v>148</v>
      </c>
      <c r="B1" s="119" t="s">
        <v>149</v>
      </c>
      <c r="C1" s="119"/>
      <c r="D1" s="119"/>
      <c r="E1" s="120" t="s">
        <v>48</v>
      </c>
      <c r="F1" s="121" t="s">
        <v>16</v>
      </c>
      <c r="G1" s="123" t="s">
        <v>49</v>
      </c>
      <c r="H1" s="123" t="s">
        <v>399</v>
      </c>
    </row>
    <row r="2" spans="1:8" x14ac:dyDescent="0.25">
      <c r="A2" s="1">
        <v>94173</v>
      </c>
      <c r="B2" t="s">
        <v>222</v>
      </c>
      <c r="C2" s="1" t="s">
        <v>187</v>
      </c>
      <c r="D2" t="s">
        <v>297</v>
      </c>
      <c r="E2" s="1">
        <v>10964</v>
      </c>
      <c r="F2" s="1">
        <v>17942</v>
      </c>
      <c r="G2" s="124">
        <v>18.260000000000002</v>
      </c>
      <c r="H2" t="str">
        <f>_xlfn.CONCAT(C2,D2)</f>
        <v>19800964-03 Queen Vic Lettuce 14 Bilingual</v>
      </c>
    </row>
    <row r="3" spans="1:8" x14ac:dyDescent="0.25">
      <c r="A3" s="1">
        <v>958</v>
      </c>
      <c r="B3" t="s">
        <v>223</v>
      </c>
      <c r="C3" s="1">
        <v>922</v>
      </c>
      <c r="D3" t="s">
        <v>298</v>
      </c>
      <c r="E3" s="1">
        <v>10989</v>
      </c>
      <c r="F3" s="1">
        <v>17695</v>
      </c>
      <c r="G3" s="124">
        <v>19.48</v>
      </c>
      <c r="H3" t="str">
        <f t="shared" ref="H3:H66" si="0">_xlfn.CONCAT(C3,D3)</f>
        <v>922 Ocean Mist Cauliflower </v>
      </c>
    </row>
    <row r="4" spans="1:8" x14ac:dyDescent="0.25">
      <c r="A4" s="1">
        <v>9503025</v>
      </c>
      <c r="B4" t="s">
        <v>224</v>
      </c>
      <c r="C4" s="1" t="s">
        <v>175</v>
      </c>
      <c r="D4" t="s">
        <v>299</v>
      </c>
      <c r="E4" s="1">
        <v>10980</v>
      </c>
      <c r="F4" s="1">
        <v>17698</v>
      </c>
      <c r="G4" s="124">
        <v>40</v>
      </c>
      <c r="H4" t="str">
        <f t="shared" si="0"/>
        <v>506694CWestern Family 3Ct Romaine</v>
      </c>
    </row>
    <row r="5" spans="1:8" x14ac:dyDescent="0.25">
      <c r="A5" s="1" t="s">
        <v>150</v>
      </c>
      <c r="B5" t="s">
        <v>225</v>
      </c>
      <c r="C5" s="1">
        <v>930</v>
      </c>
      <c r="D5" t="s">
        <v>300</v>
      </c>
      <c r="E5" s="1">
        <v>10995</v>
      </c>
      <c r="F5" s="1">
        <v>17710</v>
      </c>
      <c r="G5" s="124">
        <v>23.79</v>
      </c>
      <c r="H5" t="str">
        <f t="shared" si="0"/>
        <v>930OM 3ct Rom Hrt BI - NO ZIP</v>
      </c>
    </row>
    <row r="6" spans="1:8" x14ac:dyDescent="0.25">
      <c r="A6" s="1">
        <v>9549007</v>
      </c>
      <c r="B6" t="s">
        <v>226</v>
      </c>
      <c r="C6" s="1">
        <v>300000839</v>
      </c>
      <c r="D6" t="s">
        <v>268</v>
      </c>
      <c r="E6" s="1">
        <v>10981</v>
      </c>
      <c r="F6" s="1">
        <v>17725</v>
      </c>
      <c r="G6" s="124">
        <v>63.66</v>
      </c>
      <c r="H6" t="str">
        <f t="shared" si="0"/>
        <v>3000008395lb Dole Blueberries</v>
      </c>
    </row>
    <row r="7" spans="1:8" x14ac:dyDescent="0.25">
      <c r="A7" s="1">
        <v>922</v>
      </c>
      <c r="B7" t="s">
        <v>227</v>
      </c>
      <c r="C7" s="1">
        <v>300000906</v>
      </c>
      <c r="D7" t="s">
        <v>301</v>
      </c>
      <c r="E7" s="1">
        <v>10982</v>
      </c>
      <c r="F7" s="1">
        <v>17726</v>
      </c>
      <c r="G7" s="124">
        <v>66.56</v>
      </c>
      <c r="H7" t="str">
        <f t="shared" si="0"/>
        <v>3000009065lb Dole Pineapple Chunks</v>
      </c>
    </row>
    <row r="8" spans="1:8" x14ac:dyDescent="0.25">
      <c r="A8" s="1" t="s">
        <v>151</v>
      </c>
      <c r="B8" t="s">
        <v>228</v>
      </c>
      <c r="C8" s="1" t="s">
        <v>188</v>
      </c>
      <c r="D8" t="s">
        <v>302</v>
      </c>
      <c r="E8" s="1">
        <v>10983</v>
      </c>
      <c r="F8" s="1">
        <v>17730</v>
      </c>
      <c r="G8" s="124">
        <v>63.99</v>
      </c>
      <c r="H8" t="str">
        <f t="shared" si="0"/>
        <v>300000910  5lb Dole Whole Strawberries</v>
      </c>
    </row>
    <row r="9" spans="1:8" x14ac:dyDescent="0.25">
      <c r="A9" s="1" t="s">
        <v>152</v>
      </c>
      <c r="B9" t="s">
        <v>229</v>
      </c>
      <c r="C9" s="1" t="s">
        <v>189</v>
      </c>
      <c r="D9" t="s">
        <v>303</v>
      </c>
      <c r="E9" s="1">
        <v>10984</v>
      </c>
      <c r="F9" s="1">
        <v>17739</v>
      </c>
      <c r="G9" s="124">
        <v>64.040000000000006</v>
      </c>
      <c r="H9" t="str">
        <f t="shared" si="0"/>
        <v>300001482 5lb Dole Chef Ready Cuts Mango cubes</v>
      </c>
    </row>
    <row r="10" spans="1:8" x14ac:dyDescent="0.25">
      <c r="A10" s="1" t="s">
        <v>153</v>
      </c>
      <c r="B10" t="s">
        <v>230</v>
      </c>
      <c r="C10" s="1">
        <v>300001581</v>
      </c>
      <c r="D10" t="s">
        <v>304</v>
      </c>
      <c r="E10" s="1">
        <v>10985</v>
      </c>
      <c r="F10" s="1">
        <v>17740</v>
      </c>
      <c r="G10" s="124">
        <v>62.44</v>
      </c>
      <c r="H10" t="str">
        <f t="shared" si="0"/>
        <v>3000015815lb Dole Diced Strawberries</v>
      </c>
    </row>
    <row r="11" spans="1:8" x14ac:dyDescent="0.25">
      <c r="A11" s="1">
        <v>9801157</v>
      </c>
      <c r="B11" t="s">
        <v>231</v>
      </c>
      <c r="C11" s="1">
        <v>300001585</v>
      </c>
      <c r="D11" t="s">
        <v>305</v>
      </c>
      <c r="E11" s="1">
        <v>10986</v>
      </c>
      <c r="F11" s="1">
        <v>17742</v>
      </c>
      <c r="G11" s="124">
        <v>68.87</v>
      </c>
      <c r="H11" t="str">
        <f t="shared" si="0"/>
        <v>3000015855 lb Chef Ready Sliced  Bananas</v>
      </c>
    </row>
    <row r="12" spans="1:8" x14ac:dyDescent="0.25">
      <c r="A12" s="1" t="s">
        <v>154</v>
      </c>
      <c r="B12" t="s">
        <v>232</v>
      </c>
      <c r="C12" s="1">
        <v>300001754</v>
      </c>
      <c r="D12" t="s">
        <v>306</v>
      </c>
      <c r="E12" s="1">
        <v>10987</v>
      </c>
      <c r="F12" s="1">
        <v>17744</v>
      </c>
      <c r="G12" s="124">
        <v>64.87</v>
      </c>
      <c r="H12" t="str">
        <f t="shared" si="0"/>
        <v>300001754 5lb Dole Pineapple Cubes</v>
      </c>
    </row>
    <row r="13" spans="1:8" x14ac:dyDescent="0.25">
      <c r="A13" s="1">
        <v>1580</v>
      </c>
      <c r="B13" t="s">
        <v>132</v>
      </c>
      <c r="C13" s="1" t="s">
        <v>190</v>
      </c>
      <c r="D13" t="s">
        <v>307</v>
      </c>
      <c r="E13" s="1">
        <v>10988</v>
      </c>
      <c r="F13" s="1">
        <v>17745</v>
      </c>
      <c r="G13" s="124">
        <v>48.64</v>
      </c>
      <c r="H13" t="str">
        <f t="shared" si="0"/>
        <v> 30000174048oz Giant Eagle Blueberry</v>
      </c>
    </row>
    <row r="14" spans="1:8" x14ac:dyDescent="0.25">
      <c r="A14" s="1" t="s">
        <v>155</v>
      </c>
      <c r="B14" t="s">
        <v>233</v>
      </c>
      <c r="C14" s="1" t="s">
        <v>191</v>
      </c>
      <c r="D14" t="s">
        <v>308</v>
      </c>
      <c r="E14" s="1">
        <v>10996</v>
      </c>
      <c r="F14" s="1">
        <v>17907</v>
      </c>
      <c r="G14" s="124">
        <v>20.399999999999999</v>
      </c>
      <c r="H14" t="str">
        <f t="shared" si="0"/>
        <v> CF-006COKE FARMS Organic Lettuce</v>
      </c>
    </row>
    <row r="15" spans="1:8" x14ac:dyDescent="0.25">
      <c r="A15" s="1">
        <v>9801167</v>
      </c>
      <c r="B15" t="s">
        <v>234</v>
      </c>
      <c r="C15" s="1">
        <v>932</v>
      </c>
      <c r="D15" t="s">
        <v>309</v>
      </c>
      <c r="E15" s="1">
        <v>11009</v>
      </c>
      <c r="F15" s="1">
        <v>17858</v>
      </c>
      <c r="G15" s="124">
        <v>40</v>
      </c>
      <c r="H15" t="str">
        <f t="shared" si="0"/>
        <v>932OM Good &amp; Gather 3ct Romaine Hearts</v>
      </c>
    </row>
    <row r="16" spans="1:8" x14ac:dyDescent="0.25">
      <c r="A16" s="1">
        <v>1579</v>
      </c>
      <c r="B16" t="s">
        <v>145</v>
      </c>
      <c r="C16" s="1">
        <v>300002303</v>
      </c>
      <c r="D16" t="s">
        <v>310</v>
      </c>
      <c r="E16" s="1">
        <v>11006</v>
      </c>
      <c r="F16" s="1">
        <v>18630</v>
      </c>
      <c r="G16" s="124">
        <v>61.39</v>
      </c>
      <c r="H16" t="str">
        <f t="shared" si="0"/>
        <v>3000023034-7oz Dole Protein Kick Outer</v>
      </c>
    </row>
    <row r="17" spans="1:8" x14ac:dyDescent="0.25">
      <c r="A17" s="1" t="s">
        <v>156</v>
      </c>
      <c r="B17" t="s">
        <v>235</v>
      </c>
      <c r="C17" s="1">
        <v>300002306</v>
      </c>
      <c r="D17" t="s">
        <v>311</v>
      </c>
      <c r="E17" s="1">
        <v>11007</v>
      </c>
      <c r="F17" s="1">
        <v>18632</v>
      </c>
      <c r="G17" s="124">
        <v>59.99</v>
      </c>
      <c r="H17" t="str">
        <f t="shared" si="0"/>
        <v>3000023064-7oz Dole CS Mixed Berry Oatmeal Outer</v>
      </c>
    </row>
    <row r="18" spans="1:8" x14ac:dyDescent="0.25">
      <c r="A18" s="1" t="s">
        <v>157</v>
      </c>
      <c r="B18" t="s">
        <v>236</v>
      </c>
      <c r="C18" s="1">
        <v>300002272</v>
      </c>
      <c r="D18" t="s">
        <v>312</v>
      </c>
      <c r="E18" s="1">
        <v>11020</v>
      </c>
      <c r="F18" s="1">
        <v>17864</v>
      </c>
      <c r="G18" s="124">
        <v>10.77</v>
      </c>
      <c r="H18" t="str">
        <f t="shared" si="0"/>
        <v>3000022727oz Mixed Berry Oatmeal Inner</v>
      </c>
    </row>
    <row r="19" spans="1:8" x14ac:dyDescent="0.25">
      <c r="A19" s="1">
        <v>5019</v>
      </c>
      <c r="B19" t="s">
        <v>237</v>
      </c>
      <c r="C19" s="1">
        <v>1586</v>
      </c>
      <c r="D19" t="s">
        <v>313</v>
      </c>
      <c r="E19" s="1">
        <v>11025</v>
      </c>
      <c r="F19" s="1">
        <v>17913</v>
      </c>
      <c r="G19" s="124">
        <v>49.15</v>
      </c>
      <c r="H19" t="str">
        <f t="shared" si="0"/>
        <v>1586Cheney Brothers Romaine Hearts 3ct</v>
      </c>
    </row>
    <row r="20" spans="1:8" x14ac:dyDescent="0.25">
      <c r="A20" s="1">
        <v>1312</v>
      </c>
      <c r="B20" t="s">
        <v>238</v>
      </c>
      <c r="C20" s="1">
        <v>300002273</v>
      </c>
      <c r="D20" t="s">
        <v>314</v>
      </c>
      <c r="E20" s="1">
        <v>11023</v>
      </c>
      <c r="F20" s="1">
        <v>17883</v>
      </c>
      <c r="G20" s="124">
        <v>10.61</v>
      </c>
      <c r="H20" t="str">
        <f t="shared" si="0"/>
        <v>3000022737oz Berries n Kale Inner</v>
      </c>
    </row>
    <row r="21" spans="1:8" x14ac:dyDescent="0.25">
      <c r="A21" s="1">
        <v>930</v>
      </c>
      <c r="B21" t="s">
        <v>239</v>
      </c>
      <c r="C21" s="1">
        <v>300002307</v>
      </c>
      <c r="D21" t="s">
        <v>315</v>
      </c>
      <c r="E21" s="1">
        <v>11021</v>
      </c>
      <c r="F21" s="1">
        <v>18633</v>
      </c>
      <c r="G21" s="124">
        <v>58.58</v>
      </c>
      <c r="H21" t="str">
        <f t="shared" si="0"/>
        <v>3000023074-7oz Berries n Kale Outer</v>
      </c>
    </row>
    <row r="22" spans="1:8" x14ac:dyDescent="0.25">
      <c r="A22" s="1">
        <v>958</v>
      </c>
      <c r="B22" t="s">
        <v>240</v>
      </c>
      <c r="C22" s="1" t="s">
        <v>192</v>
      </c>
      <c r="D22" t="s">
        <v>316</v>
      </c>
      <c r="E22" s="1">
        <v>11024</v>
      </c>
      <c r="F22" s="1">
        <v>17888</v>
      </c>
      <c r="G22" s="124">
        <v>10.94</v>
      </c>
      <c r="H22" t="str">
        <f t="shared" si="0"/>
        <v> 3000022687oz Protein Kick inner</v>
      </c>
    </row>
    <row r="23" spans="1:8" x14ac:dyDescent="0.25">
      <c r="A23" s="1">
        <v>114538</v>
      </c>
      <c r="B23" t="s">
        <v>241</v>
      </c>
      <c r="C23" s="1" t="s">
        <v>193</v>
      </c>
      <c r="D23" t="s">
        <v>317</v>
      </c>
      <c r="E23" s="1">
        <v>10961</v>
      </c>
      <c r="F23" s="1">
        <v>17803</v>
      </c>
      <c r="G23" s="124">
        <v>114.17</v>
      </c>
      <c r="H23" t="str">
        <f t="shared" si="0"/>
        <v> 61579-14T&amp;A 3ct ArtsnSwt Gem-Zp  w/Hdl</v>
      </c>
    </row>
    <row r="24" spans="1:8" x14ac:dyDescent="0.25">
      <c r="A24" s="1">
        <v>1314</v>
      </c>
      <c r="B24" t="s">
        <v>235</v>
      </c>
      <c r="C24" s="1">
        <v>1579</v>
      </c>
      <c r="D24" t="s">
        <v>145</v>
      </c>
      <c r="E24" s="1">
        <v>11029</v>
      </c>
      <c r="F24" s="1">
        <v>17961</v>
      </c>
      <c r="G24" s="124">
        <v>70.099999999999994</v>
      </c>
      <c r="H24" t="str">
        <f t="shared" si="0"/>
        <v>1579CB 2ct Baby Romaine</v>
      </c>
    </row>
    <row r="25" spans="1:8" x14ac:dyDescent="0.25">
      <c r="A25" s="1">
        <v>5019</v>
      </c>
      <c r="B25" t="s">
        <v>237</v>
      </c>
      <c r="C25" s="1">
        <v>1580</v>
      </c>
      <c r="D25" t="s">
        <v>132</v>
      </c>
      <c r="E25" s="1">
        <v>11043</v>
      </c>
      <c r="F25" s="1">
        <v>17910</v>
      </c>
      <c r="G25" s="124">
        <v>30.79</v>
      </c>
      <c r="H25" t="str">
        <f t="shared" si="0"/>
        <v>1580Church Bros 5ct Petite Romaine</v>
      </c>
    </row>
    <row r="26" spans="1:8" x14ac:dyDescent="0.25">
      <c r="A26" s="1">
        <v>1351</v>
      </c>
      <c r="B26" t="s">
        <v>242</v>
      </c>
      <c r="C26" s="1">
        <v>40040956</v>
      </c>
      <c r="D26" t="s">
        <v>318</v>
      </c>
      <c r="E26" s="1">
        <v>10939</v>
      </c>
      <c r="F26" s="1">
        <v>17533</v>
      </c>
      <c r="G26" s="124">
        <v>0</v>
      </c>
      <c r="H26" t="str">
        <f t="shared" si="0"/>
        <v>40040956SYSCO ROMAINE HRT</v>
      </c>
    </row>
    <row r="27" spans="1:8" x14ac:dyDescent="0.25">
      <c r="A27" s="1" t="s">
        <v>158</v>
      </c>
      <c r="B27" t="s">
        <v>243</v>
      </c>
      <c r="C27" s="1" t="s">
        <v>194</v>
      </c>
      <c r="D27" t="s">
        <v>319</v>
      </c>
      <c r="E27" s="1">
        <v>10996</v>
      </c>
      <c r="F27" s="1">
        <v>17907</v>
      </c>
      <c r="G27" s="124">
        <v>20.399999999999999</v>
      </c>
      <c r="H27" t="str">
        <f t="shared" si="0"/>
        <v>CF-006 COKE FARMS ORGANIC LETTUCE</v>
      </c>
    </row>
    <row r="28" spans="1:8" x14ac:dyDescent="0.25">
      <c r="A28" s="1">
        <v>9801231</v>
      </c>
      <c r="B28" t="s">
        <v>244</v>
      </c>
      <c r="C28" s="1" t="s">
        <v>195</v>
      </c>
      <c r="D28" t="s">
        <v>320</v>
      </c>
      <c r="E28" s="1">
        <v>104947</v>
      </c>
      <c r="F28" s="1">
        <v>17909</v>
      </c>
      <c r="G28" s="124">
        <v>34.200000000000003</v>
      </c>
      <c r="H28" t="str">
        <f t="shared" si="0"/>
        <v>09540914-00 STOCK 2CT LTT BAG UPC</v>
      </c>
    </row>
    <row r="29" spans="1:8" x14ac:dyDescent="0.25">
      <c r="A29" s="1">
        <v>9800093</v>
      </c>
      <c r="B29" t="s">
        <v>245</v>
      </c>
      <c r="C29" s="1" t="s">
        <v>196</v>
      </c>
      <c r="D29" t="s">
        <v>321</v>
      </c>
      <c r="E29" s="1">
        <v>11042</v>
      </c>
      <c r="F29" s="1">
        <v>17914</v>
      </c>
      <c r="G29" s="124">
        <v>40.56</v>
      </c>
      <c r="H29" t="str">
        <f t="shared" si="0"/>
        <v> 61973-11 ALDI 3CT Jumbo Romaine SHORT</v>
      </c>
    </row>
    <row r="30" spans="1:8" x14ac:dyDescent="0.25">
      <c r="A30" s="1" t="s">
        <v>159</v>
      </c>
      <c r="B30" t="s">
        <v>246</v>
      </c>
      <c r="C30" s="1" t="s">
        <v>195</v>
      </c>
      <c r="D30" t="s">
        <v>322</v>
      </c>
      <c r="E30" s="1">
        <v>11026</v>
      </c>
      <c r="F30" s="1">
        <v>17929</v>
      </c>
      <c r="G30" s="124">
        <v>34.200000000000003</v>
      </c>
      <c r="H30" t="str">
        <f t="shared" si="0"/>
        <v>09540914-00 STOCK 2CT LETTUCE BAG UPC</v>
      </c>
    </row>
    <row r="31" spans="1:8" x14ac:dyDescent="0.25">
      <c r="A31" s="1" t="s">
        <v>160</v>
      </c>
      <c r="B31" t="s">
        <v>247</v>
      </c>
      <c r="C31" s="1">
        <v>300000795</v>
      </c>
      <c r="D31" t="s">
        <v>323</v>
      </c>
      <c r="E31" s="1">
        <v>11039</v>
      </c>
      <c r="F31" s="1">
        <v>17920</v>
      </c>
      <c r="G31" s="124">
        <v>10.32</v>
      </c>
      <c r="H31" t="str">
        <f t="shared" si="0"/>
        <v>3000007958oz Mixed Berries Inner</v>
      </c>
    </row>
    <row r="32" spans="1:8" x14ac:dyDescent="0.25">
      <c r="A32" s="1" t="s">
        <v>161</v>
      </c>
      <c r="B32" t="s">
        <v>248</v>
      </c>
      <c r="C32" s="1" t="s">
        <v>197</v>
      </c>
      <c r="D32" t="s">
        <v>324</v>
      </c>
      <c r="E32" s="1">
        <v>11038</v>
      </c>
      <c r="F32" s="1">
        <v>17921</v>
      </c>
      <c r="G32" s="124">
        <v>10.32</v>
      </c>
      <c r="H32" t="str">
        <f t="shared" si="0"/>
        <v> 3000007288oz Dole Sliced Straw/Ban Bib Inner.</v>
      </c>
    </row>
    <row r="33" spans="1:8" x14ac:dyDescent="0.25">
      <c r="A33" s="1" t="s">
        <v>162</v>
      </c>
      <c r="B33" t="s">
        <v>249</v>
      </c>
      <c r="C33" s="1" t="s">
        <v>164</v>
      </c>
      <c r="D33" t="s">
        <v>325</v>
      </c>
      <c r="E33" s="1">
        <v>11055</v>
      </c>
      <c r="F33" s="1">
        <v>17932</v>
      </c>
      <c r="G33" s="124">
        <v>16.21</v>
      </c>
      <c r="H33" t="str">
        <f t="shared" si="0"/>
        <v>32840931-00Coastline Green Onion POM</v>
      </c>
    </row>
    <row r="34" spans="1:8" x14ac:dyDescent="0.25">
      <c r="A34" s="1" t="s">
        <v>163</v>
      </c>
      <c r="B34" t="s">
        <v>250</v>
      </c>
      <c r="C34" s="1" t="s">
        <v>164</v>
      </c>
      <c r="D34" t="s">
        <v>325</v>
      </c>
      <c r="E34" s="1">
        <v>11056</v>
      </c>
      <c r="F34" s="1">
        <v>17933</v>
      </c>
      <c r="G34" s="124">
        <v>16.21</v>
      </c>
      <c r="H34" t="str">
        <f t="shared" si="0"/>
        <v>32840931-00Coastline Green Onion POM</v>
      </c>
    </row>
    <row r="35" spans="1:8" x14ac:dyDescent="0.25">
      <c r="A35" s="1">
        <v>4090</v>
      </c>
      <c r="B35" t="s">
        <v>251</v>
      </c>
      <c r="C35" s="1" t="s">
        <v>198</v>
      </c>
      <c r="D35" t="s">
        <v>326</v>
      </c>
      <c r="E35" s="1">
        <v>11061</v>
      </c>
      <c r="F35" s="1">
        <v>17943</v>
      </c>
      <c r="G35" s="124">
        <v>45.12</v>
      </c>
      <c r="H35" t="str">
        <f t="shared" si="0"/>
        <v>506961AMann 3ct Romaine Hearts w/ZIP</v>
      </c>
    </row>
    <row r="36" spans="1:8" x14ac:dyDescent="0.25">
      <c r="A36" s="1" t="s">
        <v>146</v>
      </c>
      <c r="B36" t="s">
        <v>147</v>
      </c>
      <c r="C36" s="1" t="s">
        <v>131</v>
      </c>
      <c r="D36" t="s">
        <v>327</v>
      </c>
      <c r="E36" s="1">
        <v>11015</v>
      </c>
      <c r="F36" s="1">
        <v>17953</v>
      </c>
      <c r="G36" s="124">
        <v>17.55</v>
      </c>
      <c r="H36" t="str">
        <f t="shared" si="0"/>
        <v>61967-12Hello Frsh 1Ct Brocc Crown Clr</v>
      </c>
    </row>
    <row r="37" spans="1:8" x14ac:dyDescent="0.25">
      <c r="A37" s="1">
        <v>40040956</v>
      </c>
      <c r="B37" t="s">
        <v>252</v>
      </c>
      <c r="C37" s="1">
        <v>300001585</v>
      </c>
      <c r="D37" t="s">
        <v>328</v>
      </c>
      <c r="E37" s="1">
        <v>10896</v>
      </c>
      <c r="F37" s="1">
        <v>17742</v>
      </c>
      <c r="G37" s="124">
        <v>64.87</v>
      </c>
      <c r="H37" t="str">
        <f t="shared" si="0"/>
        <v>3000015855LB DOLE CR SL BANANAS</v>
      </c>
    </row>
    <row r="38" spans="1:8" x14ac:dyDescent="0.25">
      <c r="A38" s="1" t="s">
        <v>164</v>
      </c>
      <c r="B38" t="s">
        <v>253</v>
      </c>
      <c r="C38" s="1" t="s">
        <v>131</v>
      </c>
      <c r="D38" t="s">
        <v>329</v>
      </c>
      <c r="E38" s="1">
        <v>11048</v>
      </c>
      <c r="F38" s="1">
        <v>17931</v>
      </c>
      <c r="G38" s="124">
        <v>17.55</v>
      </c>
      <c r="H38" t="str">
        <f t="shared" si="0"/>
        <v>61967-12HELLO FRESH 1CT BROCCOLI CROWN CLEAR (NEW SIZE)</v>
      </c>
    </row>
    <row r="39" spans="1:8" x14ac:dyDescent="0.25">
      <c r="A39" s="1" t="s">
        <v>165</v>
      </c>
      <c r="B39" t="s">
        <v>254</v>
      </c>
      <c r="C39" s="1" t="s">
        <v>199</v>
      </c>
      <c r="D39" t="s">
        <v>330</v>
      </c>
      <c r="E39" s="1">
        <v>11067</v>
      </c>
      <c r="F39" s="1">
        <v>17980</v>
      </c>
      <c r="G39" s="124">
        <v>44.83</v>
      </c>
      <c r="H39" t="str">
        <f t="shared" si="0"/>
        <v>19800952-01Queen Vic 6ct Rom w/Heat Seal</v>
      </c>
    </row>
    <row r="40" spans="1:8" x14ac:dyDescent="0.25">
      <c r="A40" s="1" t="s">
        <v>166</v>
      </c>
      <c r="B40" t="s">
        <v>255</v>
      </c>
      <c r="C40" s="1" t="s">
        <v>200</v>
      </c>
      <c r="D40" t="s">
        <v>331</v>
      </c>
      <c r="E40" s="1">
        <v>11069</v>
      </c>
      <c r="F40" s="1">
        <v>17979</v>
      </c>
      <c r="G40" s="124">
        <v>40</v>
      </c>
      <c r="H40" t="str">
        <f t="shared" si="0"/>
        <v>19800900-01 PEAK FRESH ROMAINE HEART</v>
      </c>
    </row>
    <row r="41" spans="1:8" x14ac:dyDescent="0.25">
      <c r="A41" s="1">
        <v>300001482</v>
      </c>
      <c r="B41" t="s">
        <v>256</v>
      </c>
      <c r="C41" s="1" t="s">
        <v>201</v>
      </c>
      <c r="D41" t="s">
        <v>332</v>
      </c>
      <c r="E41" s="1">
        <v>11068</v>
      </c>
      <c r="F41" s="1">
        <v>17984</v>
      </c>
      <c r="G41" s="124">
        <v>74.900000000000006</v>
      </c>
      <c r="H41" t="str">
        <f t="shared" si="0"/>
        <v xml:space="preserve">BON 034 -SM-SKU 95265BONIPAK 6CT ROMAINE HR TS ZIP B </v>
      </c>
    </row>
    <row r="42" spans="1:8" x14ac:dyDescent="0.25">
      <c r="A42" s="1" t="s">
        <v>167</v>
      </c>
      <c r="B42" t="s">
        <v>257</v>
      </c>
      <c r="C42" s="1" t="s">
        <v>175</v>
      </c>
      <c r="D42" t="s">
        <v>333</v>
      </c>
      <c r="E42" s="1">
        <v>11078</v>
      </c>
      <c r="F42" s="1">
        <v>18018</v>
      </c>
      <c r="G42" s="124">
        <v>40</v>
      </c>
      <c r="H42" t="str">
        <f t="shared" si="0"/>
        <v xml:space="preserve">506694CWESTERN FAMILY ECT ROMAINE </v>
      </c>
    </row>
    <row r="43" spans="1:8" x14ac:dyDescent="0.25">
      <c r="A43" s="1" t="s">
        <v>168</v>
      </c>
      <c r="B43" t="s">
        <v>258</v>
      </c>
      <c r="C43" s="1" t="s">
        <v>202</v>
      </c>
      <c r="D43" t="s">
        <v>334</v>
      </c>
      <c r="E43" s="1">
        <v>11079</v>
      </c>
      <c r="F43" s="1">
        <v>18020</v>
      </c>
      <c r="G43" s="124">
        <v>48.3</v>
      </c>
      <c r="H43" t="str">
        <f t="shared" si="0"/>
        <v>506957AMANN 6CT ROMAINE</v>
      </c>
    </row>
    <row r="44" spans="1:8" x14ac:dyDescent="0.25">
      <c r="A44" s="1" t="s">
        <v>169</v>
      </c>
      <c r="B44" t="s">
        <v>259</v>
      </c>
      <c r="C44" s="1" t="s">
        <v>203</v>
      </c>
      <c r="D44" t="s">
        <v>335</v>
      </c>
      <c r="E44" s="1">
        <v>11091</v>
      </c>
      <c r="F44" s="1">
        <v>11058</v>
      </c>
      <c r="G44" s="124">
        <v>80.069999999999993</v>
      </c>
      <c r="H44" t="str">
        <f t="shared" si="0"/>
        <v>61952-11T&amp;A 2ct Baby Iceberg SUP</v>
      </c>
    </row>
    <row r="45" spans="1:8" x14ac:dyDescent="0.25">
      <c r="A45" s="1" t="s">
        <v>170</v>
      </c>
      <c r="B45" t="s">
        <v>260</v>
      </c>
      <c r="C45" s="1" t="s">
        <v>146</v>
      </c>
      <c r="D45" t="s">
        <v>336</v>
      </c>
      <c r="E45" s="1">
        <v>11085</v>
      </c>
      <c r="F45" s="1">
        <v>18056</v>
      </c>
      <c r="G45" s="124">
        <v>40</v>
      </c>
      <c r="H45" t="str">
        <f t="shared" si="0"/>
        <v>61791-11ALDIS 3ct Romaine Jumbo WtStmnt</v>
      </c>
    </row>
    <row r="46" spans="1:8" x14ac:dyDescent="0.25">
      <c r="A46" s="1" t="s">
        <v>171</v>
      </c>
      <c r="B46" t="s">
        <v>261</v>
      </c>
      <c r="C46" s="1" t="s">
        <v>84</v>
      </c>
      <c r="D46" t="s">
        <v>337</v>
      </c>
      <c r="E46" s="1">
        <v>11083</v>
      </c>
      <c r="F46" s="1">
        <v>18057</v>
      </c>
      <c r="G46" s="124">
        <v>31.41</v>
      </c>
      <c r="H46" t="str">
        <f t="shared" si="0"/>
        <v>61245-12TJ´s 2ct Celery HRTS-ZIP</v>
      </c>
    </row>
    <row r="47" spans="1:8" x14ac:dyDescent="0.25">
      <c r="A47" s="1" t="s">
        <v>172</v>
      </c>
      <c r="B47" t="s">
        <v>262</v>
      </c>
      <c r="C47" s="1" t="s">
        <v>139</v>
      </c>
      <c r="D47" t="s">
        <v>140</v>
      </c>
      <c r="E47" s="1">
        <v>11101</v>
      </c>
      <c r="F47" s="1">
        <v>18298</v>
      </c>
      <c r="G47" s="124">
        <v>40</v>
      </c>
      <c r="H47" t="str">
        <f t="shared" si="0"/>
        <v>28370944-01Josie's Rm Hrt 3ct 22oz Bil US</v>
      </c>
    </row>
    <row r="48" spans="1:8" x14ac:dyDescent="0.25">
      <c r="A48" s="1" t="s">
        <v>173</v>
      </c>
      <c r="B48" t="s">
        <v>263</v>
      </c>
      <c r="C48" s="1">
        <v>1318</v>
      </c>
      <c r="D48" t="s">
        <v>338</v>
      </c>
      <c r="E48" s="1">
        <v>11102</v>
      </c>
      <c r="F48" s="1">
        <v>18117</v>
      </c>
      <c r="G48" s="124">
        <v>48.32</v>
      </c>
      <c r="H48" t="str">
        <f t="shared" si="0"/>
        <v>1318Markon 6ct Romaine Hearts</v>
      </c>
    </row>
    <row r="49" spans="1:8" x14ac:dyDescent="0.25">
      <c r="A49" s="1" t="s">
        <v>137</v>
      </c>
      <c r="B49" t="s">
        <v>138</v>
      </c>
      <c r="C49" s="1" t="s">
        <v>204</v>
      </c>
      <c r="D49" t="s">
        <v>339</v>
      </c>
      <c r="E49" s="1">
        <v>10964</v>
      </c>
      <c r="F49" s="1">
        <v>18108</v>
      </c>
      <c r="G49" s="124">
        <v>18.260000000000002</v>
      </c>
      <c r="H49" t="str">
        <f t="shared" si="0"/>
        <v>19800964-04Queen VIc Lett 14 Bilingual</v>
      </c>
    </row>
    <row r="50" spans="1:8" x14ac:dyDescent="0.25">
      <c r="A50" s="1" t="s">
        <v>142</v>
      </c>
      <c r="B50" t="s">
        <v>143</v>
      </c>
      <c r="C50" s="1">
        <v>1312</v>
      </c>
      <c r="D50" t="s">
        <v>238</v>
      </c>
      <c r="E50" s="1">
        <v>11099</v>
      </c>
      <c r="F50" s="1">
        <v>18119</v>
      </c>
      <c r="G50" s="124">
        <v>19.25</v>
      </c>
      <c r="H50" t="str">
        <f t="shared" si="0"/>
        <v>1312Church Brothers Green Cabbage</v>
      </c>
    </row>
    <row r="51" spans="1:8" x14ac:dyDescent="0.25">
      <c r="A51" s="1" t="s">
        <v>174</v>
      </c>
      <c r="B51" t="s">
        <v>264</v>
      </c>
      <c r="C51" s="1">
        <v>1351</v>
      </c>
      <c r="D51" t="s">
        <v>340</v>
      </c>
      <c r="E51" s="1">
        <v>11097</v>
      </c>
      <c r="F51" s="1">
        <v>18082</v>
      </c>
      <c r="G51" s="124">
        <v>40</v>
      </c>
      <c r="H51" t="str">
        <f t="shared" si="0"/>
        <v>1351Church Bros 3ct Rom Hrts- BI</v>
      </c>
    </row>
    <row r="52" spans="1:8" x14ac:dyDescent="0.25">
      <c r="A52" s="1">
        <v>300002259</v>
      </c>
      <c r="B52" t="s">
        <v>265</v>
      </c>
      <c r="C52" s="1">
        <v>300001669</v>
      </c>
      <c r="D52" t="s">
        <v>341</v>
      </c>
      <c r="E52" s="1">
        <v>11092</v>
      </c>
      <c r="F52" s="1">
        <v>18085</v>
      </c>
      <c r="G52" s="124">
        <v>49.43</v>
      </c>
      <c r="H52" t="str">
        <f t="shared" si="0"/>
        <v>3000016693LB MBRS SELECTION BLUEBERRIES</v>
      </c>
    </row>
    <row r="53" spans="1:8" x14ac:dyDescent="0.25">
      <c r="A53" s="1">
        <v>1314</v>
      </c>
      <c r="B53" t="s">
        <v>235</v>
      </c>
      <c r="C53" s="1">
        <v>300001062</v>
      </c>
      <c r="D53" t="s">
        <v>342</v>
      </c>
      <c r="E53" s="1">
        <v>11094</v>
      </c>
      <c r="F53" s="1">
        <v>18088</v>
      </c>
      <c r="G53" s="124">
        <v>16.97</v>
      </c>
      <c r="H53" t="str">
        <f t="shared" si="0"/>
        <v>3000010621LB MMBER SELECTR TRIPLE BER IN</v>
      </c>
    </row>
    <row r="54" spans="1:8" x14ac:dyDescent="0.25">
      <c r="A54" s="1">
        <v>1580</v>
      </c>
      <c r="B54" t="s">
        <v>132</v>
      </c>
      <c r="C54" s="1" t="s">
        <v>205</v>
      </c>
      <c r="D54" t="s">
        <v>343</v>
      </c>
      <c r="E54" s="1">
        <v>11105</v>
      </c>
      <c r="F54" s="1">
        <v>18118</v>
      </c>
      <c r="G54" s="124">
        <v>44.83</v>
      </c>
      <c r="H54" t="str">
        <f t="shared" si="0"/>
        <v>1980-0952-01QUEEN VICTORIA 6CT ROMAINE HEARTS</v>
      </c>
    </row>
    <row r="55" spans="1:8" x14ac:dyDescent="0.25">
      <c r="A55" s="1" t="s">
        <v>84</v>
      </c>
      <c r="B55" t="s">
        <v>144</v>
      </c>
      <c r="C55" s="1">
        <v>40040956</v>
      </c>
      <c r="D55" t="s">
        <v>344</v>
      </c>
      <c r="E55" s="1">
        <v>11112</v>
      </c>
      <c r="F55" s="1">
        <v>18157</v>
      </c>
      <c r="G55" s="124">
        <v>56.67</v>
      </c>
      <c r="H55" t="str">
        <f t="shared" si="0"/>
        <v>40040956SYSCO ROMAINE  HEART BAG CLEAR</v>
      </c>
    </row>
    <row r="56" spans="1:8" x14ac:dyDescent="0.25">
      <c r="A56" s="1" t="s">
        <v>175</v>
      </c>
      <c r="B56" t="s">
        <v>266</v>
      </c>
      <c r="C56" s="1">
        <v>40040956</v>
      </c>
      <c r="D56" t="s">
        <v>344</v>
      </c>
      <c r="E56" s="1">
        <v>11113</v>
      </c>
      <c r="F56" s="1">
        <v>18160</v>
      </c>
      <c r="G56" s="124">
        <v>58.43</v>
      </c>
      <c r="H56" t="str">
        <f t="shared" si="0"/>
        <v>40040956SYSCO ROMAINE  HEART BAG CLEAR</v>
      </c>
    </row>
    <row r="57" spans="1:8" x14ac:dyDescent="0.25">
      <c r="A57" s="1">
        <v>1579</v>
      </c>
      <c r="B57" t="s">
        <v>145</v>
      </c>
      <c r="C57" s="1" t="s">
        <v>172</v>
      </c>
      <c r="D57" t="s">
        <v>345</v>
      </c>
      <c r="E57" s="1">
        <v>10755</v>
      </c>
      <c r="F57" s="1">
        <v>18163</v>
      </c>
      <c r="G57" s="124">
        <v>37.340000000000003</v>
      </c>
      <c r="H57" t="str">
        <f t="shared" si="0"/>
        <v>5TSSAMSPP5LB TASTEFUL SELECTIOS SAMS PERFECT PAIR WICKET (DESTINY)</v>
      </c>
    </row>
    <row r="58" spans="1:8" x14ac:dyDescent="0.25">
      <c r="A58" s="1">
        <v>9801157</v>
      </c>
      <c r="B58" t="s">
        <v>231</v>
      </c>
      <c r="C58" s="1">
        <v>930</v>
      </c>
      <c r="D58" t="s">
        <v>346</v>
      </c>
      <c r="E58" s="1">
        <v>10995</v>
      </c>
      <c r="F58" s="1">
        <v>18178</v>
      </c>
      <c r="G58" s="124">
        <v>22.84</v>
      </c>
      <c r="H58" t="str">
        <f t="shared" si="0"/>
        <v>9300930 OM 3CT NOZIP BIL (DESTINY)</v>
      </c>
    </row>
    <row r="59" spans="1:8" x14ac:dyDescent="0.25">
      <c r="A59" s="1" t="s">
        <v>133</v>
      </c>
      <c r="B59" t="s">
        <v>267</v>
      </c>
      <c r="C59" s="1" t="s">
        <v>206</v>
      </c>
      <c r="D59" t="s">
        <v>347</v>
      </c>
      <c r="E59" s="1">
        <v>11012</v>
      </c>
      <c r="F59" s="1">
        <v>17801</v>
      </c>
      <c r="G59" s="124">
        <v>21.78</v>
      </c>
      <c r="H59" t="str">
        <f t="shared" si="0"/>
        <v>KER-091KERNRIDGE 2LB WICKETED</v>
      </c>
    </row>
    <row r="60" spans="1:8" x14ac:dyDescent="0.25">
      <c r="A60" s="1">
        <v>300000839</v>
      </c>
      <c r="B60" t="s">
        <v>268</v>
      </c>
      <c r="C60" s="1" t="s">
        <v>152</v>
      </c>
      <c r="D60" t="s">
        <v>348</v>
      </c>
      <c r="E60" s="1">
        <v>11121</v>
      </c>
      <c r="F60" s="1">
        <v>18226</v>
      </c>
      <c r="G60" s="124">
        <v>40</v>
      </c>
      <c r="H60" t="str">
        <f t="shared" si="0"/>
        <v>14019188-01FOXY 3CT ROM HEARTS 18OZ BIL</v>
      </c>
    </row>
    <row r="61" spans="1:8" x14ac:dyDescent="0.25">
      <c r="A61" s="1" t="s">
        <v>176</v>
      </c>
      <c r="B61" t="s">
        <v>269</v>
      </c>
      <c r="C61" s="1" t="s">
        <v>207</v>
      </c>
      <c r="D61" t="s">
        <v>349</v>
      </c>
      <c r="E61" s="1">
        <v>0</v>
      </c>
      <c r="F61" s="1">
        <v>0</v>
      </c>
      <c r="G61" s="124">
        <v>54.93</v>
      </c>
      <c r="H61" t="str">
        <f t="shared" si="0"/>
        <v>4822-1 BAG5LB WEGMAN ORG WKT</v>
      </c>
    </row>
    <row r="62" spans="1:8" x14ac:dyDescent="0.25">
      <c r="A62" s="1">
        <v>9549007</v>
      </c>
      <c r="B62" t="s">
        <v>226</v>
      </c>
      <c r="C62" s="1" t="s">
        <v>163</v>
      </c>
      <c r="D62" t="s">
        <v>350</v>
      </c>
      <c r="E62" s="1">
        <v>11123</v>
      </c>
      <c r="F62" s="1">
        <v>18160</v>
      </c>
      <c r="G62" s="124">
        <v>40</v>
      </c>
      <c r="H62" t="str">
        <f t="shared" si="0"/>
        <v>002-40-55032-01Dole 23Oz Romaine USA w/Zipper</v>
      </c>
    </row>
    <row r="63" spans="1:8" x14ac:dyDescent="0.25">
      <c r="A63" s="1">
        <v>9501808</v>
      </c>
      <c r="B63" t="s">
        <v>270</v>
      </c>
      <c r="C63" s="1">
        <v>1312</v>
      </c>
      <c r="D63" t="s">
        <v>351</v>
      </c>
      <c r="E63" s="1">
        <v>11132</v>
      </c>
      <c r="F63" s="1">
        <v>18290</v>
      </c>
      <c r="G63" s="124">
        <v>19.25</v>
      </c>
      <c r="H63" t="str">
        <f t="shared" si="0"/>
        <v>1312CHURCH BROS GREEN CABBAGE</v>
      </c>
    </row>
    <row r="64" spans="1:8" x14ac:dyDescent="0.25">
      <c r="A64" s="1">
        <v>300002304</v>
      </c>
      <c r="B64" t="s">
        <v>271</v>
      </c>
      <c r="C64" s="1">
        <v>1318</v>
      </c>
      <c r="D64" t="s">
        <v>352</v>
      </c>
      <c r="E64" s="1">
        <v>11133</v>
      </c>
      <c r="F64" s="1">
        <v>18293</v>
      </c>
      <c r="G64" s="124">
        <v>48.32</v>
      </c>
      <c r="H64" t="str">
        <f t="shared" si="0"/>
        <v>1318MARKON 6CT ROMAINE HEART</v>
      </c>
    </row>
    <row r="65" spans="1:8" x14ac:dyDescent="0.25">
      <c r="A65" s="1" t="s">
        <v>133</v>
      </c>
      <c r="B65" t="s">
        <v>134</v>
      </c>
      <c r="C65" s="1">
        <v>1579</v>
      </c>
      <c r="D65" t="s">
        <v>353</v>
      </c>
      <c r="E65" s="1">
        <v>11135</v>
      </c>
      <c r="F65" s="1">
        <v>18294</v>
      </c>
      <c r="G65" s="124">
        <v>70.099999999999994</v>
      </c>
      <c r="H65" t="str">
        <f t="shared" si="0"/>
        <v>1579CHURCH BROS 2CT BABY ROMAINE</v>
      </c>
    </row>
    <row r="66" spans="1:8" x14ac:dyDescent="0.25">
      <c r="A66" s="1" t="s">
        <v>177</v>
      </c>
      <c r="B66" t="s">
        <v>272</v>
      </c>
      <c r="C66" s="1">
        <v>5022</v>
      </c>
      <c r="D66" t="s">
        <v>354</v>
      </c>
      <c r="E66" s="1">
        <v>11136</v>
      </c>
      <c r="F66" s="1">
        <v>18295</v>
      </c>
      <c r="G66" s="124">
        <v>38.5</v>
      </c>
      <c r="H66" t="str">
        <f t="shared" si="0"/>
        <v>5022CHURCH BROS 2CT LETT-SAMS CLUB</v>
      </c>
    </row>
    <row r="67" spans="1:8" x14ac:dyDescent="0.25">
      <c r="A67" s="1">
        <v>1580</v>
      </c>
      <c r="B67" t="s">
        <v>132</v>
      </c>
      <c r="C67" s="1">
        <v>1350</v>
      </c>
      <c r="D67" t="s">
        <v>355</v>
      </c>
      <c r="E67" s="1">
        <v>11131</v>
      </c>
      <c r="F67" s="1">
        <v>18351</v>
      </c>
      <c r="G67" s="124">
        <v>17.899999999999999</v>
      </c>
      <c r="H67" t="str">
        <f t="shared" ref="H67:H152" si="1">_xlfn.CONCAT(C67,D67)</f>
        <v>1350CHURCH BROTHERS 13.5" LETTUCE</v>
      </c>
    </row>
    <row r="68" spans="1:8" x14ac:dyDescent="0.25">
      <c r="A68" s="1" t="s">
        <v>178</v>
      </c>
      <c r="B68" t="s">
        <v>273</v>
      </c>
      <c r="C68" s="1" t="s">
        <v>208</v>
      </c>
      <c r="D68" t="s">
        <v>141</v>
      </c>
      <c r="E68" s="1">
        <v>11118</v>
      </c>
      <c r="F68" s="1">
        <v>18525</v>
      </c>
      <c r="G68" s="124">
        <v>71.52</v>
      </c>
      <c r="H68" t="str">
        <f t="shared" si="1"/>
        <v> LKO-02Clr Bg 9.75X8+3.75BG+2Zip</v>
      </c>
    </row>
    <row r="69" spans="1:8" x14ac:dyDescent="0.25">
      <c r="A69" s="1">
        <v>300002269</v>
      </c>
      <c r="B69" t="s">
        <v>274</v>
      </c>
      <c r="C69" s="1">
        <v>9800093</v>
      </c>
      <c r="D69" t="s">
        <v>356</v>
      </c>
      <c r="E69" s="1">
        <v>11147</v>
      </c>
      <c r="F69" s="1">
        <v>18315</v>
      </c>
      <c r="G69" s="124">
        <v>43.16</v>
      </c>
      <c r="H69" t="str">
        <f t="shared" si="1"/>
        <v xml:space="preserve">9800093TJ 3CT  ORG ROM HRT BAG USA </v>
      </c>
    </row>
    <row r="70" spans="1:8" x14ac:dyDescent="0.25">
      <c r="A70" s="1">
        <v>300002271</v>
      </c>
      <c r="B70" t="s">
        <v>275</v>
      </c>
      <c r="C70" s="1">
        <v>9801164</v>
      </c>
      <c r="D70" t="s">
        <v>294</v>
      </c>
      <c r="E70" s="1" t="s">
        <v>357</v>
      </c>
      <c r="F70" s="1">
        <v>18347</v>
      </c>
      <c r="G70" s="124">
        <v>19.309999999999999</v>
      </c>
      <c r="H70" t="str">
        <f t="shared" si="1"/>
        <v>9801164EBF Org Broccoli Bg USA</v>
      </c>
    </row>
    <row r="71" spans="1:8" x14ac:dyDescent="0.25">
      <c r="A71" s="1">
        <v>300002258</v>
      </c>
      <c r="B71" t="s">
        <v>276</v>
      </c>
      <c r="C71" s="1" t="s">
        <v>163</v>
      </c>
      <c r="D71" t="s">
        <v>290</v>
      </c>
      <c r="E71" s="1">
        <v>11149</v>
      </c>
      <c r="F71" s="1">
        <v>18358</v>
      </c>
      <c r="G71" s="124">
        <v>40</v>
      </c>
      <c r="H71" t="str">
        <f t="shared" si="1"/>
        <v>002-40-55032-01Dole 23oz Romaine USA w/Zipper</v>
      </c>
    </row>
    <row r="72" spans="1:8" x14ac:dyDescent="0.25">
      <c r="A72" s="1">
        <v>300002267</v>
      </c>
      <c r="B72" t="s">
        <v>277</v>
      </c>
      <c r="C72" s="1" t="s">
        <v>209</v>
      </c>
      <c r="D72" t="s">
        <v>138</v>
      </c>
      <c r="E72" s="1">
        <v>11169</v>
      </c>
      <c r="F72" s="1">
        <v>18392</v>
      </c>
      <c r="G72" s="124">
        <v>40</v>
      </c>
      <c r="H72" t="str">
        <f t="shared" si="1"/>
        <v> 61370-17T&amp;A 3Ct Jumbo Romaine SHORT</v>
      </c>
    </row>
    <row r="73" spans="1:8" x14ac:dyDescent="0.25">
      <c r="A73" s="1" t="s">
        <v>179</v>
      </c>
      <c r="B73" t="s">
        <v>278</v>
      </c>
      <c r="C73" s="1">
        <v>19800975</v>
      </c>
      <c r="D73" t="s">
        <v>358</v>
      </c>
      <c r="E73" s="1">
        <v>11151</v>
      </c>
      <c r="F73" s="1">
        <v>18455</v>
      </c>
      <c r="G73" s="124">
        <v>17.5</v>
      </c>
      <c r="H73" t="str">
        <f t="shared" si="1"/>
        <v>1980097501 Queen Vic 14 UPC PLU Lett US (Destiny)</v>
      </c>
    </row>
    <row r="74" spans="1:8" x14ac:dyDescent="0.25">
      <c r="A74" s="1">
        <v>1314</v>
      </c>
      <c r="B74" t="s">
        <v>235</v>
      </c>
      <c r="C74" s="1" t="s">
        <v>210</v>
      </c>
      <c r="D74" t="s">
        <v>359</v>
      </c>
      <c r="E74" s="1">
        <v>11187</v>
      </c>
      <c r="F74" s="1">
        <v>18445</v>
      </c>
      <c r="G74" s="124">
        <v>31.15</v>
      </c>
      <c r="H74" t="str">
        <f t="shared" si="1"/>
        <v>09540914-00STOCK 2 CT ICEBER LETTUCE</v>
      </c>
    </row>
    <row r="75" spans="1:8" x14ac:dyDescent="0.25">
      <c r="A75" s="1">
        <v>5019</v>
      </c>
      <c r="B75" t="s">
        <v>237</v>
      </c>
      <c r="C75" s="1" t="s">
        <v>211</v>
      </c>
      <c r="D75" t="s">
        <v>360</v>
      </c>
      <c r="E75" s="1">
        <v>11124</v>
      </c>
      <c r="F75" s="1">
        <v>18699</v>
      </c>
      <c r="G75" s="124">
        <v>50.66</v>
      </c>
      <c r="H75" t="str">
        <f t="shared" si="1"/>
        <v>002-40-55010-06Dole 6ct Romaine Hrts 40oz USA</v>
      </c>
    </row>
    <row r="76" spans="1:8" x14ac:dyDescent="0.25">
      <c r="A76" s="1" t="s">
        <v>146</v>
      </c>
      <c r="B76" t="s">
        <v>147</v>
      </c>
      <c r="C76" s="1">
        <v>9801231</v>
      </c>
      <c r="D76" t="s">
        <v>244</v>
      </c>
      <c r="E76" s="1">
        <v>11192</v>
      </c>
      <c r="F76" s="1">
        <v>18466</v>
      </c>
      <c r="G76" s="124">
        <v>17.72</v>
      </c>
      <c r="H76" t="str">
        <f t="shared" si="1"/>
        <v>9801231TFR Org Marketside Iceberg Ltt</v>
      </c>
    </row>
    <row r="77" spans="1:8" x14ac:dyDescent="0.25">
      <c r="A77" s="1">
        <v>1580</v>
      </c>
      <c r="B77" t="s">
        <v>132</v>
      </c>
      <c r="C77" s="1" t="s">
        <v>179</v>
      </c>
      <c r="D77" t="s">
        <v>361</v>
      </c>
      <c r="E77" s="1">
        <v>11193</v>
      </c>
      <c r="F77" s="1">
        <v>18500</v>
      </c>
      <c r="G77" s="124">
        <v>37.22</v>
      </c>
      <c r="H77" t="str">
        <f t="shared" si="1"/>
        <v>B-3602LB MARKON WASH/RIMM GR ONION</v>
      </c>
    </row>
    <row r="78" spans="1:8" x14ac:dyDescent="0.25">
      <c r="A78" s="1" t="s">
        <v>180</v>
      </c>
      <c r="B78" t="s">
        <v>279</v>
      </c>
      <c r="C78" s="1" t="s">
        <v>84</v>
      </c>
      <c r="D78" t="s">
        <v>362</v>
      </c>
      <c r="E78" s="1">
        <v>11201</v>
      </c>
      <c r="F78" s="1">
        <v>18536</v>
      </c>
      <c r="G78" s="124">
        <v>31.41</v>
      </c>
      <c r="H78" t="str">
        <f t="shared" si="1"/>
        <v>61245-12TRADER JOE S 2CT CELERY HEARTS ZIP</v>
      </c>
    </row>
    <row r="79" spans="1:8" x14ac:dyDescent="0.25">
      <c r="A79" s="1">
        <v>300000859</v>
      </c>
      <c r="B79" t="s">
        <v>280</v>
      </c>
      <c r="C79" s="1" t="s">
        <v>212</v>
      </c>
      <c r="D79" t="s">
        <v>363</v>
      </c>
      <c r="E79" s="1">
        <v>11202</v>
      </c>
      <c r="F79" s="1">
        <v>18539</v>
      </c>
      <c r="G79" s="124">
        <v>40.56</v>
      </c>
      <c r="H79" t="str">
        <f t="shared" si="1"/>
        <v>61973-11 ALDI 3CT JUMBO ROMAINE SHORT</v>
      </c>
    </row>
    <row r="80" spans="1:8" x14ac:dyDescent="0.25">
      <c r="A80" s="1" t="s">
        <v>135</v>
      </c>
      <c r="B80" t="s">
        <v>134</v>
      </c>
      <c r="C80" s="1" t="s">
        <v>213</v>
      </c>
      <c r="D80" t="s">
        <v>364</v>
      </c>
      <c r="E80" s="1">
        <v>11174</v>
      </c>
      <c r="F80" s="1">
        <v>18545</v>
      </c>
      <c r="G80" s="124">
        <v>104.15</v>
      </c>
      <c r="H80" t="str">
        <f t="shared" si="1"/>
        <v>61953-11KROGER 2CT ARTSN ROM SUP (DESTINY)</v>
      </c>
    </row>
    <row r="81" spans="1:8" x14ac:dyDescent="0.25">
      <c r="A81" s="1">
        <v>9801231</v>
      </c>
      <c r="B81" t="s">
        <v>244</v>
      </c>
      <c r="C81" s="1" t="s">
        <v>214</v>
      </c>
      <c r="D81" t="s">
        <v>365</v>
      </c>
      <c r="E81" s="1">
        <v>11199</v>
      </c>
      <c r="F81" s="1">
        <v>18572</v>
      </c>
      <c r="G81" s="124">
        <v>31.71</v>
      </c>
      <c r="H81" t="str">
        <f t="shared" si="1"/>
        <v>5ANWKT5LB ALL NATURAL OIRGANIC CARROT</v>
      </c>
    </row>
    <row r="82" spans="1:8" x14ac:dyDescent="0.25">
      <c r="A82" s="1">
        <v>9801157</v>
      </c>
      <c r="B82" t="s">
        <v>281</v>
      </c>
      <c r="C82" s="1" t="s">
        <v>215</v>
      </c>
      <c r="D82" t="s">
        <v>366</v>
      </c>
      <c r="E82" s="1">
        <v>11216</v>
      </c>
      <c r="F82" s="1">
        <v>18602</v>
      </c>
      <c r="G82" s="124">
        <v>35.549999999999997</v>
      </c>
      <c r="H82" t="str">
        <f t="shared" si="1"/>
        <v>5TSSAMPSPP5LB TS SAMS PERFECT PAIR WKT</v>
      </c>
    </row>
    <row r="83" spans="1:8" x14ac:dyDescent="0.25">
      <c r="A83" s="1">
        <v>9502994</v>
      </c>
      <c r="B83" t="s">
        <v>130</v>
      </c>
      <c r="C83" s="1">
        <v>129261</v>
      </c>
      <c r="D83" t="s">
        <v>367</v>
      </c>
      <c r="E83" s="1">
        <v>11213</v>
      </c>
      <c r="F83" s="1">
        <v>0</v>
      </c>
      <c r="G83" s="124">
        <v>18.37</v>
      </c>
      <c r="H83" t="str">
        <f t="shared" si="1"/>
        <v>1292612LB WHOLSOME PANTRY ORG RS CF</v>
      </c>
    </row>
    <row r="84" spans="1:8" x14ac:dyDescent="0.25">
      <c r="A84" s="1">
        <v>9502992</v>
      </c>
      <c r="B84" t="s">
        <v>282</v>
      </c>
      <c r="C84" s="1">
        <v>300002303</v>
      </c>
      <c r="D84" t="s">
        <v>368</v>
      </c>
      <c r="E84" s="1">
        <v>11006</v>
      </c>
      <c r="F84" s="1">
        <v>18630</v>
      </c>
      <c r="G84" s="124">
        <v>61.39</v>
      </c>
      <c r="H84" t="str">
        <f t="shared" si="1"/>
        <v>300002303300002303 4/7 oz Protein Kick Outer</v>
      </c>
    </row>
    <row r="85" spans="1:8" x14ac:dyDescent="0.25">
      <c r="A85" s="1" t="s">
        <v>155</v>
      </c>
      <c r="B85" t="s">
        <v>233</v>
      </c>
      <c r="C85" s="1">
        <v>300002306</v>
      </c>
      <c r="D85" t="s">
        <v>369</v>
      </c>
      <c r="E85" s="1">
        <v>11007</v>
      </c>
      <c r="F85" s="1">
        <v>18632</v>
      </c>
      <c r="G85" s="124">
        <v>59.99</v>
      </c>
      <c r="H85" t="str">
        <f t="shared" si="1"/>
        <v>300002306300002306 4/7 oz Mixed Berry Oatmeal oute</v>
      </c>
    </row>
    <row r="86" spans="1:8" x14ac:dyDescent="0.25">
      <c r="A86" s="1" t="s">
        <v>133</v>
      </c>
      <c r="B86" t="s">
        <v>134</v>
      </c>
      <c r="C86" s="1">
        <v>300002307</v>
      </c>
      <c r="D86" t="s">
        <v>370</v>
      </c>
      <c r="E86" s="1">
        <v>11021</v>
      </c>
      <c r="F86" s="1">
        <v>18633</v>
      </c>
      <c r="G86" s="124">
        <v>58.58</v>
      </c>
      <c r="H86" t="str">
        <f t="shared" si="1"/>
        <v>300002307300002307 4/7 oz Berries´n Kale Outer</v>
      </c>
    </row>
    <row r="87" spans="1:8" x14ac:dyDescent="0.25">
      <c r="A87" s="1">
        <v>9501808</v>
      </c>
      <c r="B87" t="s">
        <v>270</v>
      </c>
      <c r="C87" s="1" t="s">
        <v>179</v>
      </c>
      <c r="D87" t="s">
        <v>361</v>
      </c>
      <c r="E87" s="1">
        <v>11193</v>
      </c>
      <c r="F87" s="1">
        <v>18500</v>
      </c>
      <c r="G87" s="124">
        <v>37.22</v>
      </c>
      <c r="H87" t="str">
        <f t="shared" si="1"/>
        <v>B-3602LB MARKON WASH/RIMM GR ONION</v>
      </c>
    </row>
    <row r="88" spans="1:8" x14ac:dyDescent="0.25">
      <c r="A88" s="1" t="s">
        <v>181</v>
      </c>
      <c r="B88" t="s">
        <v>283</v>
      </c>
      <c r="C88" s="1" t="s">
        <v>216</v>
      </c>
      <c r="D88" t="s">
        <v>371</v>
      </c>
      <c r="E88" s="1">
        <v>11171</v>
      </c>
      <c r="F88" s="1">
        <v>18402</v>
      </c>
      <c r="G88" s="124">
        <v>40</v>
      </c>
      <c r="H88" t="str">
        <f t="shared" si="1"/>
        <v> 61653-14T&amp;A 3ct Artisan Romaine-Zipper</v>
      </c>
    </row>
    <row r="89" spans="1:8" x14ac:dyDescent="0.25">
      <c r="A89" s="1">
        <v>1351</v>
      </c>
      <c r="B89" t="s">
        <v>242</v>
      </c>
      <c r="C89" s="1" t="s">
        <v>217</v>
      </c>
      <c r="D89" t="s">
        <v>372</v>
      </c>
      <c r="E89" s="1">
        <v>11151</v>
      </c>
      <c r="F89" s="1">
        <v>18455</v>
      </c>
      <c r="G89" s="124">
        <v>17.5</v>
      </c>
      <c r="H89" t="str">
        <f t="shared" si="1"/>
        <v>19800975-01Queen Vic 14 UPC PLU Lett US</v>
      </c>
    </row>
    <row r="90" spans="1:8" x14ac:dyDescent="0.25">
      <c r="A90" s="1">
        <v>1579</v>
      </c>
      <c r="B90" t="s">
        <v>145</v>
      </c>
      <c r="C90" s="1" t="s">
        <v>213</v>
      </c>
      <c r="D90" t="s">
        <v>373</v>
      </c>
      <c r="E90" s="1">
        <v>11174</v>
      </c>
      <c r="F90" s="1">
        <v>18545</v>
      </c>
      <c r="G90" s="124">
        <v>104.15</v>
      </c>
      <c r="H90" t="str">
        <f t="shared" si="1"/>
        <v>61953-11 KROGER 2Ct Artsn Rom SUP</v>
      </c>
    </row>
    <row r="91" spans="1:8" x14ac:dyDescent="0.25">
      <c r="A91" s="1">
        <v>300001879</v>
      </c>
      <c r="B91" t="s">
        <v>284</v>
      </c>
      <c r="C91" s="1">
        <v>300001784</v>
      </c>
      <c r="D91" t="s">
        <v>374</v>
      </c>
      <c r="E91" s="1">
        <v>11234</v>
      </c>
      <c r="F91" s="1">
        <v>18658</v>
      </c>
      <c r="G91" s="124">
        <v>68.52</v>
      </c>
      <c r="H91" t="str">
        <f t="shared" si="1"/>
        <v>3000017845lb Dole Diced  Peaches</v>
      </c>
    </row>
    <row r="92" spans="1:8" x14ac:dyDescent="0.25">
      <c r="A92" s="1">
        <v>9801224</v>
      </c>
      <c r="B92" t="s">
        <v>285</v>
      </c>
      <c r="C92" s="1" t="s">
        <v>218</v>
      </c>
      <c r="D92" t="s">
        <v>375</v>
      </c>
      <c r="E92" s="1">
        <v>11231</v>
      </c>
      <c r="F92" s="1">
        <v>18659</v>
      </c>
      <c r="G92" s="124">
        <v>63.66</v>
      </c>
      <c r="H92" t="str">
        <f t="shared" si="1"/>
        <v>300001580 5lb Dole SL Strawberries</v>
      </c>
    </row>
    <row r="93" spans="1:8" x14ac:dyDescent="0.25">
      <c r="A93" s="1">
        <v>1749024</v>
      </c>
      <c r="B93" t="s">
        <v>286</v>
      </c>
      <c r="C93" s="1">
        <v>300002259</v>
      </c>
      <c r="D93" t="s">
        <v>376</v>
      </c>
      <c r="E93" s="1">
        <v>11230</v>
      </c>
      <c r="F93" s="1">
        <v>18660</v>
      </c>
      <c r="G93" s="124">
        <v>61.39</v>
      </c>
      <c r="H93" t="str">
        <f t="shared" si="1"/>
        <v>3000022594-7oz Protein Kick outer</v>
      </c>
    </row>
    <row r="94" spans="1:8" x14ac:dyDescent="0.25">
      <c r="A94" s="1" t="s">
        <v>137</v>
      </c>
      <c r="B94" t="s">
        <v>287</v>
      </c>
      <c r="C94" s="1">
        <v>300002260</v>
      </c>
      <c r="D94" t="s">
        <v>377</v>
      </c>
      <c r="E94" s="1">
        <v>11228</v>
      </c>
      <c r="F94" s="1">
        <v>18661</v>
      </c>
      <c r="G94" s="124">
        <v>58.5</v>
      </c>
      <c r="H94" t="str">
        <f t="shared" si="1"/>
        <v>3000022604-7oz Dream with Dragon Fruit outer</v>
      </c>
    </row>
    <row r="95" spans="1:8" x14ac:dyDescent="0.25">
      <c r="A95" s="1" t="s">
        <v>182</v>
      </c>
      <c r="B95" t="s">
        <v>288</v>
      </c>
      <c r="C95" s="1">
        <v>300001783</v>
      </c>
      <c r="D95" t="s">
        <v>378</v>
      </c>
      <c r="E95" s="1">
        <v>11233</v>
      </c>
      <c r="F95" s="1">
        <v>18662</v>
      </c>
      <c r="G95" s="124">
        <v>64.819999999999993</v>
      </c>
      <c r="H95" t="str">
        <f t="shared" si="1"/>
        <v>300001783 5lb Dole Sliced  Peaches</v>
      </c>
    </row>
    <row r="96" spans="1:8" x14ac:dyDescent="0.25">
      <c r="A96" s="1" t="s">
        <v>183</v>
      </c>
      <c r="B96" t="s">
        <v>289</v>
      </c>
      <c r="C96" s="1" t="s">
        <v>219</v>
      </c>
      <c r="D96" t="s">
        <v>379</v>
      </c>
      <c r="E96" s="1">
        <v>11277</v>
      </c>
      <c r="F96" s="1">
        <v>18663</v>
      </c>
      <c r="G96" s="124">
        <v>62.75</v>
      </c>
      <c r="H96" t="str">
        <f t="shared" si="1"/>
        <v> 3000014825lb Dole CR Cubed Mango.</v>
      </c>
    </row>
    <row r="97" spans="1:8" x14ac:dyDescent="0.25">
      <c r="A97" s="1" t="s">
        <v>163</v>
      </c>
      <c r="B97" t="s">
        <v>290</v>
      </c>
      <c r="C97" s="1">
        <v>4090</v>
      </c>
      <c r="D97" t="s">
        <v>251</v>
      </c>
      <c r="E97" s="1">
        <v>11245</v>
      </c>
      <c r="F97" s="1">
        <v>18692</v>
      </c>
      <c r="G97" s="124">
        <v>40</v>
      </c>
      <c r="H97" t="str">
        <f t="shared" si="1"/>
        <v>4090Wegmans 3ct Romaine Hearts</v>
      </c>
    </row>
    <row r="98" spans="1:8" x14ac:dyDescent="0.25">
      <c r="A98" s="1">
        <v>300002305</v>
      </c>
      <c r="B98" t="s">
        <v>291</v>
      </c>
      <c r="C98" s="1">
        <v>300001754</v>
      </c>
      <c r="D98" t="s">
        <v>380</v>
      </c>
      <c r="E98" s="1">
        <v>11232</v>
      </c>
      <c r="F98" s="1">
        <v>18664</v>
      </c>
      <c r="G98" s="124">
        <v>66.09</v>
      </c>
      <c r="H98" t="str">
        <f t="shared" si="1"/>
        <v>3000017545lb Dole CR Pineapple Cubed</v>
      </c>
    </row>
    <row r="99" spans="1:8" x14ac:dyDescent="0.25">
      <c r="A99" s="1" t="s">
        <v>184</v>
      </c>
      <c r="B99" t="s">
        <v>292</v>
      </c>
      <c r="C99" s="1">
        <v>300000908</v>
      </c>
      <c r="D99" t="s">
        <v>381</v>
      </c>
      <c r="E99" s="1">
        <v>11226</v>
      </c>
      <c r="F99" s="1">
        <v>18666</v>
      </c>
      <c r="G99" s="124">
        <v>74.2</v>
      </c>
      <c r="H99" t="str">
        <f t="shared" si="1"/>
        <v>300000908 5lb Dole SL Apple</v>
      </c>
    </row>
    <row r="100" spans="1:8" x14ac:dyDescent="0.25">
      <c r="A100" s="1">
        <v>40040956</v>
      </c>
      <c r="B100" t="s">
        <v>293</v>
      </c>
      <c r="C100" s="1">
        <v>300000867</v>
      </c>
      <c r="D100" t="s">
        <v>382</v>
      </c>
      <c r="E100" s="1">
        <v>11223</v>
      </c>
      <c r="F100" s="1">
        <v>18667</v>
      </c>
      <c r="G100" s="124">
        <v>66.040000000000006</v>
      </c>
      <c r="H100" t="str">
        <f t="shared" si="1"/>
        <v>3000008675lb Dole  Mango Chunks</v>
      </c>
    </row>
    <row r="101" spans="1:8" x14ac:dyDescent="0.25">
      <c r="A101" s="1">
        <v>1351</v>
      </c>
      <c r="B101" t="s">
        <v>242</v>
      </c>
      <c r="C101" s="1">
        <v>300000869</v>
      </c>
      <c r="D101" t="s">
        <v>383</v>
      </c>
      <c r="E101" s="1">
        <v>11224</v>
      </c>
      <c r="F101" s="1">
        <v>18668</v>
      </c>
      <c r="G101" s="124">
        <v>68.52</v>
      </c>
      <c r="H101" t="str">
        <f t="shared" si="1"/>
        <v>3000008695lb Dole Mixed Berries</v>
      </c>
    </row>
    <row r="102" spans="1:8" x14ac:dyDescent="0.25">
      <c r="A102" s="1">
        <v>1351</v>
      </c>
      <c r="B102" t="s">
        <v>242</v>
      </c>
      <c r="C102" s="1">
        <v>300000906</v>
      </c>
      <c r="D102" t="s">
        <v>301</v>
      </c>
      <c r="E102" s="1">
        <v>11225</v>
      </c>
      <c r="F102" s="1">
        <v>18669</v>
      </c>
      <c r="G102" s="124">
        <v>66.56</v>
      </c>
      <c r="H102" t="str">
        <f t="shared" si="1"/>
        <v>3000009065lb Dole Pineapple Chunks</v>
      </c>
    </row>
    <row r="103" spans="1:8" x14ac:dyDescent="0.25">
      <c r="A103" s="1">
        <v>9801164</v>
      </c>
      <c r="B103" t="s">
        <v>294</v>
      </c>
      <c r="C103" s="1" t="s">
        <v>210</v>
      </c>
      <c r="D103" t="s">
        <v>384</v>
      </c>
      <c r="E103" s="1">
        <v>11222</v>
      </c>
      <c r="F103" s="1">
        <v>18674</v>
      </c>
      <c r="G103" s="124">
        <v>30.62</v>
      </c>
      <c r="H103" t="str">
        <f t="shared" si="1"/>
        <v>09540914-00STOCK 2 CT ICEBERG LETTUCE</v>
      </c>
    </row>
    <row r="104" spans="1:8" x14ac:dyDescent="0.25">
      <c r="A104" s="1" t="s">
        <v>185</v>
      </c>
      <c r="B104" t="s">
        <v>295</v>
      </c>
      <c r="C104" s="1">
        <v>9502992</v>
      </c>
      <c r="D104" t="s">
        <v>385</v>
      </c>
      <c r="E104" s="1">
        <v>11249</v>
      </c>
      <c r="F104" s="1">
        <v>18671</v>
      </c>
      <c r="G104" s="124">
        <v>33.42</v>
      </c>
      <c r="H104" t="str">
        <f t="shared" si="1"/>
        <v>9502992TFR 2HD Icebrg Lett USA-Green</v>
      </c>
    </row>
    <row r="105" spans="1:8" x14ac:dyDescent="0.25">
      <c r="A105" s="1" t="s">
        <v>186</v>
      </c>
      <c r="B105" t="s">
        <v>296</v>
      </c>
      <c r="C105" s="1" t="s">
        <v>220</v>
      </c>
      <c r="D105" t="s">
        <v>130</v>
      </c>
      <c r="E105" s="1">
        <v>11250</v>
      </c>
      <c r="F105" s="1">
        <v>20151</v>
      </c>
      <c r="G105" s="124">
        <v>48.26</v>
      </c>
      <c r="H105" t="str">
        <f t="shared" si="1"/>
        <v> 9502994TFR 6ct Rom Hrts USA-Purple</v>
      </c>
    </row>
    <row r="106" spans="1:8" x14ac:dyDescent="0.25">
      <c r="A106" s="1" t="s">
        <v>187</v>
      </c>
      <c r="B106" t="s">
        <v>297</v>
      </c>
      <c r="C106" s="1">
        <v>300002264</v>
      </c>
      <c r="D106" t="s">
        <v>386</v>
      </c>
      <c r="E106" s="1">
        <v>11252</v>
      </c>
      <c r="F106" s="1">
        <v>18708</v>
      </c>
      <c r="G106" s="124">
        <v>10.94</v>
      </c>
      <c r="H106" t="str">
        <f t="shared" si="1"/>
        <v>3000022647oz Dole BERRY SPARK BIB INNER</v>
      </c>
    </row>
    <row r="107" spans="1:8" x14ac:dyDescent="0.25">
      <c r="A107" s="1">
        <v>922</v>
      </c>
      <c r="B107" t="s">
        <v>298</v>
      </c>
      <c r="C107" s="1">
        <v>300001905</v>
      </c>
      <c r="D107" t="s">
        <v>387</v>
      </c>
      <c r="E107" s="1">
        <v>11253</v>
      </c>
      <c r="F107" s="1">
        <v>18709</v>
      </c>
      <c r="G107" s="124">
        <v>10.94</v>
      </c>
      <c r="H107" t="str">
        <f t="shared" si="1"/>
        <v>3000019057OZ VITA-C POWER INNER</v>
      </c>
    </row>
    <row r="108" spans="1:8" x14ac:dyDescent="0.25">
      <c r="A108" s="1" t="s">
        <v>175</v>
      </c>
      <c r="B108" t="s">
        <v>299</v>
      </c>
      <c r="C108" s="1">
        <v>300001902</v>
      </c>
      <c r="D108" t="s">
        <v>388</v>
      </c>
      <c r="E108" s="1">
        <v>11254</v>
      </c>
      <c r="F108" s="1">
        <v>18710</v>
      </c>
      <c r="G108" s="124">
        <v>11.27</v>
      </c>
      <c r="H108" t="str">
        <f t="shared" si="1"/>
        <v>3000019027OZ ENERGY DAY INNER</v>
      </c>
    </row>
    <row r="109" spans="1:8" x14ac:dyDescent="0.25">
      <c r="A109" s="1">
        <v>930</v>
      </c>
      <c r="B109" t="s">
        <v>300</v>
      </c>
      <c r="C109" s="1">
        <v>300002273</v>
      </c>
      <c r="D109" t="s">
        <v>389</v>
      </c>
      <c r="E109" s="1">
        <v>11255</v>
      </c>
      <c r="F109" s="1">
        <v>18711</v>
      </c>
      <c r="G109" s="124">
        <v>10.44</v>
      </c>
      <c r="H109" t="str">
        <f t="shared" si="1"/>
        <v>3000022737oz Berries 'n Kale Inner</v>
      </c>
    </row>
    <row r="110" spans="1:8" x14ac:dyDescent="0.25">
      <c r="A110" s="1">
        <v>300000839</v>
      </c>
      <c r="B110" t="s">
        <v>268</v>
      </c>
      <c r="C110" s="1">
        <v>300002268</v>
      </c>
      <c r="D110" t="s">
        <v>136</v>
      </c>
      <c r="E110" s="1">
        <v>11257</v>
      </c>
      <c r="F110" s="1">
        <v>18712</v>
      </c>
      <c r="G110" s="124">
        <v>10.94</v>
      </c>
      <c r="H110" t="str">
        <f t="shared" si="1"/>
        <v>3000022687oz Protein Kick Inner</v>
      </c>
    </row>
    <row r="111" spans="1:8" x14ac:dyDescent="0.25">
      <c r="A111" s="1">
        <v>300000906</v>
      </c>
      <c r="B111" t="s">
        <v>301</v>
      </c>
      <c r="C111" s="1">
        <v>300002269</v>
      </c>
      <c r="D111" t="s">
        <v>274</v>
      </c>
      <c r="E111" s="1">
        <v>11258</v>
      </c>
      <c r="F111" s="1">
        <v>18713</v>
      </c>
      <c r="G111" s="124">
        <v>10.44</v>
      </c>
      <c r="H111" t="str">
        <f t="shared" si="1"/>
        <v>3000022697oz Dream with Dragon Fruit Inner</v>
      </c>
    </row>
    <row r="112" spans="1:8" x14ac:dyDescent="0.25">
      <c r="A112" s="1" t="s">
        <v>188</v>
      </c>
      <c r="B112" t="s">
        <v>302</v>
      </c>
      <c r="C112" s="1">
        <v>300002271</v>
      </c>
      <c r="D112" t="s">
        <v>275</v>
      </c>
      <c r="E112" s="1">
        <v>11259</v>
      </c>
      <c r="F112" s="1">
        <v>18714</v>
      </c>
      <c r="G112" s="124">
        <v>10.44</v>
      </c>
      <c r="H112" t="str">
        <f t="shared" si="1"/>
        <v>3000022717oz Banana, Mango &amp; Berries Inner</v>
      </c>
    </row>
    <row r="113" spans="1:8" x14ac:dyDescent="0.25">
      <c r="A113" s="1" t="s">
        <v>189</v>
      </c>
      <c r="B113" t="s">
        <v>303</v>
      </c>
      <c r="C113" s="1">
        <v>300002272</v>
      </c>
      <c r="D113" t="s">
        <v>312</v>
      </c>
      <c r="E113" s="1">
        <v>11260</v>
      </c>
      <c r="F113" s="1">
        <v>18715</v>
      </c>
      <c r="G113" s="124">
        <v>10.44</v>
      </c>
      <c r="H113" t="str">
        <f t="shared" si="1"/>
        <v>3000022727oz Mixed Berry Oatmeal Inner</v>
      </c>
    </row>
    <row r="114" spans="1:8" x14ac:dyDescent="0.25">
      <c r="A114" s="1">
        <v>300001581</v>
      </c>
      <c r="B114" t="s">
        <v>304</v>
      </c>
      <c r="C114" s="1">
        <v>300002306</v>
      </c>
      <c r="D114" t="s">
        <v>390</v>
      </c>
      <c r="E114" s="1">
        <v>11262</v>
      </c>
      <c r="F114" s="1">
        <v>18716</v>
      </c>
      <c r="G114" s="124">
        <v>58.58</v>
      </c>
      <c r="H114" t="str">
        <f t="shared" si="1"/>
        <v>3000023064-7oz Dole Mix Berry Oatmeal outer</v>
      </c>
    </row>
    <row r="115" spans="1:8" x14ac:dyDescent="0.25">
      <c r="A115" s="1">
        <v>300001585</v>
      </c>
      <c r="B115" t="s">
        <v>305</v>
      </c>
      <c r="C115" s="1">
        <v>300002307</v>
      </c>
      <c r="D115" t="s">
        <v>391</v>
      </c>
      <c r="E115" s="1">
        <v>11263</v>
      </c>
      <c r="F115" s="1">
        <v>18718</v>
      </c>
      <c r="G115" s="124">
        <v>58.58</v>
      </c>
      <c r="H115" t="str">
        <f t="shared" si="1"/>
        <v>3000023074- 7oz Dole Berries n Kale outer</v>
      </c>
    </row>
    <row r="116" spans="1:8" x14ac:dyDescent="0.25">
      <c r="A116" s="1">
        <v>300001754</v>
      </c>
      <c r="B116" t="s">
        <v>306</v>
      </c>
      <c r="C116" s="1" t="s">
        <v>221</v>
      </c>
      <c r="D116" t="s">
        <v>392</v>
      </c>
      <c r="E116" s="1">
        <v>11264</v>
      </c>
      <c r="F116" s="1">
        <v>18719</v>
      </c>
      <c r="G116" s="124">
        <v>62.79</v>
      </c>
      <c r="H116" t="str">
        <f t="shared" si="1"/>
        <v> 3000019004-7OZ DOLE BOOSTED VITA C-OUT</v>
      </c>
    </row>
    <row r="117" spans="1:8" x14ac:dyDescent="0.25">
      <c r="A117" s="1" t="s">
        <v>190</v>
      </c>
      <c r="B117" t="s">
        <v>307</v>
      </c>
      <c r="C117" s="1">
        <v>300002256</v>
      </c>
      <c r="D117" t="s">
        <v>393</v>
      </c>
      <c r="E117" s="1">
        <v>11265</v>
      </c>
      <c r="F117" s="1">
        <v>18720</v>
      </c>
      <c r="G117" s="124">
        <v>62.79</v>
      </c>
      <c r="H117" t="str">
        <f t="shared" si="1"/>
        <v>3000022564-7 OZ DOLE BERRY SPARK BIB OUTER</v>
      </c>
    </row>
    <row r="118" spans="1:8" x14ac:dyDescent="0.25">
      <c r="A118" s="1" t="s">
        <v>191</v>
      </c>
      <c r="B118" t="s">
        <v>308</v>
      </c>
      <c r="C118" s="1">
        <v>300002303</v>
      </c>
      <c r="D118" t="s">
        <v>394</v>
      </c>
      <c r="E118" s="1">
        <v>11261</v>
      </c>
      <c r="F118" s="1">
        <v>18721</v>
      </c>
      <c r="G118" s="124">
        <v>61.39</v>
      </c>
      <c r="H118" t="str">
        <f t="shared" si="1"/>
        <v>3000023034-7oz  Dole Protein Kick outer</v>
      </c>
    </row>
    <row r="119" spans="1:8" x14ac:dyDescent="0.25">
      <c r="A119" s="1">
        <v>932</v>
      </c>
      <c r="B119" t="s">
        <v>309</v>
      </c>
      <c r="C119" s="1" t="s">
        <v>158</v>
      </c>
      <c r="D119" t="s">
        <v>243</v>
      </c>
      <c r="E119" s="1">
        <v>11268</v>
      </c>
      <c r="F119" s="1">
        <v>18732</v>
      </c>
      <c r="G119" s="124">
        <v>40</v>
      </c>
      <c r="H119" t="str">
        <f t="shared" si="1"/>
        <v>19800900-01PEAK FRESH 3CT ROMAINE</v>
      </c>
    </row>
    <row r="120" spans="1:8" x14ac:dyDescent="0.25">
      <c r="A120" s="1">
        <v>300002303</v>
      </c>
      <c r="B120" t="s">
        <v>310</v>
      </c>
      <c r="C120" s="1" t="s">
        <v>400</v>
      </c>
      <c r="D120" t="s">
        <v>401</v>
      </c>
      <c r="E120" s="1">
        <v>11248</v>
      </c>
      <c r="F120" s="1">
        <v>18775</v>
      </c>
      <c r="G120" s="124">
        <v>43.72</v>
      </c>
      <c r="H120" t="str">
        <f t="shared" si="1"/>
        <v>62021-11T&amp;A 6CT ROM HRTS NT WT ST (DESTINY)</v>
      </c>
    </row>
    <row r="121" spans="1:8" x14ac:dyDescent="0.25">
      <c r="A121" s="1">
        <v>300002306</v>
      </c>
      <c r="B121" t="s">
        <v>311</v>
      </c>
      <c r="C121" s="1">
        <v>0</v>
      </c>
      <c r="D121" t="s">
        <v>395</v>
      </c>
      <c r="E121" s="1">
        <v>11241</v>
      </c>
      <c r="F121" s="1">
        <v>18817</v>
      </c>
      <c r="G121" s="124">
        <v>19.760000000000002</v>
      </c>
      <c r="H121" t="str">
        <f t="shared" si="1"/>
        <v>0 Field Fresh Icbg Lettuce Bil</v>
      </c>
    </row>
    <row r="122" spans="1:8" x14ac:dyDescent="0.25">
      <c r="A122" s="1">
        <v>300002272</v>
      </c>
      <c r="B122" t="s">
        <v>312</v>
      </c>
      <c r="C122" s="1">
        <v>300002360</v>
      </c>
      <c r="D122" t="s">
        <v>396</v>
      </c>
      <c r="E122" s="1">
        <v>11251</v>
      </c>
      <c r="F122" s="1">
        <v>0</v>
      </c>
      <c r="G122" s="124">
        <v>48.64</v>
      </c>
      <c r="H122" t="str">
        <f t="shared" si="1"/>
        <v>30000236048oz Giant Eagle Triple Family Size</v>
      </c>
    </row>
    <row r="123" spans="1:8" x14ac:dyDescent="0.25">
      <c r="A123" s="1">
        <v>1586</v>
      </c>
      <c r="B123" t="s">
        <v>313</v>
      </c>
      <c r="C123" s="1">
        <v>300001685</v>
      </c>
      <c r="D123" t="s">
        <v>397</v>
      </c>
      <c r="E123" s="1">
        <v>11272</v>
      </c>
      <c r="F123" s="1">
        <v>18764</v>
      </c>
      <c r="G123" s="124">
        <v>68.59</v>
      </c>
      <c r="H123" t="str">
        <f t="shared" si="1"/>
        <v>3000016856lb Dole Mixed Fruit</v>
      </c>
    </row>
    <row r="124" spans="1:8" ht="26.25" x14ac:dyDescent="0.4">
      <c r="C124" s="128">
        <v>5022</v>
      </c>
      <c r="D124" s="128" t="s">
        <v>402</v>
      </c>
      <c r="E124" s="1">
        <v>11286</v>
      </c>
      <c r="F124" s="1">
        <v>18837</v>
      </c>
      <c r="G124" s="124">
        <v>38.5</v>
      </c>
      <c r="H124" t="str">
        <f t="shared" si="1"/>
        <v>5022Church Bross 2ct Lett-Sams Club</v>
      </c>
    </row>
    <row r="125" spans="1:8" ht="26.25" x14ac:dyDescent="0.4">
      <c r="C125" s="128">
        <v>958</v>
      </c>
      <c r="D125" s="128" t="s">
        <v>223</v>
      </c>
      <c r="E125" s="1">
        <v>11300</v>
      </c>
      <c r="F125" s="1">
        <v>18869</v>
      </c>
      <c r="G125" s="124">
        <v>40</v>
      </c>
      <c r="H125" t="str">
        <f t="shared" si="1"/>
        <v>958OM 3ct Rom Hrt USA w-Zip 18oz</v>
      </c>
    </row>
    <row r="126" spans="1:8" ht="26.25" x14ac:dyDescent="0.4">
      <c r="C126" s="127" t="s">
        <v>426</v>
      </c>
      <c r="D126" s="128" t="s">
        <v>403</v>
      </c>
      <c r="E126" s="1">
        <v>11333</v>
      </c>
      <c r="F126" s="1">
        <v>19015</v>
      </c>
      <c r="G126" s="124">
        <v>94.77</v>
      </c>
      <c r="H126" t="str">
        <f t="shared" si="1"/>
        <v>61955-11GIANT EAGLE 2Ct Atsn Rom SUP</v>
      </c>
    </row>
    <row r="127" spans="1:8" ht="26.25" x14ac:dyDescent="0.4">
      <c r="C127" s="127" t="s">
        <v>427</v>
      </c>
      <c r="D127" s="128" t="s">
        <v>285</v>
      </c>
      <c r="E127" s="1">
        <v>11350</v>
      </c>
      <c r="F127" s="1">
        <v>19032</v>
      </c>
      <c r="G127" s="124">
        <v>40.659999999999997</v>
      </c>
      <c r="H127" t="str">
        <f t="shared" si="1"/>
        <v> 9801224TFR Org Marketside Rom Hrts US</v>
      </c>
    </row>
    <row r="128" spans="1:8" ht="26.25" x14ac:dyDescent="0.4">
      <c r="C128" s="127" t="s">
        <v>155</v>
      </c>
      <c r="D128" s="128" t="s">
        <v>233</v>
      </c>
      <c r="E128" s="1">
        <v>11357</v>
      </c>
      <c r="F128" s="1">
        <v>19074</v>
      </c>
      <c r="G128" s="124">
        <v>40</v>
      </c>
      <c r="H128" t="str">
        <f t="shared" si="1"/>
        <v>61822-12T&amp;A Org 3ct Rom Hrts - BI</v>
      </c>
    </row>
    <row r="129" spans="3:11" ht="26.25" x14ac:dyDescent="0.4">
      <c r="C129" s="127" t="s">
        <v>424</v>
      </c>
      <c r="D129" s="128" t="s">
        <v>147</v>
      </c>
      <c r="E129" s="1">
        <v>11355</v>
      </c>
      <c r="F129" s="1">
        <v>19076</v>
      </c>
      <c r="G129" s="124">
        <v>40</v>
      </c>
      <c r="H129" t="str">
        <f t="shared" si="1"/>
        <v>61791-11 ALDIS 3ct RomaineJumbo WtStmnt</v>
      </c>
    </row>
    <row r="130" spans="3:11" ht="26.25" x14ac:dyDescent="0.4">
      <c r="C130" s="128" t="s">
        <v>425</v>
      </c>
      <c r="D130" s="128" t="s">
        <v>404</v>
      </c>
      <c r="E130" s="1">
        <v>11366</v>
      </c>
      <c r="F130" s="1">
        <v>19145</v>
      </c>
      <c r="G130" s="124">
        <v>136.58000000000001</v>
      </c>
      <c r="H130" t="str">
        <f t="shared" si="1"/>
        <v>CF-002NEW COKE FARM 25#</v>
      </c>
    </row>
    <row r="131" spans="3:11" ht="26.25" x14ac:dyDescent="0.4">
      <c r="C131" s="128">
        <v>129259</v>
      </c>
      <c r="D131" s="128" t="s">
        <v>405</v>
      </c>
      <c r="E131" s="1">
        <v>11336</v>
      </c>
      <c r="F131" s="1">
        <v>19130</v>
      </c>
      <c r="G131" s="124">
        <v>14.59</v>
      </c>
      <c r="H131" t="str">
        <f t="shared" si="1"/>
        <v>1292591LB WHOLESOME PANTRY ORG RS CF (DESTINY)</v>
      </c>
    </row>
    <row r="132" spans="3:11" ht="26.25" x14ac:dyDescent="0.4">
      <c r="C132" s="128" t="s">
        <v>428</v>
      </c>
      <c r="D132" s="128" t="s">
        <v>406</v>
      </c>
      <c r="E132" s="1">
        <v>11294</v>
      </c>
      <c r="F132" s="1">
        <v>19133</v>
      </c>
      <c r="G132" s="124">
        <v>17.809999999999999</v>
      </c>
      <c r="H132" t="str">
        <f t="shared" si="1"/>
        <v>97886-12LB PRESIDENTS CHOICE ORG CAN</v>
      </c>
    </row>
    <row r="133" spans="3:11" ht="26.25" x14ac:dyDescent="0.4">
      <c r="C133" s="128">
        <v>300000705</v>
      </c>
      <c r="D133" s="128" t="s">
        <v>407</v>
      </c>
      <c r="E133" s="1">
        <v>11365</v>
      </c>
      <c r="F133" s="1">
        <v>19098</v>
      </c>
      <c r="G133" s="124">
        <v>68.239999999999995</v>
      </c>
      <c r="H133" t="str">
        <f t="shared" si="1"/>
        <v>3000007055-8 OZ DOLE MANGO CHUNKS OUTER</v>
      </c>
    </row>
    <row r="134" spans="3:11" ht="26.25" x14ac:dyDescent="0.4">
      <c r="C134" s="128">
        <v>300000794</v>
      </c>
      <c r="D134" s="128" t="s">
        <v>408</v>
      </c>
      <c r="E134" s="1">
        <v>11367</v>
      </c>
      <c r="F134" s="1">
        <v>19099</v>
      </c>
      <c r="G134" s="124">
        <v>11.54</v>
      </c>
      <c r="H134" t="str">
        <f t="shared" si="1"/>
        <v>3000007948OZ DOLE MANGO CHUNK INNER</v>
      </c>
      <c r="K134" s="126"/>
    </row>
    <row r="135" spans="3:11" ht="26.25" x14ac:dyDescent="0.4">
      <c r="C135" s="128" t="s">
        <v>429</v>
      </c>
      <c r="D135" s="128" t="s">
        <v>409</v>
      </c>
      <c r="E135" s="1">
        <v>11378</v>
      </c>
      <c r="F135" s="1">
        <v>19142</v>
      </c>
      <c r="G135" s="124">
        <v>40</v>
      </c>
      <c r="H135" t="str">
        <f t="shared" si="1"/>
        <v>61370-17 T&amp;A 3CT  JUMBO ROMAINE SHORT</v>
      </c>
    </row>
    <row r="136" spans="3:11" ht="26.25" x14ac:dyDescent="0.4">
      <c r="C136" s="128" t="s">
        <v>137</v>
      </c>
      <c r="D136" s="128" t="s">
        <v>410</v>
      </c>
      <c r="E136" s="1">
        <v>11379</v>
      </c>
      <c r="F136" s="1">
        <v>19150</v>
      </c>
      <c r="G136" s="124">
        <v>40</v>
      </c>
      <c r="H136" t="str">
        <f t="shared" si="1"/>
        <v>61370-17T&amp;A 3CT JUMBO ROMAINE SHORT</v>
      </c>
    </row>
    <row r="137" spans="3:11" ht="26.25" x14ac:dyDescent="0.4">
      <c r="C137" s="128" t="s">
        <v>196</v>
      </c>
      <c r="D137" s="128" t="s">
        <v>143</v>
      </c>
      <c r="E137" s="1">
        <v>11380</v>
      </c>
      <c r="F137" s="1">
        <v>19151</v>
      </c>
      <c r="G137" s="124">
        <v>40.56</v>
      </c>
      <c r="H137" t="str">
        <f t="shared" si="1"/>
        <v> 61973-11ALDI 3CT Jumbo Romaine SHORT</v>
      </c>
    </row>
    <row r="138" spans="3:11" ht="26.25" x14ac:dyDescent="0.4">
      <c r="C138" s="128" t="s">
        <v>430</v>
      </c>
      <c r="D138" s="128" t="s">
        <v>411</v>
      </c>
      <c r="E138" s="1">
        <v>11320</v>
      </c>
      <c r="F138" s="1">
        <v>19136</v>
      </c>
      <c r="G138" s="124">
        <v>47.67</v>
      </c>
      <c r="H138" t="str">
        <f t="shared" si="1"/>
        <v>109124-15LB SAFEWAY SIGNATURE FARMS WK (DESTINY)</v>
      </c>
    </row>
    <row r="139" spans="3:11" ht="26.25" x14ac:dyDescent="0.4">
      <c r="C139" s="128" t="s">
        <v>431</v>
      </c>
      <c r="D139" s="128" t="s">
        <v>412</v>
      </c>
      <c r="E139" s="1">
        <v>11385</v>
      </c>
      <c r="F139" s="1">
        <v>19226</v>
      </c>
      <c r="G139" s="124">
        <v>65.34</v>
      </c>
      <c r="H139" t="str">
        <f t="shared" si="1"/>
        <v>300000859 58oz Dole Slice Strawberry - Banana outer.</v>
      </c>
    </row>
    <row r="140" spans="3:11" ht="26.25" x14ac:dyDescent="0.4">
      <c r="C140" s="128">
        <v>300001581</v>
      </c>
      <c r="D140" s="128" t="s">
        <v>304</v>
      </c>
      <c r="E140" s="1">
        <v>11396</v>
      </c>
      <c r="F140" s="1">
        <v>19229</v>
      </c>
      <c r="G140" s="124">
        <v>63.66</v>
      </c>
      <c r="H140" t="str">
        <f t="shared" si="1"/>
        <v>3000015815lb Dole Diced Strawberries</v>
      </c>
    </row>
    <row r="141" spans="3:11" ht="26.25" x14ac:dyDescent="0.4">
      <c r="C141" s="128" t="s">
        <v>432</v>
      </c>
      <c r="D141" s="128" t="s">
        <v>413</v>
      </c>
      <c r="E141" s="1">
        <v>11384</v>
      </c>
      <c r="F141" s="1">
        <v>19232</v>
      </c>
      <c r="G141" s="124">
        <v>26.99</v>
      </c>
      <c r="H141" t="str">
        <f t="shared" si="1"/>
        <v>B-85BBoskovich 2lb Grn Onion 350 OTR</v>
      </c>
    </row>
    <row r="142" spans="3:11" ht="26.25" x14ac:dyDescent="0.4">
      <c r="C142" s="128">
        <v>300000867</v>
      </c>
      <c r="D142" s="128" t="s">
        <v>414</v>
      </c>
      <c r="E142" s="1">
        <v>11395</v>
      </c>
      <c r="F142" s="1">
        <v>19234</v>
      </c>
      <c r="G142" s="124">
        <v>64.819999999999993</v>
      </c>
      <c r="H142" t="str">
        <f t="shared" si="1"/>
        <v>3000008675lb Dole Mango Chunks</v>
      </c>
    </row>
    <row r="143" spans="3:11" ht="26.25" x14ac:dyDescent="0.4">
      <c r="C143" s="128" t="s">
        <v>433</v>
      </c>
      <c r="D143" s="128" t="s">
        <v>415</v>
      </c>
      <c r="E143" s="1">
        <v>11394</v>
      </c>
      <c r="F143" s="1">
        <v>19235</v>
      </c>
      <c r="G143" s="124">
        <v>62.79</v>
      </c>
      <c r="H143" t="str">
        <f t="shared" si="1"/>
        <v> 3000019014-7OZ DOLE BSTD ENERGIZE-OUT</v>
      </c>
    </row>
    <row r="144" spans="3:11" ht="26.25" x14ac:dyDescent="0.4">
      <c r="C144" s="128" t="s">
        <v>434</v>
      </c>
      <c r="D144" s="128" t="s">
        <v>416</v>
      </c>
      <c r="E144" s="1">
        <v>11393</v>
      </c>
      <c r="F144" s="1">
        <v>19240</v>
      </c>
      <c r="G144" s="124">
        <v>58.58</v>
      </c>
      <c r="H144" t="str">
        <f t="shared" si="1"/>
        <v>300002305 4-7oz Dole Banana Mango Berry Bib outer</v>
      </c>
    </row>
    <row r="145" spans="3:8" ht="26.25" x14ac:dyDescent="0.4">
      <c r="C145" s="128">
        <v>300000728</v>
      </c>
      <c r="D145" s="128" t="s">
        <v>417</v>
      </c>
      <c r="E145" s="1">
        <v>11386</v>
      </c>
      <c r="F145" s="1">
        <v>19238</v>
      </c>
      <c r="G145" s="124">
        <v>10.19</v>
      </c>
      <c r="H145" t="str">
        <f t="shared" si="1"/>
        <v>3000007288oz Dole Slice Strawberry - Banana</v>
      </c>
    </row>
    <row r="146" spans="3:8" ht="26.25" x14ac:dyDescent="0.4">
      <c r="C146" s="128">
        <v>300001670</v>
      </c>
      <c r="D146" s="128" t="s">
        <v>418</v>
      </c>
      <c r="E146" s="1">
        <v>11307</v>
      </c>
      <c r="F146" s="1">
        <v>18889</v>
      </c>
      <c r="G146" s="124">
        <v>66.09</v>
      </c>
      <c r="H146" t="str">
        <f t="shared" si="1"/>
        <v>3000016705lb Member Select wh Strawberry</v>
      </c>
    </row>
    <row r="147" spans="3:8" ht="26.25" x14ac:dyDescent="0.4">
      <c r="C147" s="128" t="s">
        <v>133</v>
      </c>
      <c r="D147" s="128" t="s">
        <v>134</v>
      </c>
      <c r="E147" s="1">
        <v>11348</v>
      </c>
      <c r="F147" s="1">
        <v>18663</v>
      </c>
      <c r="G147" s="124">
        <v>62.75</v>
      </c>
      <c r="H147" t="str">
        <f t="shared" si="1"/>
        <v>9502212-DTFR 6ct Rom Hrt-Costco USA</v>
      </c>
    </row>
    <row r="148" spans="3:8" ht="26.25" x14ac:dyDescent="0.4">
      <c r="C148" s="128" t="s">
        <v>435</v>
      </c>
      <c r="D148" s="128" t="s">
        <v>419</v>
      </c>
      <c r="E148" s="1">
        <v>11423</v>
      </c>
      <c r="F148" s="1">
        <v>19364</v>
      </c>
      <c r="G148" s="124">
        <v>16.13</v>
      </c>
      <c r="H148" t="str">
        <f t="shared" si="1"/>
        <v> 9801608EBF OrgCeleryHrts Flip Bag USA</v>
      </c>
    </row>
    <row r="149" spans="3:8" ht="26.25" x14ac:dyDescent="0.4">
      <c r="C149" s="128" t="s">
        <v>84</v>
      </c>
      <c r="D149" s="128" t="s">
        <v>144</v>
      </c>
      <c r="E149" s="1">
        <v>11424</v>
      </c>
      <c r="F149" s="1">
        <v>19296</v>
      </c>
      <c r="G149" s="124">
        <v>31.3</v>
      </c>
      <c r="H149" t="str">
        <f t="shared" si="1"/>
        <v>61245-12TJ's 2ct Celery HRTS-ZIP</v>
      </c>
    </row>
    <row r="150" spans="3:8" ht="26.25" x14ac:dyDescent="0.4">
      <c r="C150" s="128">
        <v>9801608</v>
      </c>
      <c r="D150" s="128" t="s">
        <v>419</v>
      </c>
      <c r="E150" s="1">
        <v>11369</v>
      </c>
      <c r="F150" s="1">
        <v>19336</v>
      </c>
      <c r="G150" s="124">
        <v>16.78</v>
      </c>
      <c r="H150" t="str">
        <f t="shared" si="1"/>
        <v>9801608EBF OrgCeleryHrts Flip Bag USA</v>
      </c>
    </row>
    <row r="151" spans="3:8" ht="26.25" x14ac:dyDescent="0.4">
      <c r="C151" s="128" t="s">
        <v>84</v>
      </c>
      <c r="D151" s="128" t="s">
        <v>144</v>
      </c>
      <c r="E151" s="1">
        <v>11402</v>
      </c>
      <c r="F151" s="1">
        <v>19224</v>
      </c>
      <c r="G151" s="124">
        <v>31.41</v>
      </c>
      <c r="H151" t="str">
        <f t="shared" si="1"/>
        <v>61245-12TJ's 2ct Celery HRTS-ZIP</v>
      </c>
    </row>
    <row r="152" spans="3:8" ht="26.25" x14ac:dyDescent="0.4">
      <c r="C152" s="128" t="s">
        <v>436</v>
      </c>
      <c r="D152" s="128" t="s">
        <v>420</v>
      </c>
      <c r="E152" s="1">
        <v>11122</v>
      </c>
      <c r="F152" s="1">
        <v>19396</v>
      </c>
      <c r="G152" s="124">
        <v>54.93</v>
      </c>
      <c r="H152" t="str">
        <f t="shared" si="1"/>
        <v>94822-15LB WEGMANS ORG WKT</v>
      </c>
    </row>
    <row r="153" spans="3:8" ht="26.25" x14ac:dyDescent="0.4">
      <c r="C153" s="128">
        <v>300002304</v>
      </c>
      <c r="D153" s="128" t="s">
        <v>421</v>
      </c>
      <c r="E153" s="1">
        <v>11325</v>
      </c>
      <c r="F153" s="1">
        <v>18890</v>
      </c>
      <c r="G153" s="124">
        <v>58.58</v>
      </c>
      <c r="H153" t="str">
        <f t="shared" ref="H153:H165" si="2">_xlfn.CONCAT(C153,D153)</f>
        <v>3000023044/7oz Dream/Dragon FRT OUTER</v>
      </c>
    </row>
    <row r="154" spans="3:8" ht="26.25" x14ac:dyDescent="0.4">
      <c r="C154" s="128" t="s">
        <v>181</v>
      </c>
      <c r="D154" s="128" t="s">
        <v>283</v>
      </c>
      <c r="E154" s="1">
        <v>11443</v>
      </c>
      <c r="F154" s="1">
        <v>19510</v>
      </c>
      <c r="G154" s="124">
        <v>46.64</v>
      </c>
      <c r="H154" t="str">
        <f t="shared" si="2"/>
        <v>002-40-56065-02Wild Hrvst 3ct O Rom Hrt US</v>
      </c>
    </row>
    <row r="155" spans="3:8" ht="26.25" x14ac:dyDescent="0.4">
      <c r="C155" s="128">
        <v>930</v>
      </c>
      <c r="D155" s="128" t="s">
        <v>300</v>
      </c>
      <c r="E155" s="1">
        <v>11445</v>
      </c>
      <c r="F155" s="1">
        <v>19480</v>
      </c>
      <c r="G155" s="124">
        <v>40</v>
      </c>
      <c r="H155" t="str">
        <f t="shared" si="2"/>
        <v>930OM 3ct Rom Hrt BI - NO ZIP</v>
      </c>
    </row>
    <row r="156" spans="3:8" ht="26.25" x14ac:dyDescent="0.4">
      <c r="C156" s="128" t="s">
        <v>163</v>
      </c>
      <c r="D156" s="128" t="s">
        <v>290</v>
      </c>
      <c r="E156" s="1">
        <v>11446</v>
      </c>
      <c r="F156" s="1">
        <v>19477</v>
      </c>
      <c r="G156" s="124">
        <v>40</v>
      </c>
      <c r="H156" t="str">
        <f t="shared" si="2"/>
        <v>002-40-55032-01Dole 23oz Romaine USA w/Zipper</v>
      </c>
    </row>
    <row r="157" spans="3:8" ht="26.25" x14ac:dyDescent="0.4">
      <c r="C157" s="128">
        <v>1351</v>
      </c>
      <c r="D157" s="128" t="s">
        <v>422</v>
      </c>
      <c r="E157" s="1">
        <v>11374</v>
      </c>
      <c r="F157" s="1">
        <v>19465</v>
      </c>
      <c r="G157" s="124">
        <v>40</v>
      </c>
      <c r="H157" t="str">
        <f t="shared" si="2"/>
        <v>1351CHURCH BROS 3CT ROMAINE</v>
      </c>
    </row>
    <row r="158" spans="3:8" ht="26.25" x14ac:dyDescent="0.4">
      <c r="C158" s="128">
        <v>129261</v>
      </c>
      <c r="D158" s="128" t="s">
        <v>423</v>
      </c>
      <c r="E158" s="1">
        <v>11213</v>
      </c>
      <c r="F158" s="1">
        <v>19463</v>
      </c>
      <c r="G158" s="124">
        <v>18.37</v>
      </c>
      <c r="H158" t="str">
        <f t="shared" si="2"/>
        <v>1292612LB WHOLSOME PANTRY ORG RS CF (DESTINY)</v>
      </c>
    </row>
    <row r="159" spans="3:8" ht="26.25" x14ac:dyDescent="0.4">
      <c r="C159" s="128">
        <v>1314</v>
      </c>
      <c r="D159" s="128" t="s">
        <v>235</v>
      </c>
      <c r="E159" s="1">
        <v>10865</v>
      </c>
      <c r="F159" s="1">
        <v>17291</v>
      </c>
      <c r="G159" s="124">
        <v>19.239999999999998</v>
      </c>
      <c r="H159" t="str">
        <f t="shared" si="2"/>
        <v>1314Church Bros Cauliflower</v>
      </c>
    </row>
    <row r="160" spans="3:8" ht="26.25" x14ac:dyDescent="0.4">
      <c r="C160" s="128">
        <v>300001581</v>
      </c>
      <c r="D160" s="128" t="s">
        <v>304</v>
      </c>
      <c r="E160" s="1">
        <v>10985</v>
      </c>
      <c r="F160" s="1">
        <v>17740</v>
      </c>
      <c r="G160" s="124">
        <v>62.44</v>
      </c>
      <c r="H160" t="str">
        <f t="shared" si="2"/>
        <v>3000015815lb Dole Diced Strawberries</v>
      </c>
    </row>
    <row r="161" spans="3:8" ht="26.25" x14ac:dyDescent="0.4">
      <c r="C161" s="128" t="s">
        <v>428</v>
      </c>
      <c r="D161" s="128" t="s">
        <v>406</v>
      </c>
      <c r="E161" s="1">
        <v>11294</v>
      </c>
      <c r="F161" s="1">
        <v>19133</v>
      </c>
      <c r="G161" s="124">
        <v>17.809999999999999</v>
      </c>
      <c r="H161" t="str">
        <f t="shared" si="2"/>
        <v>97886-12LB PRESIDENTS CHOICE ORG CAN</v>
      </c>
    </row>
    <row r="162" spans="3:8" ht="26.25" x14ac:dyDescent="0.4">
      <c r="C162" s="128" t="s">
        <v>171</v>
      </c>
      <c r="D162" s="128" t="s">
        <v>261</v>
      </c>
      <c r="E162" s="1">
        <v>11515</v>
      </c>
      <c r="F162" s="1">
        <v>19673</v>
      </c>
      <c r="G162" s="124">
        <v>19.43</v>
      </c>
      <c r="H162" t="str">
        <f t="shared" si="2"/>
        <v>CF-003-2COKE FARMS ORG CAULIFLOWER</v>
      </c>
    </row>
    <row r="163" spans="3:8" ht="26.25" x14ac:dyDescent="0.4">
      <c r="C163" s="128" t="s">
        <v>133</v>
      </c>
      <c r="D163" s="128" t="s">
        <v>267</v>
      </c>
      <c r="E163" s="1">
        <v>11548</v>
      </c>
      <c r="F163" s="1">
        <v>19799</v>
      </c>
      <c r="G163" s="124">
        <v>64.75</v>
      </c>
      <c r="H163" t="str">
        <f t="shared" si="2"/>
        <v>9502212-DTF 6CT ROMAINE COSTCO USA WITH H2R LOGO</v>
      </c>
    </row>
    <row r="164" spans="3:8" ht="26.25" x14ac:dyDescent="0.4">
      <c r="C164" s="130" t="s">
        <v>438</v>
      </c>
      <c r="D164" s="129" t="s">
        <v>437</v>
      </c>
      <c r="E164" s="1">
        <v>11609</v>
      </c>
      <c r="F164" s="1">
        <v>20098</v>
      </c>
      <c r="G164" s="124">
        <v>40</v>
      </c>
      <c r="H164" t="str">
        <f t="shared" si="2"/>
        <v>0932 GOODNGATHER 3CT</v>
      </c>
    </row>
    <row r="165" spans="3:8" ht="26.25" x14ac:dyDescent="0.4">
      <c r="C165" s="128">
        <v>930</v>
      </c>
      <c r="D165" s="128" t="s">
        <v>239</v>
      </c>
      <c r="E165" s="1">
        <v>11455</v>
      </c>
      <c r="F165" s="1">
        <v>19460</v>
      </c>
      <c r="G165" s="124">
        <v>22.84</v>
      </c>
      <c r="H165" t="str">
        <f t="shared" si="2"/>
        <v>930OM 3CT NOZIP BIL (DESTINY)</v>
      </c>
    </row>
    <row r="166" spans="3:8" x14ac:dyDescent="0.25">
      <c r="C166" s="1" t="s">
        <v>439</v>
      </c>
      <c r="D166" t="s">
        <v>440</v>
      </c>
      <c r="E166" s="1">
        <v>11580</v>
      </c>
      <c r="F166" s="1">
        <v>20199</v>
      </c>
      <c r="G166" s="124">
        <v>35.549999999999997</v>
      </c>
      <c r="H166" t="str">
        <f t="shared" ref="H166:H229" si="3">_xlfn.CONCAT(C166,D166)</f>
        <v>5CCBPW25lb Costco Creamers Sunburst Sunburst</v>
      </c>
    </row>
    <row r="167" spans="3:8" x14ac:dyDescent="0.25">
      <c r="C167">
        <v>300002358</v>
      </c>
      <c r="D167" t="s">
        <v>441</v>
      </c>
      <c r="E167" s="1">
        <v>11460</v>
      </c>
      <c r="F167" s="1">
        <v>20060</v>
      </c>
      <c r="G167" s="124">
        <v>48.64</v>
      </c>
      <c r="H167" t="str">
        <f t="shared" si="3"/>
        <v>30000235848oz Giant Eagle SL Strawberry</v>
      </c>
    </row>
    <row r="168" spans="3:8" ht="26.25" x14ac:dyDescent="0.4">
      <c r="C168" s="128">
        <v>300002362</v>
      </c>
      <c r="D168" s="129" t="s">
        <v>442</v>
      </c>
      <c r="E168" s="1">
        <v>11462</v>
      </c>
      <c r="F168" s="1">
        <v>20058</v>
      </c>
      <c r="G168" s="124">
        <v>48.64</v>
      </c>
      <c r="H168" t="str">
        <f t="shared" si="3"/>
        <v>300002362 48OZ GIANT EAGLE BLUEBERRY (DESTINY)</v>
      </c>
    </row>
    <row r="169" spans="3:8" ht="26.25" x14ac:dyDescent="0.4">
      <c r="C169" s="128">
        <v>300002360</v>
      </c>
      <c r="D169" s="129" t="s">
        <v>443</v>
      </c>
      <c r="E169" s="1">
        <v>11672</v>
      </c>
      <c r="F169" s="1">
        <v>20233</v>
      </c>
      <c r="G169" s="124">
        <v>48.64</v>
      </c>
      <c r="H169" t="str">
        <f t="shared" si="3"/>
        <v>300002360 48OZ GIANT EAGLE TRIPLE BERRIES (DESTINY)</v>
      </c>
    </row>
    <row r="170" spans="3:8" ht="26.25" x14ac:dyDescent="0.4">
      <c r="C170" s="128" t="s">
        <v>172</v>
      </c>
      <c r="D170" s="129" t="s">
        <v>444</v>
      </c>
      <c r="E170" s="1">
        <v>11683</v>
      </c>
      <c r="F170" s="1">
        <v>20214</v>
      </c>
      <c r="G170" s="124">
        <v>35.549999999999997</v>
      </c>
      <c r="H170" t="str">
        <f t="shared" si="3"/>
        <v>5TSSAMSPP 5LB TASTEFUL SELECTIOS SAMS PERFECT PAIR WICKET (DESTINY)</v>
      </c>
    </row>
    <row r="171" spans="3:8" ht="26.25" x14ac:dyDescent="0.4">
      <c r="C171" s="128">
        <v>86881</v>
      </c>
      <c r="D171" s="129" t="s">
        <v>445</v>
      </c>
      <c r="E171" s="1">
        <v>11421</v>
      </c>
      <c r="F171" s="1">
        <v>20436</v>
      </c>
      <c r="G171" s="124">
        <v>10.83</v>
      </c>
      <c r="H171" t="str">
        <f t="shared" si="3"/>
        <v>86881BAG, 12OZ WEGMANS PETITE MW ORG</v>
      </c>
    </row>
    <row r="172" spans="3:8" ht="26.25" x14ac:dyDescent="0.4">
      <c r="C172" s="128">
        <v>33625</v>
      </c>
      <c r="D172" s="128" t="s">
        <v>446</v>
      </c>
      <c r="E172" s="1">
        <v>11415</v>
      </c>
      <c r="F172" s="1">
        <v>20437</v>
      </c>
      <c r="G172" s="124">
        <v>17.23</v>
      </c>
      <c r="H172" t="str">
        <f t="shared" si="3"/>
        <v>33625BAG 12OZ PUBLIX MW LAM PERF´D</v>
      </c>
    </row>
    <row r="173" spans="3:8" ht="26.25" x14ac:dyDescent="0.4">
      <c r="C173" s="128">
        <v>300001685</v>
      </c>
      <c r="D173" s="128" t="s">
        <v>447</v>
      </c>
      <c r="E173" s="1">
        <v>11565</v>
      </c>
      <c r="F173" s="1">
        <v>19933</v>
      </c>
      <c r="G173" s="124">
        <v>67.349999999999994</v>
      </c>
      <c r="H173" t="str">
        <f t="shared" si="3"/>
        <v>3000016856LB DOLE MIXED FRUIT</v>
      </c>
    </row>
    <row r="174" spans="3:8" ht="26.25" x14ac:dyDescent="0.4">
      <c r="C174" s="128">
        <v>300001782</v>
      </c>
      <c r="D174" s="128" t="s">
        <v>448</v>
      </c>
      <c r="E174" s="1">
        <v>11528</v>
      </c>
      <c r="F174" s="1">
        <v>19880</v>
      </c>
      <c r="G174" s="124">
        <v>68.52</v>
      </c>
      <c r="H174" t="str">
        <f t="shared" si="3"/>
        <v>300001782 5LB DOLE MIXED FRUIT</v>
      </c>
    </row>
    <row r="175" spans="3:8" ht="26.25" x14ac:dyDescent="0.4">
      <c r="C175" s="128">
        <v>300000869</v>
      </c>
      <c r="D175" s="128" t="s">
        <v>449</v>
      </c>
      <c r="E175" s="1">
        <v>11694</v>
      </c>
      <c r="F175" s="1">
        <v>20326</v>
      </c>
      <c r="G175" s="124">
        <v>66.09</v>
      </c>
      <c r="H175" t="str">
        <f t="shared" si="3"/>
        <v>300000869 5LB DOLE MIXED BERRIES</v>
      </c>
    </row>
    <row r="176" spans="3:8" ht="26.25" x14ac:dyDescent="0.4">
      <c r="C176" s="128">
        <v>300001482</v>
      </c>
      <c r="D176" s="128" t="s">
        <v>450</v>
      </c>
      <c r="E176" s="1">
        <v>11693</v>
      </c>
      <c r="F176" s="1">
        <v>20327</v>
      </c>
      <c r="G176" s="124">
        <v>60.18</v>
      </c>
      <c r="H176" t="str">
        <f t="shared" si="3"/>
        <v>300001482 5LB CHEF READY CUBED MANGO</v>
      </c>
    </row>
    <row r="177" spans="3:8" ht="26.25" x14ac:dyDescent="0.4">
      <c r="C177" s="128">
        <v>9801866</v>
      </c>
      <c r="D177" s="128" t="s">
        <v>451</v>
      </c>
      <c r="E177" s="1">
        <v>11551</v>
      </c>
      <c r="F177" s="1">
        <v>20213</v>
      </c>
      <c r="G177" s="124">
        <v>20.27</v>
      </c>
      <c r="H177" t="str">
        <f t="shared" si="3"/>
        <v>9801866EBF ORGANIC CELERY SLEEVE - USA</v>
      </c>
    </row>
    <row r="178" spans="3:8" ht="26.25" x14ac:dyDescent="0.4">
      <c r="C178" s="128">
        <v>9801863</v>
      </c>
      <c r="D178" s="128" t="s">
        <v>452</v>
      </c>
      <c r="E178" s="1">
        <v>11638</v>
      </c>
      <c r="F178" s="1">
        <v>20287</v>
      </c>
      <c r="G178" s="124">
        <v>15.77</v>
      </c>
      <c r="H178" t="str">
        <f t="shared" si="3"/>
        <v>9801863EBF ORG CELERY HRTS BAG USA (DESTINY)</v>
      </c>
    </row>
    <row r="179" spans="3:8" ht="26.25" x14ac:dyDescent="0.4">
      <c r="C179" s="128" t="s">
        <v>453</v>
      </c>
      <c r="D179" s="128" t="s">
        <v>454</v>
      </c>
      <c r="E179" s="1">
        <v>11589</v>
      </c>
      <c r="F179" s="1">
        <v>20201</v>
      </c>
      <c r="G179" s="124">
        <v>40</v>
      </c>
      <c r="H179" t="str">
        <f t="shared" si="3"/>
        <v>F2102Field Frsh Farm 3CT Romaine</v>
      </c>
    </row>
    <row r="180" spans="3:8" ht="26.25" x14ac:dyDescent="0.4">
      <c r="C180" s="128" t="s">
        <v>213</v>
      </c>
      <c r="D180" s="128" t="s">
        <v>364</v>
      </c>
      <c r="E180" s="1">
        <v>11573</v>
      </c>
      <c r="F180" s="1">
        <v>19934</v>
      </c>
      <c r="G180" s="124">
        <v>99.79</v>
      </c>
      <c r="H180" t="str">
        <f t="shared" si="3"/>
        <v>61953-11KROGER 2CT ARTSN ROM SUP (DESTINY)</v>
      </c>
    </row>
    <row r="181" spans="3:8" ht="26.25" x14ac:dyDescent="0.4">
      <c r="C181" s="128" t="s">
        <v>455</v>
      </c>
      <c r="D181" s="128" t="s">
        <v>456</v>
      </c>
      <c r="E181" s="1">
        <v>11649</v>
      </c>
      <c r="F181" s="1">
        <v>20189</v>
      </c>
      <c r="G181" s="124">
        <v>40</v>
      </c>
      <c r="H181" t="str">
        <f t="shared" si="3"/>
        <v>4090OMWEGMAN 3CT ROMAINE</v>
      </c>
    </row>
    <row r="182" spans="3:8" ht="26.25" x14ac:dyDescent="0.4">
      <c r="C182" s="128" t="s">
        <v>163</v>
      </c>
      <c r="D182" s="128" t="s">
        <v>457</v>
      </c>
      <c r="E182" s="1">
        <v>11624</v>
      </c>
      <c r="F182" s="1">
        <v>20099</v>
      </c>
      <c r="G182" s="124">
        <v>40</v>
      </c>
      <c r="H182" t="str">
        <f t="shared" si="3"/>
        <v>002-40-55032-01DOLE 23OZ ROMAINE USA WZIP</v>
      </c>
    </row>
    <row r="183" spans="3:8" ht="26.25" x14ac:dyDescent="0.4">
      <c r="C183" s="128">
        <v>1749036</v>
      </c>
      <c r="D183" s="128" t="s">
        <v>458</v>
      </c>
      <c r="E183" s="1">
        <v>11755</v>
      </c>
      <c r="F183" s="1">
        <v>20563</v>
      </c>
      <c r="G183" s="124">
        <v>40</v>
      </c>
      <c r="H183" t="str">
        <f t="shared" si="3"/>
        <v>1749036FOXY ORGANIC ROMAINE 3CT BILLINGUAL POM</v>
      </c>
    </row>
    <row r="184" spans="3:8" ht="26.25" x14ac:dyDescent="0.4">
      <c r="C184" s="128" t="s">
        <v>459</v>
      </c>
      <c r="D184" s="128" t="s">
        <v>460</v>
      </c>
      <c r="E184" s="1">
        <v>11612</v>
      </c>
      <c r="F184" s="1">
        <v>20259</v>
      </c>
      <c r="G184" s="124">
        <v>17.25</v>
      </c>
      <c r="H184" t="str">
        <f t="shared" si="3"/>
        <v>4962NOM LETTUCE BAG 13IN</v>
      </c>
    </row>
    <row r="185" spans="3:8" ht="26.25" x14ac:dyDescent="0.4">
      <c r="C185" s="128">
        <v>300002357</v>
      </c>
      <c r="D185" s="128" t="s">
        <v>463</v>
      </c>
      <c r="E185" s="1">
        <v>11461</v>
      </c>
      <c r="F185" s="1">
        <v>22059</v>
      </c>
      <c r="G185" s="124">
        <v>48.64</v>
      </c>
      <c r="H185" t="str">
        <f t="shared" si="3"/>
        <v>300002357 48OZ GIANT EAGLE MIXED FRUIT (DESTINY)</v>
      </c>
    </row>
    <row r="186" spans="3:8" ht="26.25" x14ac:dyDescent="0.4">
      <c r="C186" s="128" t="s">
        <v>461</v>
      </c>
      <c r="D186" s="128" t="s">
        <v>462</v>
      </c>
      <c r="E186" s="1">
        <v>11668</v>
      </c>
      <c r="F186" s="1">
        <v>20291</v>
      </c>
      <c r="G186" s="124">
        <v>20.420000000000002</v>
      </c>
      <c r="H186" t="str">
        <f t="shared" si="3"/>
        <v>002-10-51007-00 LIDL CAULIFLOWER USA</v>
      </c>
    </row>
    <row r="187" spans="3:8" ht="26.25" x14ac:dyDescent="0.4">
      <c r="C187" s="128" t="s">
        <v>464</v>
      </c>
      <c r="D187" s="128" t="s">
        <v>465</v>
      </c>
      <c r="E187" s="1">
        <v>11370</v>
      </c>
      <c r="F187" s="1">
        <v>19641</v>
      </c>
      <c r="G187" s="124">
        <v>43.24</v>
      </c>
      <c r="H187" t="str">
        <f t="shared" si="3"/>
        <v>002-40-55044-01LIDL ORG 3CT ROM USA W/ZIP</v>
      </c>
    </row>
    <row r="188" spans="3:8" ht="26.25" x14ac:dyDescent="0.4">
      <c r="C188" s="128">
        <v>9801864</v>
      </c>
      <c r="D188" s="128" t="s">
        <v>466</v>
      </c>
      <c r="E188" s="1">
        <v>11550</v>
      </c>
      <c r="F188" s="1">
        <v>20334</v>
      </c>
      <c r="G188" s="124">
        <v>19.440000000000001</v>
      </c>
      <c r="H188" t="str">
        <f t="shared" si="3"/>
        <v>9801864EBF ORGANIC CAULIFLOWER BAG - USA (DESTINY)</v>
      </c>
    </row>
    <row r="189" spans="3:8" ht="26.25" x14ac:dyDescent="0.4">
      <c r="C189" s="128">
        <v>5019</v>
      </c>
      <c r="D189" s="128" t="s">
        <v>467</v>
      </c>
      <c r="E189" s="1">
        <v>11704</v>
      </c>
      <c r="F189" s="1">
        <v>20453</v>
      </c>
      <c r="G189" s="124">
        <v>20.32</v>
      </c>
      <c r="H189" t="str">
        <f t="shared" si="3"/>
        <v>5019TRADER JOE'S 1CT CABBAGE</v>
      </c>
    </row>
    <row r="190" spans="3:8" ht="26.25" x14ac:dyDescent="0.4">
      <c r="C190" s="128" t="s">
        <v>468</v>
      </c>
      <c r="D190" s="128" t="s">
        <v>469</v>
      </c>
      <c r="E190" s="1">
        <v>11588</v>
      </c>
      <c r="F190" s="1">
        <v>20258</v>
      </c>
      <c r="G190" s="124">
        <v>22.49</v>
      </c>
      <c r="H190" t="str">
        <f t="shared" si="3"/>
        <v>F2103Field Frsh Farm Cauli Wrap</v>
      </c>
    </row>
    <row r="191" spans="3:8" ht="26.25" x14ac:dyDescent="0.4">
      <c r="C191" s="128" t="s">
        <v>470</v>
      </c>
      <c r="D191" s="128" t="s">
        <v>471</v>
      </c>
      <c r="E191" s="1">
        <v>11718</v>
      </c>
      <c r="F191" s="1">
        <v>20304</v>
      </c>
      <c r="G191" s="124">
        <v>19.010000000000002</v>
      </c>
      <c r="H191" t="str">
        <f t="shared" si="3"/>
        <v> F2101Field Fresh Icbg Lettuce Bil</v>
      </c>
    </row>
    <row r="192" spans="3:8" x14ac:dyDescent="0.25">
      <c r="C192" s="131" t="s">
        <v>202</v>
      </c>
      <c r="D192" s="132" t="s">
        <v>472</v>
      </c>
      <c r="E192" s="1">
        <v>11655</v>
      </c>
      <c r="F192" s="1">
        <v>20248</v>
      </c>
      <c r="G192" s="124">
        <v>48.3</v>
      </c>
      <c r="H192" t="str">
        <f t="shared" si="3"/>
        <v>506957AMann 6ct Romaine</v>
      </c>
    </row>
    <row r="193" spans="3:8" x14ac:dyDescent="0.25">
      <c r="C193" s="131" t="s">
        <v>473</v>
      </c>
      <c r="D193" s="133" t="s">
        <v>474</v>
      </c>
      <c r="E193" s="1">
        <v>11670</v>
      </c>
      <c r="F193" s="1">
        <v>20232</v>
      </c>
      <c r="G193" s="124">
        <v>20.67</v>
      </c>
      <c r="H193" t="str">
        <f t="shared" si="3"/>
        <v>61559-16ALDIS Broccoli Crowns-ANTIFOG</v>
      </c>
    </row>
    <row r="194" spans="3:8" x14ac:dyDescent="0.25">
      <c r="C194" s="131" t="s">
        <v>475</v>
      </c>
      <c r="D194" s="132" t="s">
        <v>335</v>
      </c>
      <c r="E194" s="1">
        <v>11630</v>
      </c>
      <c r="F194" s="1">
        <v>20302</v>
      </c>
      <c r="G194" s="124">
        <v>91.42</v>
      </c>
      <c r="H194" t="str">
        <f t="shared" si="3"/>
        <v>61952-12T&amp;A 2ct Baby Iceberg SUP</v>
      </c>
    </row>
    <row r="195" spans="3:8" x14ac:dyDescent="0.25">
      <c r="C195" s="131" t="s">
        <v>198</v>
      </c>
      <c r="D195" s="132" t="s">
        <v>326</v>
      </c>
      <c r="E195" s="1">
        <v>11654</v>
      </c>
      <c r="F195" s="1">
        <v>20290</v>
      </c>
      <c r="G195" s="124">
        <v>46.21</v>
      </c>
      <c r="H195" t="str">
        <f t="shared" si="3"/>
        <v>506961AMann 3ct Romaine Hearts w/ZIP</v>
      </c>
    </row>
    <row r="196" spans="3:8" x14ac:dyDescent="0.25">
      <c r="C196" s="131" t="s">
        <v>476</v>
      </c>
      <c r="D196" s="132" t="s">
        <v>477</v>
      </c>
      <c r="E196" s="1">
        <v>11755</v>
      </c>
      <c r="F196" s="1">
        <v>20563</v>
      </c>
      <c r="G196" s="124">
        <v>40</v>
      </c>
      <c r="H196" t="str">
        <f t="shared" si="3"/>
        <v>01749036Foxy 3ct Org Rom Biling. POM</v>
      </c>
    </row>
    <row r="197" spans="3:8" x14ac:dyDescent="0.25">
      <c r="C197" s="134" t="s">
        <v>478</v>
      </c>
      <c r="D197" s="125" t="s">
        <v>479</v>
      </c>
      <c r="E197" s="1">
        <v>11632</v>
      </c>
      <c r="F197" s="1">
        <v>20443</v>
      </c>
      <c r="G197" s="124">
        <v>50.56</v>
      </c>
      <c r="H197" t="str">
        <f t="shared" si="3"/>
        <v>DMF-01GE ROMAINE HRTS 3CT</v>
      </c>
    </row>
    <row r="198" spans="3:8" x14ac:dyDescent="0.25">
      <c r="C198" s="134" t="s">
        <v>480</v>
      </c>
      <c r="D198" s="125" t="s">
        <v>481</v>
      </c>
      <c r="E198" s="1">
        <v>11346</v>
      </c>
      <c r="F198" s="1">
        <v>20658</v>
      </c>
      <c r="G198" s="124">
        <v>70.08</v>
      </c>
      <c r="H198" t="str">
        <f t="shared" si="3"/>
        <v>59953 BAG , 10# , GF, HP (DESTINY)</v>
      </c>
    </row>
    <row r="199" spans="3:8" x14ac:dyDescent="0.25">
      <c r="C199" s="134" t="s">
        <v>482</v>
      </c>
      <c r="D199" s="125" t="s">
        <v>483</v>
      </c>
      <c r="E199" s="1">
        <v>11727</v>
      </c>
      <c r="F199" s="1">
        <v>20455</v>
      </c>
      <c r="G199" s="124">
        <v>26.99</v>
      </c>
      <c r="H199" t="str">
        <f t="shared" si="3"/>
        <v>B-85 BOSKOVICH 2LB GREEN ONION</v>
      </c>
    </row>
    <row r="200" spans="3:8" x14ac:dyDescent="0.25">
      <c r="C200" s="134" t="s">
        <v>484</v>
      </c>
      <c r="D200" s="125" t="s">
        <v>485</v>
      </c>
      <c r="E200" s="1">
        <v>11449</v>
      </c>
      <c r="F200" s="1">
        <v>20706</v>
      </c>
      <c r="G200" s="124">
        <v>18.7</v>
      </c>
      <c r="H200" t="str">
        <f t="shared" si="3"/>
        <v>121807 BAG 12 OZ TARGET MW ORG PERF (DESTINY)</v>
      </c>
    </row>
    <row r="201" spans="3:8" x14ac:dyDescent="0.25">
      <c r="C201" s="134" t="s">
        <v>486</v>
      </c>
      <c r="D201" s="125" t="s">
        <v>487</v>
      </c>
      <c r="E201" s="1">
        <v>11696</v>
      </c>
      <c r="F201" s="1">
        <v>20325</v>
      </c>
      <c r="G201" s="124">
        <v>61.23</v>
      </c>
      <c r="H201" t="str">
        <f t="shared" si="3"/>
        <v>3000015815LB DOLE DICED STRAWBERRIES</v>
      </c>
    </row>
    <row r="202" spans="3:8" x14ac:dyDescent="0.25">
      <c r="C202" s="134" t="s">
        <v>488</v>
      </c>
      <c r="D202" s="125" t="s">
        <v>489</v>
      </c>
      <c r="E202" s="1">
        <v>11738</v>
      </c>
      <c r="F202" s="1">
        <v>20461</v>
      </c>
      <c r="G202" s="124">
        <v>17.23</v>
      </c>
      <c r="H202" t="str">
        <f t="shared" si="3"/>
        <v>33625 BAG 12OZ PUBLIX MW LAM PERF'D (DESTINY)</v>
      </c>
    </row>
    <row r="203" spans="3:8" x14ac:dyDescent="0.25">
      <c r="C203" s="131" t="s">
        <v>135</v>
      </c>
      <c r="D203" s="132" t="s">
        <v>496</v>
      </c>
      <c r="E203" s="1">
        <v>11685</v>
      </c>
      <c r="F203" s="1">
        <v>20234</v>
      </c>
      <c r="G203" s="124">
        <v>75.25</v>
      </c>
      <c r="H203" t="str">
        <f t="shared" si="3"/>
        <v>61977-12Kroger's Artisan Baby Iceberg</v>
      </c>
    </row>
    <row r="204" spans="3:8" x14ac:dyDescent="0.25">
      <c r="C204" s="131" t="s">
        <v>165</v>
      </c>
      <c r="D204" s="132" t="s">
        <v>497</v>
      </c>
      <c r="E204" s="1">
        <v>11770</v>
      </c>
      <c r="F204" s="1">
        <v>20579</v>
      </c>
      <c r="G204" s="124">
        <v>40</v>
      </c>
      <c r="H204" t="str">
        <f t="shared" si="3"/>
        <v>19800956-03QueenVic 3Ct Rom Hrt Zip Bil</v>
      </c>
    </row>
    <row r="205" spans="3:8" x14ac:dyDescent="0.25">
      <c r="C205" s="131" t="s">
        <v>438</v>
      </c>
      <c r="D205" s="132" t="s">
        <v>498</v>
      </c>
      <c r="E205" s="1">
        <v>11702</v>
      </c>
      <c r="F205" s="1">
        <v>20320</v>
      </c>
      <c r="G205" s="124">
        <v>40</v>
      </c>
      <c r="H205" t="str">
        <f t="shared" si="3"/>
        <v>0932OM Good&amp;Gather 3ct Rom Hrts US</v>
      </c>
    </row>
    <row r="206" spans="3:8" x14ac:dyDescent="0.25">
      <c r="C206" s="135" t="s">
        <v>492</v>
      </c>
      <c r="D206" s="136" t="s">
        <v>499</v>
      </c>
      <c r="E206" s="1">
        <v>11300</v>
      </c>
      <c r="F206" s="1">
        <v>18869</v>
      </c>
      <c r="G206" s="124">
        <v>40</v>
      </c>
      <c r="H206" t="str">
        <f t="shared" si="3"/>
        <v>0958OM 3ct Rom Hrt USA w/Zip 18oz</v>
      </c>
    </row>
    <row r="207" spans="3:8" x14ac:dyDescent="0.25">
      <c r="C207" s="131" t="s">
        <v>484</v>
      </c>
      <c r="D207" s="132" t="s">
        <v>500</v>
      </c>
      <c r="E207" s="1" t="s">
        <v>490</v>
      </c>
      <c r="F207" s="1">
        <v>20714</v>
      </c>
      <c r="G207" s="124">
        <v>18.7</v>
      </c>
      <c r="H207" t="str">
        <f t="shared" si="3"/>
        <v>121807BAG, 12OZ, TARGET, MW ORG PERF</v>
      </c>
    </row>
    <row r="208" spans="3:8" x14ac:dyDescent="0.25">
      <c r="C208" s="131" t="s">
        <v>493</v>
      </c>
      <c r="D208" s="132" t="s">
        <v>501</v>
      </c>
      <c r="E208" s="1" t="s">
        <v>491</v>
      </c>
      <c r="F208" s="1">
        <v>20707</v>
      </c>
      <c r="G208" s="124">
        <v>18.7</v>
      </c>
      <c r="H208" t="str">
        <f t="shared" si="3"/>
        <v>121799BAG 12OZ TARGET MW PERF'D</v>
      </c>
    </row>
    <row r="209" spans="3:8" x14ac:dyDescent="0.25">
      <c r="C209" s="131" t="s">
        <v>484</v>
      </c>
      <c r="D209" s="132" t="s">
        <v>500</v>
      </c>
      <c r="E209" s="1">
        <v>11449</v>
      </c>
      <c r="F209" s="1">
        <v>20706</v>
      </c>
      <c r="G209" s="124">
        <v>18.7</v>
      </c>
      <c r="H209" t="str">
        <f t="shared" si="3"/>
        <v>121807BAG, 12OZ, TARGET, MW ORG PERF</v>
      </c>
    </row>
    <row r="210" spans="3:8" x14ac:dyDescent="0.25">
      <c r="C210" s="131" t="s">
        <v>494</v>
      </c>
      <c r="D210" s="132" t="s">
        <v>502</v>
      </c>
      <c r="E210" s="1">
        <v>11356</v>
      </c>
      <c r="F210" s="1">
        <v>20438</v>
      </c>
      <c r="G210" s="124">
        <v>17.23</v>
      </c>
      <c r="H210" t="str">
        <f t="shared" si="3"/>
        <v>55112BAG, 12OZ, GF, MW, TRI PERF'D</v>
      </c>
    </row>
    <row r="211" spans="3:8" x14ac:dyDescent="0.25">
      <c r="C211" s="131" t="s">
        <v>495</v>
      </c>
      <c r="D211" s="132" t="s">
        <v>503</v>
      </c>
      <c r="E211" s="1">
        <v>11476</v>
      </c>
      <c r="F211" s="1">
        <v>20704</v>
      </c>
      <c r="G211" s="124">
        <v>18.7</v>
      </c>
      <c r="H211" t="str">
        <f t="shared" si="3"/>
        <v>92194BAG, 12OZ SAFEWAY SIGN MW PERF</v>
      </c>
    </row>
    <row r="212" spans="3:8" x14ac:dyDescent="0.25">
      <c r="C212" s="134" t="s">
        <v>459</v>
      </c>
      <c r="D212" s="125" t="s">
        <v>504</v>
      </c>
      <c r="E212" s="1">
        <v>11612</v>
      </c>
      <c r="F212" s="1">
        <v>20886</v>
      </c>
      <c r="G212" s="124">
        <v>17.25</v>
      </c>
      <c r="H212" t="str">
        <f t="shared" si="3"/>
        <v>4962NOceanmist 13" Lettuce Bag</v>
      </c>
    </row>
    <row r="213" spans="3:8" x14ac:dyDescent="0.25">
      <c r="C213" s="131" t="s">
        <v>505</v>
      </c>
      <c r="D213" s="132" t="s">
        <v>506</v>
      </c>
      <c r="E213" s="1">
        <v>11697</v>
      </c>
      <c r="F213" s="1">
        <v>20323</v>
      </c>
      <c r="G213" s="124">
        <v>63.61</v>
      </c>
      <c r="H213" t="str">
        <f t="shared" si="3"/>
        <v>3000017835LB SLICED PEACHES FROZEN</v>
      </c>
    </row>
    <row r="214" spans="3:8" x14ac:dyDescent="0.25">
      <c r="C214" s="131" t="s">
        <v>507</v>
      </c>
      <c r="D214" s="132" t="s">
        <v>508</v>
      </c>
      <c r="E214" s="1">
        <v>11691</v>
      </c>
      <c r="F214" s="1">
        <v>20331</v>
      </c>
      <c r="G214" s="124">
        <v>63.66</v>
      </c>
      <c r="H214" t="str">
        <f t="shared" si="3"/>
        <v>3000008395LB BLUEBERRIES DOLE</v>
      </c>
    </row>
    <row r="215" spans="3:8" x14ac:dyDescent="0.25">
      <c r="C215" s="134" t="s">
        <v>509</v>
      </c>
      <c r="D215" s="125" t="s">
        <v>130</v>
      </c>
      <c r="E215" s="1">
        <v>11777</v>
      </c>
      <c r="F215" s="1">
        <v>20681</v>
      </c>
      <c r="G215" s="124">
        <v>48.26</v>
      </c>
      <c r="H215" t="str">
        <f t="shared" si="3"/>
        <v>9502994TFR 6ct Rom Hrts USA-Purple</v>
      </c>
    </row>
    <row r="216" spans="3:8" x14ac:dyDescent="0.25">
      <c r="C216" s="138" t="s">
        <v>512</v>
      </c>
      <c r="D216" s="139" t="s">
        <v>300</v>
      </c>
      <c r="E216" s="140">
        <v>12039</v>
      </c>
      <c r="F216" s="140">
        <v>21424</v>
      </c>
      <c r="G216" s="141">
        <v>22.5</v>
      </c>
      <c r="H216" s="142" t="str">
        <f t="shared" si="3"/>
        <v>0930NOM 3ct Rom Hrt BI - NO ZIP</v>
      </c>
    </row>
    <row r="217" spans="3:8" x14ac:dyDescent="0.25">
      <c r="C217" s="138" t="s">
        <v>513</v>
      </c>
      <c r="D217" s="143" t="s">
        <v>514</v>
      </c>
      <c r="E217" s="140">
        <v>12032</v>
      </c>
      <c r="F217" s="140">
        <v>21348</v>
      </c>
      <c r="G217" s="141">
        <v>18.489999999999998</v>
      </c>
      <c r="H217" s="142" t="str">
        <f t="shared" si="3"/>
        <v>0922OCEAN MST UPC/PLU CAULIFLOWER</v>
      </c>
    </row>
    <row r="218" spans="3:8" x14ac:dyDescent="0.25">
      <c r="C218" s="138" t="s">
        <v>515</v>
      </c>
      <c r="D218" s="139" t="s">
        <v>516</v>
      </c>
      <c r="E218" s="140">
        <v>11603</v>
      </c>
      <c r="F218" s="140">
        <v>20860</v>
      </c>
      <c r="G218" s="141">
        <v>31.22</v>
      </c>
      <c r="H218" s="142" t="str">
        <f t="shared" si="3"/>
        <v>C3BFCNALG-A13LB BOLTHOUSE FRESH CAN A/B</v>
      </c>
    </row>
    <row r="219" spans="3:8" x14ac:dyDescent="0.25">
      <c r="C219" s="138" t="s">
        <v>517</v>
      </c>
      <c r="D219" s="139" t="s">
        <v>371</v>
      </c>
      <c r="E219" s="140">
        <v>11646</v>
      </c>
      <c r="F219" s="140">
        <v>21432</v>
      </c>
      <c r="G219" s="141">
        <v>40</v>
      </c>
      <c r="H219" s="142" t="str">
        <f t="shared" si="3"/>
        <v>61653-15T&amp;A 3ct Artisan Romaine-Zipper</v>
      </c>
    </row>
    <row r="220" spans="3:8" x14ac:dyDescent="0.25">
      <c r="C220" s="138" t="s">
        <v>518</v>
      </c>
      <c r="D220" s="143" t="s">
        <v>285</v>
      </c>
      <c r="E220" s="140">
        <v>12082</v>
      </c>
      <c r="F220" s="140">
        <v>21455</v>
      </c>
      <c r="G220" s="141">
        <v>40.659999999999997</v>
      </c>
      <c r="H220" s="142" t="str">
        <f t="shared" si="3"/>
        <v>9801224-OBSOLETETFR Org Marketside Rom Hrts US</v>
      </c>
    </row>
    <row r="221" spans="3:8" x14ac:dyDescent="0.25">
      <c r="C221" s="144" t="s">
        <v>461</v>
      </c>
      <c r="D221" s="143" t="s">
        <v>247</v>
      </c>
      <c r="E221" s="140">
        <v>11956</v>
      </c>
      <c r="F221" s="140">
        <v>21225</v>
      </c>
      <c r="G221" s="141">
        <v>20.420000000000002</v>
      </c>
      <c r="H221" s="142" t="str">
        <f t="shared" si="3"/>
        <v>002-10-51007-00Lidl Cauliflower USA</v>
      </c>
    </row>
    <row r="222" spans="3:8" x14ac:dyDescent="0.25">
      <c r="C222" s="140" t="s">
        <v>519</v>
      </c>
      <c r="D222" s="145" t="s">
        <v>520</v>
      </c>
      <c r="E222" s="140">
        <v>11920</v>
      </c>
      <c r="F222" s="140">
        <v>21433</v>
      </c>
      <c r="G222" s="141">
        <v>58.05</v>
      </c>
      <c r="H222" s="142" t="str">
        <f t="shared" si="3"/>
        <v>OZUNA-001Ozuna Ext. Shup Tortilla bag</v>
      </c>
    </row>
    <row r="223" spans="3:8" x14ac:dyDescent="0.25">
      <c r="C223" s="140">
        <v>1580</v>
      </c>
      <c r="D223" s="145" t="s">
        <v>132</v>
      </c>
      <c r="E223" s="140">
        <v>11569</v>
      </c>
      <c r="F223" s="140">
        <v>21770</v>
      </c>
      <c r="G223" s="141">
        <v>30.79</v>
      </c>
      <c r="H223" s="142" t="str">
        <f t="shared" si="3"/>
        <v>1580Church Bros 5ct Petite Romaine</v>
      </c>
    </row>
    <row r="224" spans="3:8" x14ac:dyDescent="0.25">
      <c r="C224" s="140">
        <v>9801863</v>
      </c>
      <c r="D224" s="145" t="s">
        <v>521</v>
      </c>
      <c r="E224" s="140">
        <v>11638</v>
      </c>
      <c r="F224" s="140">
        <v>21771</v>
      </c>
      <c r="G224" s="141">
        <v>15.77</v>
      </c>
      <c r="H224" s="142" t="str">
        <f t="shared" si="3"/>
        <v>9801863EBF OrgCeleryHrts Bag USA</v>
      </c>
    </row>
    <row r="225" spans="3:8" x14ac:dyDescent="0.25">
      <c r="C225" s="140" t="s">
        <v>522</v>
      </c>
      <c r="D225" s="145" t="s">
        <v>523</v>
      </c>
      <c r="E225" s="140">
        <v>11912</v>
      </c>
      <c r="F225" s="140">
        <v>21003</v>
      </c>
      <c r="G225" s="141">
        <v>20.25</v>
      </c>
      <c r="H225" s="142" t="str">
        <f t="shared" si="3"/>
        <v>0921MOcean Mist Cauliflower POM</v>
      </c>
    </row>
    <row r="226" spans="3:8" x14ac:dyDescent="0.25">
      <c r="C226" s="140">
        <v>4960</v>
      </c>
      <c r="D226" s="145" t="s">
        <v>524</v>
      </c>
      <c r="E226" s="140">
        <v>11893</v>
      </c>
      <c r="F226" s="140">
        <v>21772</v>
      </c>
      <c r="G226" s="141">
        <v>17.05</v>
      </c>
      <c r="H226" s="142" t="str">
        <f t="shared" si="3"/>
        <v>496013" UPC/PLU CLR IcebergLett OM</v>
      </c>
    </row>
    <row r="227" spans="3:8" x14ac:dyDescent="0.25">
      <c r="C227" s="140" t="s">
        <v>525</v>
      </c>
      <c r="D227" s="145" t="s">
        <v>526</v>
      </c>
      <c r="E227" s="140">
        <v>11961</v>
      </c>
      <c r="F227" s="140">
        <v>21773</v>
      </c>
      <c r="G227" s="141">
        <v>18.98</v>
      </c>
      <c r="H227" s="142" t="str">
        <f t="shared" si="3"/>
        <v>61182-20T&amp;A Cauliflower-Bilingual</v>
      </c>
    </row>
    <row r="228" spans="3:8" x14ac:dyDescent="0.25">
      <c r="C228" s="140" t="s">
        <v>159</v>
      </c>
      <c r="D228" s="145" t="s">
        <v>246</v>
      </c>
      <c r="E228" s="140">
        <v>11951</v>
      </c>
      <c r="F228" s="140">
        <v>21223</v>
      </c>
      <c r="G228" s="141">
        <v>19.25</v>
      </c>
      <c r="H228" s="142" t="str">
        <f t="shared" si="3"/>
        <v>002-00-53350-00Lidl 13.5: Iceberg Lettuce</v>
      </c>
    </row>
    <row r="229" spans="3:8" x14ac:dyDescent="0.25">
      <c r="C229" s="140" t="s">
        <v>461</v>
      </c>
      <c r="D229" s="145" t="s">
        <v>247</v>
      </c>
      <c r="E229" s="140">
        <v>11956</v>
      </c>
      <c r="F229" s="140">
        <v>21225</v>
      </c>
      <c r="G229" s="141">
        <v>20.420000000000002</v>
      </c>
      <c r="H229" s="142" t="str">
        <f t="shared" si="3"/>
        <v>002-10-51007-00Lidl Cauliflower USA</v>
      </c>
    </row>
    <row r="230" spans="3:8" x14ac:dyDescent="0.25">
      <c r="C230" s="140" t="s">
        <v>527</v>
      </c>
      <c r="D230" s="145" t="s">
        <v>528</v>
      </c>
      <c r="E230" s="140">
        <v>11940</v>
      </c>
      <c r="F230" s="140">
        <v>21166</v>
      </c>
      <c r="G230" s="141">
        <v>19.02</v>
      </c>
      <c r="H230" s="142" t="str">
        <f t="shared" ref="H230:H292" si="4">_xlfn.CONCAT(C230,D230)</f>
        <v>C1BFCNALG-A11LB BOLTHOUSE FRESH CAN FS A/B</v>
      </c>
    </row>
    <row r="231" spans="3:8" x14ac:dyDescent="0.25">
      <c r="C231" s="140" t="s">
        <v>517</v>
      </c>
      <c r="D231" s="145" t="s">
        <v>371</v>
      </c>
      <c r="E231" s="140">
        <v>11646</v>
      </c>
      <c r="F231" s="140">
        <v>21432</v>
      </c>
      <c r="G231" s="141">
        <v>40</v>
      </c>
      <c r="H231" s="142" t="str">
        <f t="shared" si="4"/>
        <v>61653-15T&amp;A 3ct Artisan Romaine-Zipper</v>
      </c>
    </row>
    <row r="232" spans="3:8" x14ac:dyDescent="0.25">
      <c r="C232" s="140" t="s">
        <v>529</v>
      </c>
      <c r="D232" s="145" t="s">
        <v>530</v>
      </c>
      <c r="E232" s="140">
        <v>11985</v>
      </c>
      <c r="F232" s="140">
        <v>21342</v>
      </c>
      <c r="G232" s="141">
        <v>22.96</v>
      </c>
      <c r="H232" s="142" t="str">
        <f t="shared" si="4"/>
        <v>61186-19T&amp;A Celery Sleeve 30's USA-Bil</v>
      </c>
    </row>
    <row r="233" spans="3:8" x14ac:dyDescent="0.25">
      <c r="C233" s="140">
        <v>9502992</v>
      </c>
      <c r="D233" s="145" t="s">
        <v>385</v>
      </c>
      <c r="E233" s="140">
        <v>11991</v>
      </c>
      <c r="F233" s="140">
        <v>21339</v>
      </c>
      <c r="G233" s="141">
        <v>33.42</v>
      </c>
      <c r="H233" s="142" t="str">
        <f t="shared" si="4"/>
        <v>9502992TFR 2HD Icebrg Lett USA-Green</v>
      </c>
    </row>
    <row r="234" spans="3:8" x14ac:dyDescent="0.25">
      <c r="C234" s="140">
        <v>5019</v>
      </c>
      <c r="D234" s="145" t="s">
        <v>237</v>
      </c>
      <c r="E234" s="140">
        <v>11704</v>
      </c>
      <c r="F234" s="140">
        <v>20453</v>
      </c>
      <c r="G234" s="141">
        <v>20.32</v>
      </c>
      <c r="H234" s="142" t="str">
        <f t="shared" si="4"/>
        <v>5019Trader Joe's 1ct Green Cabbage</v>
      </c>
    </row>
    <row r="235" spans="3:8" x14ac:dyDescent="0.25">
      <c r="C235" s="131" t="s">
        <v>531</v>
      </c>
      <c r="D235" s="132" t="s">
        <v>532</v>
      </c>
      <c r="E235" s="146">
        <v>12299</v>
      </c>
      <c r="F235" s="1">
        <v>22095</v>
      </c>
      <c r="G235" s="124">
        <v>58.43</v>
      </c>
      <c r="H235" s="142" t="str">
        <f t="shared" si="4"/>
        <v>40040956SYSCO ROMAINE HEART BAG CLEAR</v>
      </c>
    </row>
    <row r="236" spans="3:8" x14ac:dyDescent="0.25">
      <c r="C236" s="131" t="s">
        <v>533</v>
      </c>
      <c r="D236" s="133" t="s">
        <v>534</v>
      </c>
      <c r="E236" s="146">
        <v>12005</v>
      </c>
      <c r="F236" s="1">
        <v>22108</v>
      </c>
      <c r="G236" s="124">
        <v>23.79</v>
      </c>
      <c r="H236" s="142" t="str">
        <f t="shared" si="4"/>
        <v>61195-18T&amp;A Celery Stalk Sleeves 24's</v>
      </c>
    </row>
    <row r="237" spans="3:8" x14ac:dyDescent="0.25">
      <c r="C237" s="131" t="s">
        <v>535</v>
      </c>
      <c r="D237" s="133" t="s">
        <v>536</v>
      </c>
      <c r="E237" s="146">
        <v>12145</v>
      </c>
      <c r="F237" s="1">
        <v>21746</v>
      </c>
      <c r="G237" s="124">
        <v>18.5</v>
      </c>
      <c r="H237" s="142" t="str">
        <f t="shared" si="4"/>
        <v>002-10-50130-05Dole Cauliflower-Canada</v>
      </c>
    </row>
    <row r="238" spans="3:8" x14ac:dyDescent="0.25">
      <c r="C238" s="131" t="s">
        <v>537</v>
      </c>
      <c r="D238" s="133" t="s">
        <v>538</v>
      </c>
      <c r="E238" s="146">
        <v>12247</v>
      </c>
      <c r="F238" s="1">
        <v>21923</v>
      </c>
      <c r="G238" s="124">
        <v>16.46</v>
      </c>
      <c r="H238" s="142" t="str">
        <f t="shared" si="4"/>
        <v>002-00-53348-02Dole Canadian 13.5" Lettuce</v>
      </c>
    </row>
    <row r="239" spans="3:8" x14ac:dyDescent="0.25">
      <c r="C239" s="131" t="s">
        <v>539</v>
      </c>
      <c r="D239" s="132" t="s">
        <v>540</v>
      </c>
      <c r="E239" s="146">
        <v>12150</v>
      </c>
      <c r="F239" s="1">
        <v>21790</v>
      </c>
      <c r="G239" s="124">
        <v>151.16</v>
      </c>
      <c r="H239" s="142" t="str">
        <f t="shared" si="4"/>
        <v>002-40-56047-01DOLE 4CT ARTICHOKE MEXICO</v>
      </c>
    </row>
    <row r="240" spans="3:8" x14ac:dyDescent="0.25">
      <c r="C240" s="131" t="s">
        <v>541</v>
      </c>
      <c r="D240" s="132" t="s">
        <v>542</v>
      </c>
      <c r="E240" s="146">
        <v>12202</v>
      </c>
      <c r="F240" s="1">
        <v>22134</v>
      </c>
      <c r="G240" s="124">
        <v>43.35</v>
      </c>
      <c r="H240" s="142" t="str">
        <f t="shared" si="4"/>
        <v>9801899Marketside 12oz Rom Hearts USA</v>
      </c>
    </row>
    <row r="241" spans="3:8" x14ac:dyDescent="0.25">
      <c r="C241" s="131" t="s">
        <v>543</v>
      </c>
      <c r="D241" s="133" t="s">
        <v>242</v>
      </c>
      <c r="E241" s="146">
        <v>12113</v>
      </c>
      <c r="F241" s="1">
        <v>21560</v>
      </c>
      <c r="G241" s="124">
        <v>40</v>
      </c>
      <c r="H241" s="142" t="str">
        <f t="shared" si="4"/>
        <v>1351Church Bros 3ct Rom Hrts - BI</v>
      </c>
    </row>
    <row r="242" spans="3:8" x14ac:dyDescent="0.25">
      <c r="C242" s="131" t="s">
        <v>84</v>
      </c>
      <c r="D242" s="132" t="s">
        <v>144</v>
      </c>
      <c r="E242" s="147">
        <v>12327</v>
      </c>
      <c r="F242" s="1">
        <v>22233</v>
      </c>
      <c r="G242" s="124">
        <v>31.41</v>
      </c>
      <c r="H242" s="142" t="str">
        <f t="shared" si="4"/>
        <v>61245-12TJ's 2ct Celery HRTS-ZIP</v>
      </c>
    </row>
    <row r="243" spans="3:8" x14ac:dyDescent="0.25">
      <c r="C243" s="134" t="s">
        <v>533</v>
      </c>
      <c r="D243" s="125" t="s">
        <v>534</v>
      </c>
      <c r="E243" s="146">
        <v>12005</v>
      </c>
      <c r="F243" s="131" t="s">
        <v>544</v>
      </c>
      <c r="G243" s="124">
        <v>23.79</v>
      </c>
      <c r="H243" s="142" t="str">
        <f t="shared" si="4"/>
        <v>61195-18T&amp;A Celery Stalk Sleeves 24's</v>
      </c>
    </row>
    <row r="244" spans="3:8" x14ac:dyDescent="0.25">
      <c r="C244" s="134" t="s">
        <v>459</v>
      </c>
      <c r="D244" s="125" t="s">
        <v>504</v>
      </c>
      <c r="E244" s="146">
        <v>12131</v>
      </c>
      <c r="F244" s="131" t="s">
        <v>545</v>
      </c>
      <c r="G244" s="124">
        <v>17.149999999999999</v>
      </c>
      <c r="H244" s="142" t="str">
        <f t="shared" si="4"/>
        <v>4962NOceanmist 13" Lettuce Bag</v>
      </c>
    </row>
    <row r="245" spans="3:8" x14ac:dyDescent="0.25">
      <c r="C245" s="134" t="s">
        <v>537</v>
      </c>
      <c r="D245" s="125" t="s">
        <v>538</v>
      </c>
      <c r="E245" s="146">
        <v>12247</v>
      </c>
      <c r="F245" s="131" t="s">
        <v>546</v>
      </c>
      <c r="G245" s="124">
        <v>16.46</v>
      </c>
      <c r="H245" s="142" t="str">
        <f t="shared" si="4"/>
        <v>002-00-53348-02Dole Canadian 13.5" Lettuce</v>
      </c>
    </row>
    <row r="246" spans="3:8" x14ac:dyDescent="0.25">
      <c r="C246" s="134" t="s">
        <v>468</v>
      </c>
      <c r="D246" s="125" t="s">
        <v>469</v>
      </c>
      <c r="E246" s="146">
        <v>12238</v>
      </c>
      <c r="F246" s="131">
        <v>21975</v>
      </c>
      <c r="G246" s="124">
        <v>22.49</v>
      </c>
      <c r="H246" s="142" t="str">
        <f t="shared" si="4"/>
        <v>F2103Field Frsh Farm Cauli Wrap</v>
      </c>
    </row>
    <row r="247" spans="3:8" x14ac:dyDescent="0.25">
      <c r="C247" s="134" t="s">
        <v>537</v>
      </c>
      <c r="D247" s="125" t="s">
        <v>538</v>
      </c>
      <c r="E247" s="147">
        <v>12247</v>
      </c>
      <c r="F247" s="134">
        <v>21923</v>
      </c>
      <c r="G247" s="124">
        <v>16.46</v>
      </c>
      <c r="H247" s="142" t="str">
        <f t="shared" si="4"/>
        <v>002-00-53348-02Dole Canadian 13.5" Lettuce</v>
      </c>
    </row>
    <row r="248" spans="3:8" x14ac:dyDescent="0.25">
      <c r="C248" s="134" t="s">
        <v>539</v>
      </c>
      <c r="D248" s="125" t="s">
        <v>540</v>
      </c>
      <c r="E248" s="147">
        <v>12150</v>
      </c>
      <c r="F248" s="134">
        <v>21790</v>
      </c>
      <c r="G248" s="124">
        <v>151.16</v>
      </c>
      <c r="H248" s="142" t="str">
        <f t="shared" si="4"/>
        <v>002-40-56047-01DOLE 4CT ARTICHOKE MEXICO</v>
      </c>
    </row>
    <row r="249" spans="3:8" x14ac:dyDescent="0.25">
      <c r="C249" s="134" t="s">
        <v>543</v>
      </c>
      <c r="D249" s="125" t="s">
        <v>242</v>
      </c>
      <c r="E249" s="147">
        <v>12113</v>
      </c>
      <c r="F249" s="134">
        <v>21560</v>
      </c>
      <c r="G249" s="124">
        <v>40</v>
      </c>
      <c r="H249" s="142" t="str">
        <f t="shared" si="4"/>
        <v>1351Church Bros 3ct Rom Hrts - BI</v>
      </c>
    </row>
    <row r="250" spans="3:8" x14ac:dyDescent="0.25">
      <c r="C250" s="134" t="s">
        <v>541</v>
      </c>
      <c r="D250" s="125" t="s">
        <v>542</v>
      </c>
      <c r="E250" s="147">
        <v>12201</v>
      </c>
      <c r="F250" s="134">
        <v>22101</v>
      </c>
      <c r="G250" s="124">
        <v>43.35</v>
      </c>
      <c r="H250" s="142" t="str">
        <f t="shared" si="4"/>
        <v>9801899Marketside 12oz Rom Hearts USA</v>
      </c>
    </row>
    <row r="251" spans="3:8" x14ac:dyDescent="0.25">
      <c r="C251" s="134" t="s">
        <v>174</v>
      </c>
      <c r="D251" s="125" t="s">
        <v>264</v>
      </c>
      <c r="E251" s="147">
        <v>12256</v>
      </c>
      <c r="F251" s="134">
        <v>21976</v>
      </c>
      <c r="G251" s="124">
        <v>40</v>
      </c>
      <c r="H251" s="142" t="str">
        <f t="shared" si="4"/>
        <v>002-40-55018-03Kroger 18oz Romaine Heart USA</v>
      </c>
    </row>
    <row r="252" spans="3:8" x14ac:dyDescent="0.25">
      <c r="C252" s="134" t="s">
        <v>541</v>
      </c>
      <c r="D252" s="125" t="s">
        <v>542</v>
      </c>
      <c r="E252" s="147">
        <v>12202</v>
      </c>
      <c r="F252" s="134">
        <v>22134</v>
      </c>
      <c r="G252" s="124">
        <v>43.35</v>
      </c>
      <c r="H252" s="142" t="str">
        <f t="shared" si="4"/>
        <v>9801899Marketside 12oz Rom Hearts USA</v>
      </c>
    </row>
    <row r="253" spans="3:8" x14ac:dyDescent="0.25">
      <c r="C253" s="134" t="s">
        <v>468</v>
      </c>
      <c r="D253" s="125" t="s">
        <v>469</v>
      </c>
      <c r="E253" s="147">
        <v>12238</v>
      </c>
      <c r="F253" s="134" t="s">
        <v>547</v>
      </c>
      <c r="G253" s="124">
        <v>22.49</v>
      </c>
      <c r="H253" s="142" t="str">
        <f t="shared" si="4"/>
        <v>F2103Field Frsh Farm Cauli Wrap</v>
      </c>
    </row>
    <row r="254" spans="3:8" x14ac:dyDescent="0.25">
      <c r="C254" s="134" t="s">
        <v>548</v>
      </c>
      <c r="D254" s="125" t="s">
        <v>549</v>
      </c>
      <c r="E254" s="146">
        <v>12163</v>
      </c>
      <c r="F254" s="146">
        <v>22182</v>
      </c>
      <c r="G254" s="124">
        <v>25.73</v>
      </c>
      <c r="H254" s="142" t="str">
        <f t="shared" si="4"/>
        <v>C2BBALG-A42LB BRENDA BELLE FARMS AUTOBAG</v>
      </c>
    </row>
    <row r="255" spans="3:8" x14ac:dyDescent="0.25">
      <c r="C255" s="134" t="s">
        <v>515</v>
      </c>
      <c r="D255" s="125" t="s">
        <v>516</v>
      </c>
      <c r="E255" s="146">
        <v>12366</v>
      </c>
      <c r="F255" s="146">
        <v>22359</v>
      </c>
      <c r="G255" s="124">
        <v>30.15</v>
      </c>
      <c r="H255" s="142" t="str">
        <f t="shared" si="4"/>
        <v>C3BFCNALG-A13LB BOLTHOUSE FRESH CAN A/B</v>
      </c>
    </row>
    <row r="256" spans="3:8" x14ac:dyDescent="0.25">
      <c r="C256" s="131" t="s">
        <v>551</v>
      </c>
      <c r="D256" s="133" t="s">
        <v>552</v>
      </c>
      <c r="E256" s="147">
        <v>12112</v>
      </c>
      <c r="F256" s="147">
        <v>22260</v>
      </c>
      <c r="G256" s="124">
        <v>39.86</v>
      </c>
      <c r="H256" s="142" t="str">
        <f t="shared" si="4"/>
        <v>9801895EBF Org Romaine Hrts 3ct - POM</v>
      </c>
    </row>
    <row r="257" spans="3:8" x14ac:dyDescent="0.25">
      <c r="C257" s="131" t="s">
        <v>553</v>
      </c>
      <c r="D257" s="133" t="s">
        <v>251</v>
      </c>
      <c r="E257" s="147">
        <v>12316</v>
      </c>
      <c r="F257" s="147">
        <v>22226</v>
      </c>
      <c r="G257" s="124">
        <v>40</v>
      </c>
      <c r="H257" s="142" t="str">
        <f t="shared" si="4"/>
        <v>4090Wegmans 3ct Romaine Hearts</v>
      </c>
    </row>
    <row r="258" spans="3:8" x14ac:dyDescent="0.25">
      <c r="C258" s="131" t="s">
        <v>554</v>
      </c>
      <c r="D258" s="133" t="s">
        <v>524</v>
      </c>
      <c r="E258" s="147">
        <v>12189</v>
      </c>
      <c r="F258" s="147">
        <v>21825</v>
      </c>
      <c r="G258" s="124">
        <v>17.05</v>
      </c>
      <c r="H258" s="142" t="str">
        <f t="shared" si="4"/>
        <v>496013" UPC/PLU CLR IcebergLett OM</v>
      </c>
    </row>
    <row r="259" spans="3:8" x14ac:dyDescent="0.25">
      <c r="C259" s="131" t="s">
        <v>555</v>
      </c>
      <c r="D259" s="133" t="s">
        <v>556</v>
      </c>
      <c r="E259" s="147">
        <v>12293</v>
      </c>
      <c r="F259" s="147">
        <v>22099</v>
      </c>
      <c r="G259" s="124">
        <v>16.32</v>
      </c>
      <c r="H259" s="142" t="str">
        <f t="shared" si="4"/>
        <v>KER-0921LB NATURES GOLD FS</v>
      </c>
    </row>
    <row r="260" spans="3:8" x14ac:dyDescent="0.25">
      <c r="C260" s="131" t="s">
        <v>537</v>
      </c>
      <c r="D260" s="133" t="s">
        <v>538</v>
      </c>
      <c r="E260" s="147">
        <v>12247</v>
      </c>
      <c r="F260" s="147">
        <v>21923</v>
      </c>
      <c r="G260" s="124">
        <v>16.46</v>
      </c>
      <c r="H260" s="142" t="str">
        <f t="shared" si="4"/>
        <v>002-00-53348-02Dole Canadian 13.5" Lettuce</v>
      </c>
    </row>
    <row r="261" spans="3:8" x14ac:dyDescent="0.25">
      <c r="C261" s="131" t="s">
        <v>515</v>
      </c>
      <c r="D261" s="133" t="s">
        <v>516</v>
      </c>
      <c r="E261" s="147">
        <v>12366</v>
      </c>
      <c r="F261" s="147">
        <v>22359</v>
      </c>
      <c r="G261" s="124">
        <v>30.15</v>
      </c>
      <c r="H261" s="142" t="str">
        <f t="shared" si="4"/>
        <v>C3BFCNALG-A13LB BOLTHOUSE FRESH CAN A/B</v>
      </c>
    </row>
    <row r="262" spans="3:8" x14ac:dyDescent="0.25">
      <c r="C262" s="131" t="s">
        <v>557</v>
      </c>
      <c r="D262" s="132" t="s">
        <v>338</v>
      </c>
      <c r="E262" s="147">
        <v>12277</v>
      </c>
      <c r="F262" s="147">
        <v>22103</v>
      </c>
      <c r="G262" s="124">
        <v>48.32</v>
      </c>
      <c r="H262" s="142" t="str">
        <f t="shared" si="4"/>
        <v>1318Markon 6ct Romaine Hearts</v>
      </c>
    </row>
    <row r="263" spans="3:8" x14ac:dyDescent="0.25">
      <c r="C263" s="131" t="s">
        <v>174</v>
      </c>
      <c r="D263" s="133" t="s">
        <v>264</v>
      </c>
      <c r="E263" s="147">
        <v>12268</v>
      </c>
      <c r="F263" s="147">
        <v>22132</v>
      </c>
      <c r="G263" s="124">
        <v>40</v>
      </c>
      <c r="H263" s="142" t="str">
        <f t="shared" si="4"/>
        <v>002-40-55018-03Kroger 18oz Romaine Heart USA</v>
      </c>
    </row>
    <row r="264" spans="3:8" x14ac:dyDescent="0.25">
      <c r="C264" s="131" t="s">
        <v>548</v>
      </c>
      <c r="D264" s="133" t="s">
        <v>549</v>
      </c>
      <c r="E264" s="147">
        <v>12163</v>
      </c>
      <c r="F264" s="147">
        <v>22182</v>
      </c>
      <c r="G264" s="124">
        <v>25.73</v>
      </c>
      <c r="H264" s="142" t="str">
        <f t="shared" si="4"/>
        <v>C2BBALG-A42LB BRENDA BELLE FARMS AUTOBAG</v>
      </c>
    </row>
    <row r="265" spans="3:8" x14ac:dyDescent="0.25">
      <c r="C265" s="131" t="s">
        <v>558</v>
      </c>
      <c r="D265" s="132" t="s">
        <v>559</v>
      </c>
      <c r="E265" s="147">
        <v>12018</v>
      </c>
      <c r="F265" s="147">
        <v>21355</v>
      </c>
      <c r="G265" s="124">
        <v>74.2</v>
      </c>
      <c r="H265" s="142" t="str">
        <f t="shared" si="4"/>
        <v>3000009085LB SLICED APPLES DOLE</v>
      </c>
    </row>
    <row r="266" spans="3:8" x14ac:dyDescent="0.25">
      <c r="C266" s="131" t="s">
        <v>560</v>
      </c>
      <c r="D266" s="133" t="s">
        <v>521</v>
      </c>
      <c r="E266" s="147">
        <v>12078</v>
      </c>
      <c r="F266" s="147">
        <v>21535</v>
      </c>
      <c r="G266" s="124">
        <v>15.77</v>
      </c>
      <c r="H266" s="142" t="str">
        <f t="shared" si="4"/>
        <v>9801863EBF OrgCeleryHrts Bag USA</v>
      </c>
    </row>
    <row r="267" spans="3:8" x14ac:dyDescent="0.25">
      <c r="C267" s="134" t="s">
        <v>531</v>
      </c>
      <c r="D267" s="149" t="s">
        <v>532</v>
      </c>
      <c r="E267" s="147">
        <v>12299</v>
      </c>
      <c r="F267" s="147">
        <v>22095</v>
      </c>
      <c r="G267" s="124">
        <v>58.43</v>
      </c>
      <c r="H267" s="142" t="str">
        <f t="shared" si="4"/>
        <v>40040956SYSCO ROMAINE HEART BAG CLEAR</v>
      </c>
    </row>
    <row r="268" spans="3:8" x14ac:dyDescent="0.25">
      <c r="C268" s="134" t="s">
        <v>459</v>
      </c>
      <c r="D268" s="149" t="s">
        <v>504</v>
      </c>
      <c r="E268" s="147">
        <v>12131</v>
      </c>
      <c r="F268" s="147">
        <v>21685</v>
      </c>
      <c r="G268" s="124">
        <v>17.149999999999999</v>
      </c>
      <c r="H268" s="142" t="str">
        <f t="shared" si="4"/>
        <v>4962NOceanmist 13" Lettuce Bag</v>
      </c>
    </row>
    <row r="269" spans="3:8" x14ac:dyDescent="0.25">
      <c r="C269" s="134" t="s">
        <v>468</v>
      </c>
      <c r="D269" s="149" t="s">
        <v>469</v>
      </c>
      <c r="E269" s="147">
        <v>12238</v>
      </c>
      <c r="F269" s="147">
        <v>21975</v>
      </c>
      <c r="G269" s="124">
        <v>22.49</v>
      </c>
      <c r="H269" s="142" t="str">
        <f t="shared" si="4"/>
        <v>F2103Field Frsh Farm Cauli Wrap</v>
      </c>
    </row>
    <row r="270" spans="3:8" x14ac:dyDescent="0.25">
      <c r="C270" s="134" t="s">
        <v>561</v>
      </c>
      <c r="D270" s="149" t="s">
        <v>562</v>
      </c>
      <c r="E270" s="147">
        <v>12317</v>
      </c>
      <c r="F270" s="147">
        <v>22227</v>
      </c>
      <c r="G270" s="124">
        <v>40</v>
      </c>
      <c r="H270" s="142" t="str">
        <f t="shared" si="4"/>
        <v>002-40-55033-01Dole 23oz Romaine Hearts Mex</v>
      </c>
    </row>
    <row r="271" spans="3:8" x14ac:dyDescent="0.25">
      <c r="C271" s="134" t="s">
        <v>400</v>
      </c>
      <c r="D271" s="149" t="s">
        <v>563</v>
      </c>
      <c r="E271" s="147">
        <v>12178</v>
      </c>
      <c r="F271" s="147">
        <v>21796</v>
      </c>
      <c r="G271" s="124">
        <v>42.69</v>
      </c>
      <c r="H271" s="142" t="str">
        <f t="shared" si="4"/>
        <v>62021-11T&amp;A 6Ct Rom Hrts Nt Wt St</v>
      </c>
    </row>
    <row r="272" spans="3:8" x14ac:dyDescent="0.25">
      <c r="C272" s="134" t="s">
        <v>564</v>
      </c>
      <c r="D272" s="149" t="s">
        <v>565</v>
      </c>
      <c r="E272" s="147">
        <v>12229</v>
      </c>
      <c r="F272" s="147">
        <v>22158</v>
      </c>
      <c r="G272" s="124">
        <v>43.35</v>
      </c>
      <c r="H272" s="142" t="str">
        <f t="shared" si="4"/>
        <v>9801927Marketside 3ct Rom. Heart POM</v>
      </c>
    </row>
    <row r="273" spans="3:8" x14ac:dyDescent="0.25">
      <c r="C273" s="134" t="s">
        <v>135</v>
      </c>
      <c r="D273" s="149" t="s">
        <v>496</v>
      </c>
      <c r="E273" s="147">
        <v>12308</v>
      </c>
      <c r="F273" s="147">
        <v>22133</v>
      </c>
      <c r="G273" s="124">
        <v>75.25</v>
      </c>
      <c r="H273" s="142" t="str">
        <f t="shared" si="4"/>
        <v>61977-12Kroger's Artisan Baby Iceberg</v>
      </c>
    </row>
    <row r="274" spans="3:8" x14ac:dyDescent="0.25">
      <c r="C274" s="134" t="s">
        <v>163</v>
      </c>
      <c r="D274" s="149" t="s">
        <v>290</v>
      </c>
      <c r="E274" s="147">
        <v>12371</v>
      </c>
      <c r="F274" s="147">
        <v>22284</v>
      </c>
      <c r="G274" s="124">
        <v>40</v>
      </c>
      <c r="H274" s="142" t="str">
        <f t="shared" si="4"/>
        <v>002-40-55032-01Dole 23oz Romaine USA w/Zipper</v>
      </c>
    </row>
    <row r="275" spans="3:8" x14ac:dyDescent="0.25">
      <c r="C275" s="134" t="s">
        <v>557</v>
      </c>
      <c r="D275" s="149" t="s">
        <v>338</v>
      </c>
      <c r="E275" s="147">
        <v>12277</v>
      </c>
      <c r="F275" s="147">
        <v>22013</v>
      </c>
      <c r="G275" s="124">
        <v>48.32</v>
      </c>
      <c r="H275" s="142" t="str">
        <f t="shared" si="4"/>
        <v>1318Markon 6ct Romaine Hearts</v>
      </c>
    </row>
    <row r="276" spans="3:8" x14ac:dyDescent="0.25">
      <c r="C276" s="134" t="s">
        <v>566</v>
      </c>
      <c r="D276" s="149" t="s">
        <v>235</v>
      </c>
      <c r="E276" s="147">
        <v>12221</v>
      </c>
      <c r="F276" s="147">
        <v>21960</v>
      </c>
      <c r="G276" s="124">
        <v>19.239999999999998</v>
      </c>
      <c r="H276" s="142" t="str">
        <f t="shared" si="4"/>
        <v>1314Church Bros Cauliflower</v>
      </c>
    </row>
    <row r="277" spans="3:8" x14ac:dyDescent="0.25">
      <c r="C277" s="134" t="s">
        <v>567</v>
      </c>
      <c r="D277" s="149" t="s">
        <v>568</v>
      </c>
      <c r="E277" s="147">
        <v>12257</v>
      </c>
      <c r="F277" s="147">
        <v>22503</v>
      </c>
      <c r="G277" s="124">
        <v>22.03</v>
      </c>
      <c r="H277" s="142" t="str">
        <f t="shared" si="4"/>
        <v>002-20-10032-00Dole 1lb Broccoli Crowns AZ ID</v>
      </c>
    </row>
    <row r="278" spans="3:8" x14ac:dyDescent="0.25">
      <c r="C278" s="134" t="s">
        <v>551</v>
      </c>
      <c r="D278" s="149" t="s">
        <v>552</v>
      </c>
      <c r="E278" s="147">
        <v>12112</v>
      </c>
      <c r="F278" s="147">
        <v>22260</v>
      </c>
      <c r="G278" s="124">
        <v>39.86</v>
      </c>
      <c r="H278" s="142" t="str">
        <f t="shared" si="4"/>
        <v>9801895EBF Org Romaine Hrts 3ct - POM</v>
      </c>
    </row>
    <row r="279" spans="3:8" x14ac:dyDescent="0.25">
      <c r="C279" s="134" t="s">
        <v>569</v>
      </c>
      <c r="D279" s="149" t="s">
        <v>570</v>
      </c>
      <c r="E279" s="147">
        <v>12231</v>
      </c>
      <c r="F279" s="147">
        <v>22020</v>
      </c>
      <c r="G279" s="124">
        <v>23.98</v>
      </c>
      <c r="H279" s="142" t="str">
        <f t="shared" si="4"/>
        <v>9801908TFR Org Marketside Broccoli</v>
      </c>
    </row>
    <row r="280" spans="3:8" x14ac:dyDescent="0.25">
      <c r="C280" s="134" t="s">
        <v>541</v>
      </c>
      <c r="D280" s="149" t="s">
        <v>542</v>
      </c>
      <c r="E280" s="147">
        <v>12202</v>
      </c>
      <c r="F280" s="147">
        <v>22134</v>
      </c>
      <c r="G280" s="124">
        <v>43.35</v>
      </c>
      <c r="H280" s="142" t="str">
        <f t="shared" si="4"/>
        <v>9801899Marketside 12oz Rom Hearts USA</v>
      </c>
    </row>
    <row r="281" spans="3:8" x14ac:dyDescent="0.25">
      <c r="C281" s="134" t="s">
        <v>564</v>
      </c>
      <c r="D281" s="149" t="s">
        <v>565</v>
      </c>
      <c r="E281" s="147">
        <v>12229</v>
      </c>
      <c r="F281" s="147">
        <v>22158</v>
      </c>
      <c r="G281" s="124">
        <v>43.35</v>
      </c>
      <c r="H281" s="142" t="str">
        <f t="shared" si="4"/>
        <v>9801927Marketside 3ct Rom. Heart POM</v>
      </c>
    </row>
    <row r="282" spans="3:8" x14ac:dyDescent="0.25">
      <c r="C282" s="131" t="s">
        <v>527</v>
      </c>
      <c r="D282" s="149" t="s">
        <v>528</v>
      </c>
      <c r="E282" s="147">
        <v>12159</v>
      </c>
      <c r="F282" s="147">
        <v>21809</v>
      </c>
      <c r="G282" s="124">
        <v>19.559999999999999</v>
      </c>
      <c r="H282" s="142" t="str">
        <f t="shared" si="4"/>
        <v>C1BFCNALG-A11LB BOLTHOUSE FRESH CAN FS A/B</v>
      </c>
    </row>
    <row r="283" spans="3:8" x14ac:dyDescent="0.25">
      <c r="C283" s="131" t="s">
        <v>515</v>
      </c>
      <c r="D283" s="149" t="s">
        <v>516</v>
      </c>
      <c r="E283" s="147">
        <v>12366</v>
      </c>
      <c r="F283" s="147">
        <v>22359</v>
      </c>
      <c r="G283" s="124">
        <v>30.15</v>
      </c>
      <c r="H283" s="142" t="str">
        <f t="shared" si="4"/>
        <v>C3BFCNALG-A13LB BOLTHOUSE FRESH CAN A/B</v>
      </c>
    </row>
    <row r="284" spans="3:8" x14ac:dyDescent="0.25">
      <c r="C284" s="131" t="s">
        <v>571</v>
      </c>
      <c r="D284" s="149" t="s">
        <v>572</v>
      </c>
      <c r="E284" s="147">
        <v>12002</v>
      </c>
      <c r="F284" s="147">
        <v>21572</v>
      </c>
      <c r="G284" s="124">
        <v>43.71</v>
      </c>
      <c r="H284" s="142" t="str">
        <f t="shared" si="4"/>
        <v>C5BFCNLA-A15LB BOLTHOUSE FRESH CAN FS A/B</v>
      </c>
    </row>
    <row r="285" spans="3:8" x14ac:dyDescent="0.25">
      <c r="C285" s="131" t="s">
        <v>573</v>
      </c>
      <c r="D285" s="149" t="s">
        <v>574</v>
      </c>
      <c r="E285" s="147">
        <v>12294</v>
      </c>
      <c r="F285" s="147">
        <v>22136</v>
      </c>
      <c r="G285" s="124">
        <v>66.56</v>
      </c>
      <c r="H285" s="142" t="str">
        <f t="shared" si="4"/>
        <v>3000009115LB RED TART CHERRIES DOLE</v>
      </c>
    </row>
    <row r="286" spans="3:8" x14ac:dyDescent="0.25">
      <c r="C286" s="131" t="s">
        <v>575</v>
      </c>
      <c r="D286" s="149" t="s">
        <v>576</v>
      </c>
      <c r="E286" s="147">
        <v>12292</v>
      </c>
      <c r="F286" s="147">
        <v>22100</v>
      </c>
      <c r="G286" s="124">
        <v>17.25</v>
      </c>
      <c r="H286" s="142" t="str">
        <f t="shared" si="4"/>
        <v>KER-1FSWKT1LB FIRST STREET CRT WKT</v>
      </c>
    </row>
    <row r="287" spans="3:8" x14ac:dyDescent="0.25">
      <c r="C287" s="131" t="s">
        <v>555</v>
      </c>
      <c r="D287" s="149" t="s">
        <v>556</v>
      </c>
      <c r="E287" s="147">
        <v>12293</v>
      </c>
      <c r="F287" s="147">
        <v>22099</v>
      </c>
      <c r="G287" s="124">
        <v>16.32</v>
      </c>
      <c r="H287" s="142" t="str">
        <f t="shared" si="4"/>
        <v>KER-0921LB NATURES GOLD FS</v>
      </c>
    </row>
    <row r="288" spans="3:8" x14ac:dyDescent="0.25">
      <c r="C288" s="131" t="s">
        <v>577</v>
      </c>
      <c r="D288" s="149" t="s">
        <v>578</v>
      </c>
      <c r="E288" s="147">
        <v>12157</v>
      </c>
      <c r="F288" s="147">
        <v>21748</v>
      </c>
      <c r="G288" s="124">
        <v>16.7</v>
      </c>
      <c r="H288" s="142" t="str">
        <f t="shared" si="4"/>
        <v>54972BAG, 2# KROGER, RS</v>
      </c>
    </row>
    <row r="289" spans="3:8" x14ac:dyDescent="0.25">
      <c r="C289" s="134">
        <v>1320</v>
      </c>
      <c r="D289" s="149" t="s">
        <v>579</v>
      </c>
      <c r="E289" s="147">
        <v>12375</v>
      </c>
      <c r="F289" s="147">
        <v>22341</v>
      </c>
      <c r="G289" s="124">
        <v>28.98</v>
      </c>
      <c r="H289" s="150" t="str">
        <f t="shared" si="4"/>
        <v>1320Markon 3ct Romaine Hearts</v>
      </c>
    </row>
    <row r="290" spans="3:8" x14ac:dyDescent="0.25">
      <c r="C290" s="134" t="s">
        <v>135</v>
      </c>
      <c r="D290" s="149" t="s">
        <v>496</v>
      </c>
      <c r="E290" s="147">
        <v>12308</v>
      </c>
      <c r="F290" s="147">
        <v>22133</v>
      </c>
      <c r="G290" s="124">
        <v>75.25</v>
      </c>
      <c r="H290" s="150" t="str">
        <f t="shared" si="4"/>
        <v>61977-12Kroger's Artisan Baby Iceberg</v>
      </c>
    </row>
    <row r="291" spans="3:8" x14ac:dyDescent="0.25">
      <c r="C291" s="134" t="s">
        <v>580</v>
      </c>
      <c r="D291" s="149" t="s">
        <v>581</v>
      </c>
      <c r="E291" s="147">
        <v>12333</v>
      </c>
      <c r="F291" s="147">
        <v>22343</v>
      </c>
      <c r="G291" s="124">
        <v>50.8</v>
      </c>
      <c r="H291" s="150" t="str">
        <f t="shared" si="4"/>
        <v>002-40-56068-02Wild Hrvst 3ct O Rom Hrt MX</v>
      </c>
    </row>
    <row r="292" spans="3:8" x14ac:dyDescent="0.25">
      <c r="C292" s="134" t="s">
        <v>174</v>
      </c>
      <c r="D292" s="149" t="s">
        <v>264</v>
      </c>
      <c r="E292" s="147">
        <v>12268</v>
      </c>
      <c r="F292" s="147">
        <v>22132</v>
      </c>
      <c r="G292" s="124">
        <v>40</v>
      </c>
      <c r="H292" s="150" t="str">
        <f t="shared" si="4"/>
        <v>002-40-55018-03Kroger 18oz Romaine Heart USA</v>
      </c>
    </row>
    <row r="293" spans="3:8" x14ac:dyDescent="0.25">
      <c r="C293" s="134" t="s">
        <v>517</v>
      </c>
      <c r="D293" s="149" t="s">
        <v>371</v>
      </c>
      <c r="E293" s="147">
        <v>12211</v>
      </c>
      <c r="F293" s="147">
        <v>21962</v>
      </c>
      <c r="G293" s="124">
        <v>40</v>
      </c>
      <c r="H293" s="150" t="str">
        <f t="shared" ref="H293:H546" si="5">_xlfn.CONCAT(C293,D293)</f>
        <v>61653-15T&amp;A 3ct Artisan Romaine-Zipper</v>
      </c>
    </row>
    <row r="294" spans="3:8" x14ac:dyDescent="0.25">
      <c r="C294" s="134" t="s">
        <v>213</v>
      </c>
      <c r="D294" s="149" t="s">
        <v>582</v>
      </c>
      <c r="E294" s="147">
        <v>12344</v>
      </c>
      <c r="F294" s="147">
        <v>22223</v>
      </c>
      <c r="G294" s="124">
        <v>99.79</v>
      </c>
      <c r="H294" s="150" t="str">
        <f t="shared" si="5"/>
        <v>61953-11KROGER 2Ct Artsn Rom SUP</v>
      </c>
    </row>
    <row r="295" spans="3:8" x14ac:dyDescent="0.25">
      <c r="C295" s="134">
        <v>1749036</v>
      </c>
      <c r="D295" s="149" t="s">
        <v>477</v>
      </c>
      <c r="E295" s="147">
        <v>12365</v>
      </c>
      <c r="F295" s="147">
        <v>22353</v>
      </c>
      <c r="G295" s="124">
        <v>40</v>
      </c>
      <c r="H295" s="150" t="str">
        <f t="shared" si="5"/>
        <v>1749036Foxy 3ct Org Rom Biling. POM</v>
      </c>
    </row>
    <row r="296" spans="3:8" ht="16.5" customHeight="1" x14ac:dyDescent="0.25">
      <c r="C296" s="151" t="s">
        <v>84</v>
      </c>
      <c r="D296" s="152" t="s">
        <v>144</v>
      </c>
      <c r="E296" s="147">
        <v>12327</v>
      </c>
      <c r="F296" s="147">
        <v>22233</v>
      </c>
      <c r="G296" s="124">
        <v>31.41</v>
      </c>
      <c r="H296" s="150" t="str">
        <f t="shared" si="5"/>
        <v>61245-12TJ's 2ct Celery HRTS-ZIP</v>
      </c>
    </row>
    <row r="297" spans="3:8" ht="16.5" customHeight="1" x14ac:dyDescent="0.25">
      <c r="C297" s="153" t="s">
        <v>583</v>
      </c>
      <c r="D297" s="154" t="s">
        <v>584</v>
      </c>
      <c r="E297" s="147">
        <v>11884</v>
      </c>
      <c r="F297" s="147">
        <v>22749</v>
      </c>
      <c r="G297" s="124">
        <v>40</v>
      </c>
      <c r="H297" s="150" t="str">
        <f t="shared" si="5"/>
        <v>0958MOM 3ct Rom Hrt BIL Zip 1 POM</v>
      </c>
    </row>
    <row r="298" spans="3:8" ht="16.5" customHeight="1" x14ac:dyDescent="0.25">
      <c r="C298" s="153" t="s">
        <v>585</v>
      </c>
      <c r="D298" s="154" t="s">
        <v>586</v>
      </c>
      <c r="E298" s="147">
        <v>12249</v>
      </c>
      <c r="F298" s="147">
        <v>22307</v>
      </c>
      <c r="G298" s="124">
        <v>22.56</v>
      </c>
      <c r="H298" s="150" t="str">
        <f t="shared" si="5"/>
        <v>0930MOM 3ct Rom Hearts BI NoZip POM</v>
      </c>
    </row>
    <row r="299" spans="3:8" ht="16.5" customHeight="1" x14ac:dyDescent="0.25">
      <c r="C299" s="153" t="s">
        <v>529</v>
      </c>
      <c r="D299" s="154" t="s">
        <v>530</v>
      </c>
      <c r="E299" s="147">
        <v>11985</v>
      </c>
      <c r="F299" s="147">
        <v>22191</v>
      </c>
      <c r="G299" s="124">
        <v>22.96</v>
      </c>
      <c r="H299" s="150" t="str">
        <f t="shared" si="5"/>
        <v>61186-19T&amp;A Celery Sleeve 30's USA-Bil</v>
      </c>
    </row>
    <row r="300" spans="3:8" ht="15.75" x14ac:dyDescent="0.25">
      <c r="C300" s="153" t="s">
        <v>566</v>
      </c>
      <c r="D300" s="154" t="s">
        <v>235</v>
      </c>
      <c r="E300" s="147">
        <v>12221</v>
      </c>
      <c r="F300" s="147">
        <v>21960</v>
      </c>
      <c r="G300" s="124">
        <v>19.239999999999998</v>
      </c>
      <c r="H300" s="150" t="str">
        <f t="shared" si="5"/>
        <v>1314Church Bros Cauliflower</v>
      </c>
    </row>
    <row r="301" spans="3:8" ht="15.75" x14ac:dyDescent="0.25">
      <c r="C301" s="153" t="s">
        <v>202</v>
      </c>
      <c r="D301" s="154" t="s">
        <v>472</v>
      </c>
      <c r="E301" s="147">
        <v>12337</v>
      </c>
      <c r="F301" s="147">
        <v>22235</v>
      </c>
      <c r="G301" s="124">
        <v>48.3</v>
      </c>
      <c r="H301" s="150" t="str">
        <f t="shared" si="5"/>
        <v>506957AMann 6ct Romaine</v>
      </c>
    </row>
    <row r="302" spans="3:8" ht="15.75" x14ac:dyDescent="0.25">
      <c r="C302" s="153" t="s">
        <v>587</v>
      </c>
      <c r="D302" s="154" t="s">
        <v>224</v>
      </c>
      <c r="E302" s="147">
        <v>12412</v>
      </c>
      <c r="F302" s="147">
        <v>22521</v>
      </c>
      <c r="G302" s="124">
        <v>38.659999999999997</v>
      </c>
      <c r="H302" s="150" t="str">
        <f t="shared" si="5"/>
        <v>9503025TFR 6Ct Rom Hrts MEX-Purple</v>
      </c>
    </row>
    <row r="303" spans="3:8" ht="15.75" x14ac:dyDescent="0.25">
      <c r="C303" s="153" t="s">
        <v>202</v>
      </c>
      <c r="D303" s="154" t="s">
        <v>472</v>
      </c>
      <c r="E303" s="147">
        <v>12337</v>
      </c>
      <c r="F303" s="147">
        <v>22235</v>
      </c>
      <c r="G303" s="124">
        <v>48.3</v>
      </c>
      <c r="H303" s="150" t="str">
        <f t="shared" si="5"/>
        <v>506957AMann 6ct Romaine</v>
      </c>
    </row>
    <row r="304" spans="3:8" ht="15.75" x14ac:dyDescent="0.25">
      <c r="C304" s="153" t="s">
        <v>213</v>
      </c>
      <c r="D304" s="154" t="s">
        <v>582</v>
      </c>
      <c r="E304" s="147">
        <v>12344</v>
      </c>
      <c r="F304" s="147">
        <v>22223</v>
      </c>
      <c r="G304" s="124">
        <v>99.79</v>
      </c>
      <c r="H304" s="150" t="str">
        <f t="shared" si="5"/>
        <v>61953-11KROGER 2Ct Artsn Rom SUP</v>
      </c>
    </row>
    <row r="305" spans="3:8" ht="15.75" x14ac:dyDescent="0.25">
      <c r="C305" s="153" t="s">
        <v>175</v>
      </c>
      <c r="D305" s="154" t="s">
        <v>588</v>
      </c>
      <c r="E305" s="147">
        <v>12342</v>
      </c>
      <c r="F305" s="147">
        <v>22224</v>
      </c>
      <c r="G305" s="124">
        <v>40</v>
      </c>
      <c r="H305" s="150" t="str">
        <f t="shared" si="5"/>
        <v>506694CWestern Family 3ct Romaine</v>
      </c>
    </row>
    <row r="306" spans="3:8" x14ac:dyDescent="0.25">
      <c r="C306" s="155" t="s">
        <v>589</v>
      </c>
      <c r="D306" s="156" t="s">
        <v>590</v>
      </c>
      <c r="E306" s="147">
        <v>12213</v>
      </c>
      <c r="F306" s="147">
        <v>21945</v>
      </c>
      <c r="G306" s="124">
        <v>21.88</v>
      </c>
      <c r="H306" s="150" t="str">
        <f t="shared" si="5"/>
        <v>61769-11T&amp;A Org Cauliflower USA</v>
      </c>
    </row>
    <row r="307" spans="3:8" x14ac:dyDescent="0.25">
      <c r="C307" s="131" t="s">
        <v>548</v>
      </c>
      <c r="D307" s="133" t="s">
        <v>549</v>
      </c>
      <c r="E307" s="147">
        <v>12163</v>
      </c>
      <c r="F307" s="147">
        <v>22182</v>
      </c>
      <c r="G307" s="124">
        <v>25.73</v>
      </c>
      <c r="H307" s="150" t="str">
        <f t="shared" si="5"/>
        <v>C2BBALG-A42LB BRENDA BELLE FARMS AUTOBAG</v>
      </c>
    </row>
    <row r="308" spans="3:8" x14ac:dyDescent="0.25">
      <c r="C308" s="131" t="s">
        <v>566</v>
      </c>
      <c r="D308" s="133" t="s">
        <v>235</v>
      </c>
      <c r="E308" s="147">
        <v>12221</v>
      </c>
      <c r="F308" s="147">
        <v>21960</v>
      </c>
      <c r="G308" s="124">
        <v>19.239999999999998</v>
      </c>
      <c r="H308" s="150" t="str">
        <f t="shared" si="5"/>
        <v>1314Church Bros Cauliflower</v>
      </c>
    </row>
    <row r="309" spans="3:8" x14ac:dyDescent="0.25">
      <c r="C309" s="155" t="s">
        <v>400</v>
      </c>
      <c r="D309" s="156" t="s">
        <v>563</v>
      </c>
      <c r="E309" s="147">
        <v>12319</v>
      </c>
      <c r="F309" s="147">
        <v>22171</v>
      </c>
      <c r="G309" s="124">
        <v>40.98</v>
      </c>
      <c r="H309" s="150" t="str">
        <f t="shared" si="5"/>
        <v>62021-11T&amp;A 6Ct Rom Hrts Nt Wt St</v>
      </c>
    </row>
    <row r="310" spans="3:8" x14ac:dyDescent="0.25">
      <c r="C310" s="131" t="s">
        <v>591</v>
      </c>
      <c r="D310" s="133" t="s">
        <v>592</v>
      </c>
      <c r="E310" s="147">
        <v>12134</v>
      </c>
      <c r="F310" s="147">
        <v>21991</v>
      </c>
      <c r="G310" s="124">
        <v>18.350000000000001</v>
      </c>
      <c r="H310" s="150" t="str">
        <f t="shared" si="5"/>
        <v>002-00-80005-0113.5" KING SIZE LETTUCE</v>
      </c>
    </row>
    <row r="311" spans="3:8" x14ac:dyDescent="0.25">
      <c r="C311" s="155" t="s">
        <v>593</v>
      </c>
      <c r="D311" s="156" t="s">
        <v>594</v>
      </c>
      <c r="E311" s="147">
        <v>12321</v>
      </c>
      <c r="F311" s="147">
        <v>22691</v>
      </c>
      <c r="G311" s="124">
        <v>14.75</v>
      </c>
      <c r="H311" s="150" t="str">
        <f t="shared" si="5"/>
        <v>KER-0891 LB Kern Ridge WKT Long 7x16</v>
      </c>
    </row>
    <row r="312" spans="3:8" x14ac:dyDescent="0.25">
      <c r="C312" s="131" t="s">
        <v>595</v>
      </c>
      <c r="D312" s="132" t="s">
        <v>132</v>
      </c>
      <c r="E312" s="147">
        <v>12279</v>
      </c>
      <c r="F312" s="147">
        <v>22120</v>
      </c>
      <c r="G312" s="124">
        <v>38.35</v>
      </c>
      <c r="H312" s="150" t="str">
        <f t="shared" si="5"/>
        <v>1580Church Bros 5ct Petite Romaine</v>
      </c>
    </row>
    <row r="313" spans="3:8" x14ac:dyDescent="0.25">
      <c r="C313" s="131" t="s">
        <v>217</v>
      </c>
      <c r="D313" s="133" t="s">
        <v>372</v>
      </c>
      <c r="E313" s="147">
        <v>12358</v>
      </c>
      <c r="F313" s="147">
        <v>22352</v>
      </c>
      <c r="G313" s="124">
        <v>17.5</v>
      </c>
      <c r="H313" s="150" t="str">
        <f t="shared" si="5"/>
        <v>19800975-01Queen Vic 14 UPC PLU Lett US</v>
      </c>
    </row>
    <row r="314" spans="3:8" x14ac:dyDescent="0.25">
      <c r="C314" s="131" t="s">
        <v>537</v>
      </c>
      <c r="D314" s="133" t="s">
        <v>538</v>
      </c>
      <c r="E314" s="147">
        <v>12247</v>
      </c>
      <c r="F314" s="147">
        <v>21923</v>
      </c>
      <c r="G314" s="124">
        <v>16.46</v>
      </c>
      <c r="H314" s="150" t="str">
        <f t="shared" si="5"/>
        <v>002-00-53348-02Dole Canadian 13.5" Lettuce</v>
      </c>
    </row>
    <row r="315" spans="3:8" x14ac:dyDescent="0.25">
      <c r="C315" s="131" t="s">
        <v>596</v>
      </c>
      <c r="D315" s="133" t="s">
        <v>597</v>
      </c>
      <c r="E315" s="147">
        <v>12209</v>
      </c>
      <c r="F315" s="147">
        <v>22143</v>
      </c>
      <c r="G315" s="124">
        <v>44.53</v>
      </c>
      <c r="H315" s="150" t="str">
        <f t="shared" si="5"/>
        <v>C5NPROLA-A45LB NAT PROM ORG LONG AB CELLO</v>
      </c>
    </row>
    <row r="316" spans="3:8" x14ac:dyDescent="0.25">
      <c r="C316" s="131" t="s">
        <v>577</v>
      </c>
      <c r="D316" s="132" t="s">
        <v>578</v>
      </c>
      <c r="E316" s="147">
        <v>12157</v>
      </c>
      <c r="F316" s="147">
        <v>21748</v>
      </c>
      <c r="G316" s="124">
        <v>16.7</v>
      </c>
      <c r="H316" s="150" t="str">
        <f t="shared" si="5"/>
        <v>54972BAG, 2# KROGER, RS</v>
      </c>
    </row>
    <row r="317" spans="3:8" ht="15.75" x14ac:dyDescent="0.25">
      <c r="C317" s="131" t="s">
        <v>548</v>
      </c>
      <c r="D317" s="133" t="s">
        <v>549</v>
      </c>
      <c r="E317" s="146">
        <v>12163</v>
      </c>
      <c r="F317" s="157">
        <v>22182</v>
      </c>
      <c r="G317">
        <v>25.73</v>
      </c>
      <c r="H317" s="150" t="str">
        <f t="shared" si="5"/>
        <v>C2BBALG-A42LB BRENDA BELLE FARMS AUTOBAG</v>
      </c>
    </row>
    <row r="318" spans="3:8" ht="15.75" x14ac:dyDescent="0.25">
      <c r="C318" s="131" t="s">
        <v>566</v>
      </c>
      <c r="D318" s="133" t="s">
        <v>235</v>
      </c>
      <c r="E318" s="146">
        <v>12221</v>
      </c>
      <c r="F318" s="157">
        <v>21960</v>
      </c>
      <c r="G318">
        <v>19.239999999999998</v>
      </c>
      <c r="H318" s="150" t="str">
        <f t="shared" si="5"/>
        <v>1314Church Bros Cauliflower</v>
      </c>
    </row>
    <row r="319" spans="3:8" ht="15.75" x14ac:dyDescent="0.25">
      <c r="C319" s="155" t="s">
        <v>400</v>
      </c>
      <c r="D319" s="156" t="s">
        <v>563</v>
      </c>
      <c r="E319" s="146">
        <v>12319</v>
      </c>
      <c r="F319" s="157">
        <v>22171</v>
      </c>
      <c r="G319">
        <v>40.98</v>
      </c>
      <c r="H319" s="150" t="str">
        <f t="shared" si="5"/>
        <v>62021-11T&amp;A 6Ct Rom Hrts Nt Wt St</v>
      </c>
    </row>
    <row r="320" spans="3:8" ht="15.75" x14ac:dyDescent="0.25">
      <c r="C320" s="155" t="s">
        <v>593</v>
      </c>
      <c r="D320" s="156" t="s">
        <v>594</v>
      </c>
      <c r="E320" s="146">
        <v>12321</v>
      </c>
      <c r="F320" s="157">
        <v>22691</v>
      </c>
      <c r="G320">
        <v>14.75</v>
      </c>
      <c r="H320" s="150" t="str">
        <f t="shared" si="5"/>
        <v>KER-0891 LB Kern Ridge WKT Long 7x16</v>
      </c>
    </row>
    <row r="321" spans="3:8" ht="15.75" x14ac:dyDescent="0.25">
      <c r="C321" s="131" t="s">
        <v>598</v>
      </c>
      <c r="D321" s="133" t="s">
        <v>599</v>
      </c>
      <c r="E321" s="146">
        <v>12207</v>
      </c>
      <c r="F321" s="157">
        <v>22017</v>
      </c>
      <c r="G321">
        <v>24.07</v>
      </c>
      <c r="H321" s="150" t="str">
        <f t="shared" si="5"/>
        <v>9801910Marketside Org Cauliflower USA</v>
      </c>
    </row>
    <row r="322" spans="3:8" ht="15.75" x14ac:dyDescent="0.25">
      <c r="C322" s="131" t="s">
        <v>529</v>
      </c>
      <c r="D322" s="133" t="s">
        <v>530</v>
      </c>
      <c r="E322" s="146">
        <v>11985</v>
      </c>
      <c r="F322" s="157">
        <v>22191</v>
      </c>
      <c r="G322">
        <v>22.96</v>
      </c>
      <c r="H322" s="150" t="str">
        <f t="shared" si="5"/>
        <v>61186-19T&amp;A Celery Sleeve 30's USA-Bil</v>
      </c>
    </row>
    <row r="323" spans="3:8" ht="15.75" x14ac:dyDescent="0.25">
      <c r="C323" s="131" t="s">
        <v>554</v>
      </c>
      <c r="D323" s="133" t="s">
        <v>524</v>
      </c>
      <c r="E323" s="146">
        <v>12189</v>
      </c>
      <c r="F323" s="157">
        <v>21825</v>
      </c>
      <c r="G323">
        <v>17.05</v>
      </c>
      <c r="H323" s="150" t="str">
        <f t="shared" si="5"/>
        <v>496013" UPC/PLU CLR IcebergLett OM</v>
      </c>
    </row>
    <row r="324" spans="3:8" ht="15.75" x14ac:dyDescent="0.25">
      <c r="C324" s="131" t="s">
        <v>596</v>
      </c>
      <c r="D324" s="132" t="s">
        <v>597</v>
      </c>
      <c r="E324" s="146">
        <v>12209</v>
      </c>
      <c r="F324" s="157">
        <v>22143</v>
      </c>
      <c r="G324">
        <v>44.53</v>
      </c>
      <c r="H324" s="150" t="str">
        <f t="shared" si="5"/>
        <v>C5NPROLA-A45LB NAT PROM ORG LONG AB CELLO</v>
      </c>
    </row>
    <row r="325" spans="3:8" ht="15.75" x14ac:dyDescent="0.25">
      <c r="C325" s="131" t="s">
        <v>591</v>
      </c>
      <c r="D325" s="132" t="s">
        <v>592</v>
      </c>
      <c r="E325" s="146">
        <v>12134</v>
      </c>
      <c r="F325" s="157">
        <v>21991</v>
      </c>
      <c r="G325">
        <v>18.350000000000001</v>
      </c>
      <c r="H325" s="150" t="str">
        <f t="shared" si="5"/>
        <v>002-00-80005-0113.5" KING SIZE LETTUCE</v>
      </c>
    </row>
    <row r="326" spans="3:8" ht="15.75" x14ac:dyDescent="0.25">
      <c r="C326" s="131" t="s">
        <v>217</v>
      </c>
      <c r="D326" s="133" t="s">
        <v>372</v>
      </c>
      <c r="E326" s="146">
        <v>12358</v>
      </c>
      <c r="F326" s="157">
        <v>22352</v>
      </c>
      <c r="G326">
        <v>17.5</v>
      </c>
      <c r="H326" s="150" t="str">
        <f t="shared" si="5"/>
        <v>19800975-01Queen Vic 14 UPC PLU Lett US</v>
      </c>
    </row>
    <row r="327" spans="3:8" ht="15.75" x14ac:dyDescent="0.25">
      <c r="C327" s="134" t="s">
        <v>600</v>
      </c>
      <c r="D327" s="149" t="s">
        <v>601</v>
      </c>
      <c r="E327" s="147">
        <v>12372</v>
      </c>
      <c r="F327" s="157">
        <v>22515</v>
      </c>
      <c r="G327">
        <v>23.48</v>
      </c>
      <c r="H327" s="150" t="str">
        <f t="shared" si="5"/>
        <v>61837-11T&amp;A Org Broccoli Bunch USA</v>
      </c>
    </row>
    <row r="328" spans="3:8" ht="15.75" x14ac:dyDescent="0.25">
      <c r="C328" s="131" t="s">
        <v>548</v>
      </c>
      <c r="D328" s="133" t="s">
        <v>549</v>
      </c>
      <c r="E328" s="146">
        <v>12163</v>
      </c>
      <c r="F328" s="157">
        <v>22182</v>
      </c>
      <c r="G328">
        <v>25.73</v>
      </c>
      <c r="H328" s="150" t="str">
        <f t="shared" si="5"/>
        <v>C2BBALG-A42LB BRENDA BELLE FARMS AUTOBAG</v>
      </c>
    </row>
    <row r="329" spans="3:8" ht="15.75" x14ac:dyDescent="0.25">
      <c r="C329" s="131" t="s">
        <v>602</v>
      </c>
      <c r="D329" s="133" t="s">
        <v>603</v>
      </c>
      <c r="E329" s="146">
        <v>12322</v>
      </c>
      <c r="F329" s="157">
        <v>22452</v>
      </c>
      <c r="G329">
        <v>35.549999999999997</v>
      </c>
      <c r="H329" s="150" t="str">
        <f t="shared" si="5"/>
        <v>5CALOSBPW-15lb Cal O Sunburst Poly Wicket</v>
      </c>
    </row>
    <row r="330" spans="3:8" ht="15.75" x14ac:dyDescent="0.25">
      <c r="C330" s="155" t="s">
        <v>604</v>
      </c>
      <c r="D330" s="156" t="s">
        <v>605</v>
      </c>
      <c r="E330" s="146">
        <v>12284</v>
      </c>
      <c r="F330" s="157">
        <v>22241</v>
      </c>
      <c r="G330">
        <v>25.47</v>
      </c>
      <c r="H330" s="150" t="str">
        <f t="shared" si="5"/>
        <v>506967AMann Broccoli w/Vents-Anti-fog</v>
      </c>
    </row>
    <row r="331" spans="3:8" ht="15.75" x14ac:dyDescent="0.25">
      <c r="C331" s="131" t="s">
        <v>606</v>
      </c>
      <c r="D331" s="132" t="s">
        <v>607</v>
      </c>
      <c r="E331" s="146">
        <v>12440</v>
      </c>
      <c r="F331" s="157">
        <v>22587</v>
      </c>
      <c r="G331">
        <v>72.73</v>
      </c>
      <c r="H331" s="150" t="str">
        <f t="shared" si="5"/>
        <v>9801902TFRCOSTCO USA 6Ct Romaine Hrts</v>
      </c>
    </row>
    <row r="332" spans="3:8" ht="15.75" x14ac:dyDescent="0.25">
      <c r="C332" s="131" t="s">
        <v>84</v>
      </c>
      <c r="D332" s="132" t="s">
        <v>144</v>
      </c>
      <c r="E332" s="146">
        <v>12327</v>
      </c>
      <c r="F332" s="157">
        <v>22233</v>
      </c>
      <c r="G332">
        <v>31.41</v>
      </c>
      <c r="H332" s="150" t="str">
        <f t="shared" si="5"/>
        <v>61245-12TJ's 2ct Celery HRTS-ZIP</v>
      </c>
    </row>
    <row r="333" spans="3:8" ht="15.75" x14ac:dyDescent="0.25">
      <c r="C333" s="134" t="s">
        <v>206</v>
      </c>
      <c r="D333" s="125" t="s">
        <v>608</v>
      </c>
      <c r="E333" s="147">
        <v>12287</v>
      </c>
      <c r="F333" s="159">
        <v>22102</v>
      </c>
      <c r="G333">
        <v>21</v>
      </c>
      <c r="H333" s="150" t="str">
        <f t="shared" si="5"/>
        <v>KER-0912LB KERN RIDGE FS WKT</v>
      </c>
    </row>
    <row r="334" spans="3:8" ht="15.75" x14ac:dyDescent="0.25">
      <c r="C334" s="134" t="s">
        <v>593</v>
      </c>
      <c r="D334" s="125" t="s">
        <v>594</v>
      </c>
      <c r="E334" s="147">
        <v>12321</v>
      </c>
      <c r="F334" s="159">
        <v>22691</v>
      </c>
      <c r="G334">
        <v>14.75</v>
      </c>
      <c r="H334" s="150" t="str">
        <f t="shared" si="5"/>
        <v>KER-0891 LB Kern Ridge WKT Long 7x16</v>
      </c>
    </row>
    <row r="335" spans="3:8" ht="15.75" x14ac:dyDescent="0.25">
      <c r="C335" s="134" t="s">
        <v>493</v>
      </c>
      <c r="D335" s="125" t="s">
        <v>501</v>
      </c>
      <c r="E335" s="147">
        <v>12350</v>
      </c>
      <c r="F335" s="159">
        <v>22588</v>
      </c>
      <c r="G335">
        <v>18.7</v>
      </c>
      <c r="H335" s="150" t="str">
        <f t="shared" si="5"/>
        <v>121799BAG 12OZ TARGET MW PERF'D</v>
      </c>
    </row>
    <row r="336" spans="3:8" ht="15.75" x14ac:dyDescent="0.25">
      <c r="C336" s="134" t="s">
        <v>577</v>
      </c>
      <c r="D336" s="125" t="s">
        <v>609</v>
      </c>
      <c r="E336" s="147">
        <v>12425</v>
      </c>
      <c r="F336" s="159">
        <v>22557</v>
      </c>
      <c r="G336">
        <v>16.7</v>
      </c>
      <c r="H336" s="150" t="str">
        <f t="shared" si="5"/>
        <v>54972BAG, 2#, KROGER, RS</v>
      </c>
    </row>
    <row r="337" spans="3:8" ht="15.75" x14ac:dyDescent="0.25">
      <c r="C337" s="134" t="s">
        <v>610</v>
      </c>
      <c r="D337" s="125" t="s">
        <v>611</v>
      </c>
      <c r="E337" s="147">
        <v>12441</v>
      </c>
      <c r="F337" s="159">
        <v>22739</v>
      </c>
      <c r="G337">
        <v>27.53</v>
      </c>
      <c r="H337" s="150" t="str">
        <f t="shared" si="5"/>
        <v>C2BFCNOALG-A12LB BOLTHOUSE FRESH ORG FS CAN</v>
      </c>
    </row>
    <row r="338" spans="3:8" ht="15.75" x14ac:dyDescent="0.25">
      <c r="C338" s="134" t="s">
        <v>612</v>
      </c>
      <c r="D338" s="125" t="s">
        <v>613</v>
      </c>
      <c r="E338" s="147">
        <v>12496</v>
      </c>
      <c r="F338" s="159">
        <v>22816</v>
      </c>
      <c r="G338">
        <v>15.62</v>
      </c>
      <c r="H338" s="150" t="str">
        <f t="shared" si="5"/>
        <v>C1NPROALG-B41LB NATURES PROMISE ORGANIC</v>
      </c>
    </row>
    <row r="339" spans="3:8" ht="15.75" x14ac:dyDescent="0.25">
      <c r="C339" s="134" t="s">
        <v>548</v>
      </c>
      <c r="D339" s="125" t="s">
        <v>549</v>
      </c>
      <c r="E339" s="147">
        <v>12499</v>
      </c>
      <c r="F339" s="159">
        <v>22804</v>
      </c>
      <c r="G339">
        <v>26.39</v>
      </c>
      <c r="H339" s="150" t="str">
        <f t="shared" si="5"/>
        <v>C2BBALG-A42LB BRENDA BELLE FARMS AUTOBAG</v>
      </c>
    </row>
    <row r="340" spans="3:8" ht="15.75" x14ac:dyDescent="0.25">
      <c r="C340" s="134" t="s">
        <v>614</v>
      </c>
      <c r="D340" s="125" t="s">
        <v>615</v>
      </c>
      <c r="E340" s="147">
        <v>12550</v>
      </c>
      <c r="F340" s="159">
        <v>22914</v>
      </c>
      <c r="G340">
        <v>58.58</v>
      </c>
      <c r="H340" s="150" t="str">
        <f t="shared" si="5"/>
        <v>3000023044/7oz Dream /Dragon FRT OUTER</v>
      </c>
    </row>
    <row r="341" spans="3:8" ht="15.75" x14ac:dyDescent="0.25">
      <c r="C341" s="134" t="s">
        <v>616</v>
      </c>
      <c r="D341" s="125" t="s">
        <v>617</v>
      </c>
      <c r="E341" s="147">
        <v>12567</v>
      </c>
      <c r="F341" s="159">
        <v>22986</v>
      </c>
      <c r="G341">
        <v>66.790000000000006</v>
      </c>
      <c r="H341" s="150" t="str">
        <f t="shared" si="5"/>
        <v>3000008595/8OZ DOLE SLC STRAW/BAN- OUT</v>
      </c>
    </row>
    <row r="342" spans="3:8" ht="15.75" x14ac:dyDescent="0.25">
      <c r="C342" s="134" t="s">
        <v>618</v>
      </c>
      <c r="D342" s="125" t="s">
        <v>619</v>
      </c>
      <c r="E342" s="147">
        <v>12588</v>
      </c>
      <c r="F342" s="159">
        <v>23134</v>
      </c>
      <c r="G342">
        <v>20.261700000000001</v>
      </c>
      <c r="H342" s="150" t="str">
        <f t="shared" si="5"/>
        <v>9801906TFR 6ct Romaine USA PURPLE</v>
      </c>
    </row>
    <row r="343" spans="3:8" ht="15.75" x14ac:dyDescent="0.25">
      <c r="C343" s="134" t="s">
        <v>473</v>
      </c>
      <c r="D343" s="125" t="s">
        <v>474</v>
      </c>
      <c r="E343" s="147">
        <v>12303</v>
      </c>
      <c r="F343" s="159">
        <v>22131</v>
      </c>
      <c r="G343">
        <v>20.67</v>
      </c>
      <c r="H343" s="150" t="str">
        <f t="shared" si="5"/>
        <v>61559-16ALDIS Broccoli Crowns-ANTIFOG</v>
      </c>
    </row>
    <row r="344" spans="3:8" ht="15.75" x14ac:dyDescent="0.25">
      <c r="C344" s="134" t="s">
        <v>468</v>
      </c>
      <c r="D344" s="125" t="s">
        <v>469</v>
      </c>
      <c r="E344" s="147">
        <v>12435</v>
      </c>
      <c r="F344" s="159">
        <v>22586</v>
      </c>
      <c r="G344">
        <v>22.49</v>
      </c>
      <c r="H344" s="150" t="str">
        <f t="shared" si="5"/>
        <v>F2103Field Frsh Farm Cauli Wrap</v>
      </c>
    </row>
    <row r="345" spans="3:8" ht="15.75" x14ac:dyDescent="0.25">
      <c r="C345" s="134" t="s">
        <v>606</v>
      </c>
      <c r="D345" s="125" t="s">
        <v>607</v>
      </c>
      <c r="E345" s="147">
        <v>12440</v>
      </c>
      <c r="F345" s="159">
        <v>22587</v>
      </c>
      <c r="G345">
        <v>72.73</v>
      </c>
      <c r="H345" s="150" t="str">
        <f t="shared" si="5"/>
        <v>9801902TFRCOSTCO USA 6Ct Romaine Hrts</v>
      </c>
    </row>
    <row r="346" spans="3:8" ht="15.75" x14ac:dyDescent="0.25">
      <c r="C346" s="134" t="s">
        <v>620</v>
      </c>
      <c r="D346" s="125" t="s">
        <v>621</v>
      </c>
      <c r="E346" s="147">
        <v>12467</v>
      </c>
      <c r="F346" s="159">
        <v>22730</v>
      </c>
      <c r="G346">
        <v>18.760000000000002</v>
      </c>
      <c r="H346" s="150" t="str">
        <f t="shared" si="5"/>
        <v>60174-11T&amp;A UPC/PLU Cauliflower</v>
      </c>
    </row>
    <row r="347" spans="3:8" ht="15.75" x14ac:dyDescent="0.25">
      <c r="C347" s="134" t="s">
        <v>155</v>
      </c>
      <c r="D347" s="125" t="s">
        <v>233</v>
      </c>
      <c r="E347" s="147">
        <v>12508</v>
      </c>
      <c r="F347" s="159">
        <v>22900</v>
      </c>
      <c r="G347">
        <v>40</v>
      </c>
      <c r="H347" s="150" t="str">
        <f t="shared" si="5"/>
        <v>61822-12T&amp;A Org 3ct Rom Hrts - BI</v>
      </c>
    </row>
    <row r="348" spans="3:8" ht="15.75" x14ac:dyDescent="0.25">
      <c r="C348" s="134" t="s">
        <v>622</v>
      </c>
      <c r="D348" s="125" t="s">
        <v>623</v>
      </c>
      <c r="E348" s="147">
        <v>12551</v>
      </c>
      <c r="F348" s="159">
        <v>22973</v>
      </c>
      <c r="G348">
        <v>40</v>
      </c>
      <c r="H348" s="150" t="str">
        <f t="shared" si="5"/>
        <v>01749024Foxy Org 3ct Rom Hrt 12oz Bil</v>
      </c>
    </row>
    <row r="349" spans="3:8" ht="15.75" x14ac:dyDescent="0.25">
      <c r="C349" s="134" t="s">
        <v>606</v>
      </c>
      <c r="D349" s="125" t="s">
        <v>624</v>
      </c>
      <c r="E349" s="147">
        <v>12556</v>
      </c>
      <c r="F349" s="159">
        <v>22974</v>
      </c>
      <c r="G349">
        <v>72.73</v>
      </c>
      <c r="H349" s="150" t="str">
        <f t="shared" si="5"/>
        <v>9801902TFR COSTCO 6Ct Rom Hrts USA</v>
      </c>
    </row>
    <row r="350" spans="3:8" ht="15.75" x14ac:dyDescent="0.25">
      <c r="C350" s="134" t="s">
        <v>625</v>
      </c>
      <c r="D350" s="125" t="s">
        <v>626</v>
      </c>
      <c r="E350" s="147">
        <v>12591</v>
      </c>
      <c r="F350" s="159">
        <v>23174</v>
      </c>
      <c r="G350">
        <v>24.52</v>
      </c>
      <c r="H350" s="150" t="str">
        <f t="shared" si="5"/>
        <v>9502890TFR Bilin 3ctRomHrt USA-NoZip</v>
      </c>
    </row>
    <row r="351" spans="3:8" ht="15.75" x14ac:dyDescent="0.25">
      <c r="C351" s="134" t="s">
        <v>627</v>
      </c>
      <c r="D351" s="125" t="s">
        <v>628</v>
      </c>
      <c r="E351" s="147">
        <v>12444</v>
      </c>
      <c r="F351" s="159">
        <v>22969</v>
      </c>
      <c r="G351">
        <v>15.04</v>
      </c>
      <c r="H351" s="150" t="str">
        <f t="shared" si="5"/>
        <v>150267BAG, 1#, OUR FAMILY, RS</v>
      </c>
    </row>
    <row r="352" spans="3:8" ht="15.75" x14ac:dyDescent="0.25">
      <c r="C352" s="134" t="s">
        <v>548</v>
      </c>
      <c r="D352" s="125" t="s">
        <v>549</v>
      </c>
      <c r="E352" s="147">
        <v>12499</v>
      </c>
      <c r="F352" s="159">
        <v>22804</v>
      </c>
      <c r="G352">
        <v>26.39</v>
      </c>
      <c r="H352" s="150" t="str">
        <f t="shared" si="5"/>
        <v>C2BBALG-A42LB BRENDA BELLE FARMS AUTOBAG</v>
      </c>
    </row>
    <row r="353" spans="3:8" ht="15.75" x14ac:dyDescent="0.25">
      <c r="C353" s="134" t="s">
        <v>593</v>
      </c>
      <c r="D353" s="125" t="s">
        <v>594</v>
      </c>
      <c r="E353" s="147">
        <v>12321</v>
      </c>
      <c r="F353" s="159">
        <v>22691</v>
      </c>
      <c r="G353">
        <v>14.75</v>
      </c>
      <c r="H353" s="150" t="str">
        <f t="shared" si="5"/>
        <v>KER-0891 LB Kern Ridge WKT Long 7x16</v>
      </c>
    </row>
    <row r="354" spans="3:8" ht="15.75" x14ac:dyDescent="0.25">
      <c r="C354" s="134" t="s">
        <v>610</v>
      </c>
      <c r="D354" s="125" t="s">
        <v>611</v>
      </c>
      <c r="E354" s="147">
        <v>12441</v>
      </c>
      <c r="F354" s="159">
        <v>22917</v>
      </c>
      <c r="G354">
        <v>27.53</v>
      </c>
      <c r="H354" s="150" t="str">
        <f t="shared" si="5"/>
        <v>C2BFCNOALG-A12LB BOLTHOUSE FRESH ORG FS CAN</v>
      </c>
    </row>
    <row r="355" spans="3:8" ht="15.75" x14ac:dyDescent="0.25">
      <c r="C355" s="134" t="s">
        <v>468</v>
      </c>
      <c r="D355" s="125" t="s">
        <v>469</v>
      </c>
      <c r="E355" s="147">
        <v>12435</v>
      </c>
      <c r="F355" s="159">
        <v>22586</v>
      </c>
      <c r="G355">
        <v>22.49</v>
      </c>
      <c r="H355" s="150" t="str">
        <f t="shared" si="5"/>
        <v>F2103Field Frsh Farm Cauli Wrap</v>
      </c>
    </row>
    <row r="356" spans="3:8" ht="15.75" x14ac:dyDescent="0.25">
      <c r="C356" s="134" t="s">
        <v>629</v>
      </c>
      <c r="D356" s="125" t="s">
        <v>630</v>
      </c>
      <c r="E356" s="147">
        <v>12325</v>
      </c>
      <c r="F356" s="159">
        <v>22817</v>
      </c>
      <c r="G356">
        <v>23.21</v>
      </c>
      <c r="H356" s="150" t="str">
        <f t="shared" si="5"/>
        <v>C2STOALG-A32LB SIMPLE TRUTH ORG CELLO A/B</v>
      </c>
    </row>
    <row r="357" spans="3:8" ht="15.75" x14ac:dyDescent="0.25">
      <c r="C357" s="134" t="s">
        <v>577</v>
      </c>
      <c r="D357" s="125" t="s">
        <v>609</v>
      </c>
      <c r="E357" s="147">
        <v>12425</v>
      </c>
      <c r="F357" s="159">
        <v>22557</v>
      </c>
      <c r="G357">
        <v>16.7</v>
      </c>
      <c r="H357" s="150" t="str">
        <f t="shared" si="5"/>
        <v>54972BAG, 2#, KROGER, RS</v>
      </c>
    </row>
    <row r="358" spans="3:8" ht="15.75" x14ac:dyDescent="0.25">
      <c r="C358" s="131" t="s">
        <v>131</v>
      </c>
      <c r="D358" s="133" t="s">
        <v>631</v>
      </c>
      <c r="E358" s="147">
        <v>12512</v>
      </c>
      <c r="F358" s="159">
        <v>22809</v>
      </c>
      <c r="G358">
        <v>17.55</v>
      </c>
      <c r="H358" s="150" t="str">
        <f t="shared" si="5"/>
        <v>61967-12Hello Frsh 1Ct Broc Crown Clr</v>
      </c>
    </row>
    <row r="359" spans="3:8" ht="15.75" x14ac:dyDescent="0.25">
      <c r="C359" s="131" t="s">
        <v>632</v>
      </c>
      <c r="D359" s="133" t="s">
        <v>633</v>
      </c>
      <c r="E359" s="147">
        <v>12473</v>
      </c>
      <c r="F359" s="159">
        <v>22728</v>
      </c>
      <c r="G359">
        <v>19.440000000000001</v>
      </c>
      <c r="H359" s="150" t="str">
        <f t="shared" si="5"/>
        <v>9801864EBF Org Cauliflower Bag USA</v>
      </c>
    </row>
    <row r="360" spans="3:8" ht="15.75" x14ac:dyDescent="0.25">
      <c r="C360" s="131" t="s">
        <v>591</v>
      </c>
      <c r="D360" s="133" t="s">
        <v>592</v>
      </c>
      <c r="E360" s="147">
        <v>12433</v>
      </c>
      <c r="F360" s="159">
        <v>22510</v>
      </c>
      <c r="G360">
        <v>18.350000000000001</v>
      </c>
      <c r="H360" s="150" t="str">
        <f t="shared" si="5"/>
        <v>002-00-80005-0113.5" KING SIZE LETTUCE</v>
      </c>
    </row>
    <row r="361" spans="3:8" ht="15.75" x14ac:dyDescent="0.25">
      <c r="C361" s="131" t="s">
        <v>634</v>
      </c>
      <c r="D361" s="132" t="s">
        <v>635</v>
      </c>
      <c r="E361" s="147">
        <v>12538</v>
      </c>
      <c r="F361" s="159">
        <v>22975</v>
      </c>
      <c r="G361">
        <v>49.15</v>
      </c>
      <c r="H361" s="150" t="str">
        <f t="shared" si="5"/>
        <v>1586Cheney Bros Romaine Hrts 3Ct</v>
      </c>
    </row>
    <row r="362" spans="3:8" ht="15.75" x14ac:dyDescent="0.25">
      <c r="C362" s="131" t="s">
        <v>595</v>
      </c>
      <c r="D362" s="132" t="s">
        <v>132</v>
      </c>
      <c r="E362" s="147">
        <v>12279</v>
      </c>
      <c r="F362" s="159" t="s">
        <v>636</v>
      </c>
      <c r="G362">
        <v>38.35</v>
      </c>
      <c r="H362" s="150" t="str">
        <f t="shared" si="5"/>
        <v>1580Church Bros 5ct Petite Romaine</v>
      </c>
    </row>
    <row r="363" spans="3:8" ht="15.75" x14ac:dyDescent="0.25">
      <c r="C363" s="131" t="s">
        <v>131</v>
      </c>
      <c r="D363" s="133" t="s">
        <v>631</v>
      </c>
      <c r="E363" s="147">
        <v>12385</v>
      </c>
      <c r="F363" s="159">
        <v>22345</v>
      </c>
      <c r="G363">
        <v>17.55</v>
      </c>
      <c r="H363" s="150" t="str">
        <f t="shared" si="5"/>
        <v>61967-12Hello Frsh 1Ct Broc Crown Clr</v>
      </c>
    </row>
    <row r="364" spans="3:8" ht="15.75" x14ac:dyDescent="0.25">
      <c r="C364" s="131" t="s">
        <v>131</v>
      </c>
      <c r="D364" s="133" t="s">
        <v>631</v>
      </c>
      <c r="E364" s="147">
        <v>12512</v>
      </c>
      <c r="F364" s="159">
        <v>22809</v>
      </c>
      <c r="G364">
        <v>17.55</v>
      </c>
      <c r="H364" s="150" t="str">
        <f t="shared" si="5"/>
        <v>61967-12Hello Frsh 1Ct Broc Crown Clr</v>
      </c>
    </row>
    <row r="365" spans="3:8" ht="15.75" x14ac:dyDescent="0.25">
      <c r="C365" s="131" t="s">
        <v>637</v>
      </c>
      <c r="D365" s="133" t="s">
        <v>638</v>
      </c>
      <c r="E365" s="147">
        <v>12328</v>
      </c>
      <c r="F365" s="159">
        <v>22225</v>
      </c>
      <c r="G365" s="160">
        <v>20.691700000000001</v>
      </c>
      <c r="H365" s="150" t="str">
        <f t="shared" si="5"/>
        <v>506923AMann SS Cauliflower</v>
      </c>
    </row>
    <row r="366" spans="3:8" ht="15.75" x14ac:dyDescent="0.25">
      <c r="C366" s="131" t="s">
        <v>468</v>
      </c>
      <c r="D366" s="133" t="s">
        <v>469</v>
      </c>
      <c r="E366" s="147">
        <v>12435</v>
      </c>
      <c r="F366" s="159">
        <v>22586</v>
      </c>
      <c r="G366">
        <v>22.49</v>
      </c>
      <c r="H366" s="150" t="str">
        <f t="shared" si="5"/>
        <v>F2103Field Frsh Farm Cauli Wrap</v>
      </c>
    </row>
    <row r="367" spans="3:8" ht="15.75" x14ac:dyDescent="0.25">
      <c r="C367" s="131" t="s">
        <v>632</v>
      </c>
      <c r="D367" s="133" t="s">
        <v>633</v>
      </c>
      <c r="E367" s="147">
        <v>12473</v>
      </c>
      <c r="F367" s="159">
        <v>22728</v>
      </c>
      <c r="G367">
        <v>19.440000000000001</v>
      </c>
      <c r="H367" s="150" t="str">
        <f t="shared" si="5"/>
        <v>9801864EBF Org Cauliflower Bag USA</v>
      </c>
    </row>
    <row r="368" spans="3:8" ht="15.75" x14ac:dyDescent="0.25">
      <c r="C368" s="131" t="s">
        <v>620</v>
      </c>
      <c r="D368" s="133" t="s">
        <v>621</v>
      </c>
      <c r="E368" s="147">
        <v>12467</v>
      </c>
      <c r="F368" s="159">
        <v>22730</v>
      </c>
      <c r="G368">
        <v>18.760000000000002</v>
      </c>
      <c r="H368" s="150" t="str">
        <f t="shared" si="5"/>
        <v>60174-11T&amp;A UPC/PLU Cauliflower</v>
      </c>
    </row>
    <row r="369" spans="3:8" ht="15.75" x14ac:dyDescent="0.25">
      <c r="C369" s="131" t="s">
        <v>139</v>
      </c>
      <c r="D369" s="133" t="s">
        <v>140</v>
      </c>
      <c r="E369" s="147">
        <v>12114</v>
      </c>
      <c r="F369" s="159">
        <v>21554</v>
      </c>
      <c r="G369">
        <v>40</v>
      </c>
      <c r="H369" s="150" t="str">
        <f t="shared" si="5"/>
        <v>28370944-01Josie's Rm Hrt 3ct 22oz Bil US</v>
      </c>
    </row>
    <row r="370" spans="3:8" ht="15.75" x14ac:dyDescent="0.25">
      <c r="C370" s="131" t="s">
        <v>163</v>
      </c>
      <c r="D370" s="132" t="s">
        <v>290</v>
      </c>
      <c r="E370" s="147">
        <v>12432</v>
      </c>
      <c r="F370" s="159">
        <v>22522</v>
      </c>
      <c r="G370">
        <v>40</v>
      </c>
      <c r="H370" s="150" t="str">
        <f t="shared" si="5"/>
        <v>002-40-55032-01Dole 23oz Romaine USA w/Zipper</v>
      </c>
    </row>
    <row r="371" spans="3:8" ht="15.75" x14ac:dyDescent="0.25">
      <c r="C371" s="131" t="s">
        <v>158</v>
      </c>
      <c r="D371" s="132" t="s">
        <v>639</v>
      </c>
      <c r="E371" s="147">
        <v>12464</v>
      </c>
      <c r="F371" s="159">
        <v>22687</v>
      </c>
      <c r="G371">
        <v>40</v>
      </c>
      <c r="H371" s="150" t="str">
        <f t="shared" si="5"/>
        <v>19800900-01Peak 3ct Rom Zip 22oz (624g)</v>
      </c>
    </row>
    <row r="372" spans="3:8" ht="15.75" x14ac:dyDescent="0.25">
      <c r="C372" s="131" t="s">
        <v>426</v>
      </c>
      <c r="D372" s="132" t="s">
        <v>403</v>
      </c>
      <c r="E372" s="147">
        <v>12605</v>
      </c>
      <c r="F372" s="159">
        <v>23231</v>
      </c>
      <c r="G372">
        <v>99.77</v>
      </c>
      <c r="H372" s="150" t="str">
        <f t="shared" si="5"/>
        <v>61955-11GIANT EAGLE 2Ct Atsn Rom SUP</v>
      </c>
    </row>
    <row r="373" spans="3:8" ht="15.75" x14ac:dyDescent="0.25">
      <c r="C373" s="134" t="s">
        <v>428</v>
      </c>
      <c r="D373" s="125" t="s">
        <v>406</v>
      </c>
      <c r="E373" s="147">
        <v>12558</v>
      </c>
      <c r="F373" s="159">
        <v>22990</v>
      </c>
      <c r="G373">
        <v>17.809999999999999</v>
      </c>
      <c r="H373" s="150" t="str">
        <f t="shared" si="5"/>
        <v>97886-12LB PRESIDENTS CHOICE ORG CAN</v>
      </c>
    </row>
    <row r="374" spans="3:8" ht="15.75" x14ac:dyDescent="0.25">
      <c r="C374" s="134" t="s">
        <v>548</v>
      </c>
      <c r="D374" s="125" t="s">
        <v>549</v>
      </c>
      <c r="E374" s="147">
        <v>12499</v>
      </c>
      <c r="F374" s="159">
        <v>22804</v>
      </c>
      <c r="G374">
        <v>26.39</v>
      </c>
      <c r="H374" s="150" t="str">
        <f t="shared" si="5"/>
        <v>C2BBALG-A42LB BRENDA BELLE FARMS AUTOBAG</v>
      </c>
    </row>
    <row r="375" spans="3:8" ht="15.75" x14ac:dyDescent="0.25">
      <c r="C375" s="134" t="s">
        <v>206</v>
      </c>
      <c r="D375" s="125" t="s">
        <v>608</v>
      </c>
      <c r="E375" s="147">
        <v>12287</v>
      </c>
      <c r="F375" s="159">
        <v>22102</v>
      </c>
      <c r="G375">
        <v>21</v>
      </c>
      <c r="H375" s="150" t="str">
        <f t="shared" si="5"/>
        <v>KER-0912LB KERN RIDGE FS WKT</v>
      </c>
    </row>
    <row r="376" spans="3:8" ht="15.75" x14ac:dyDescent="0.25">
      <c r="C376" s="134" t="s">
        <v>436</v>
      </c>
      <c r="D376" s="125" t="s">
        <v>420</v>
      </c>
      <c r="E376" s="147">
        <v>12349</v>
      </c>
      <c r="F376" s="159">
        <v>23124</v>
      </c>
      <c r="G376">
        <v>48.28</v>
      </c>
      <c r="H376" s="150" t="str">
        <f t="shared" si="5"/>
        <v>94822-15LB WEGMANS ORG WKT</v>
      </c>
    </row>
    <row r="377" spans="3:8" ht="15.75" x14ac:dyDescent="0.25">
      <c r="C377" s="134" t="s">
        <v>640</v>
      </c>
      <c r="D377" s="125" t="s">
        <v>641</v>
      </c>
      <c r="E377" s="147">
        <v>12315</v>
      </c>
      <c r="F377" s="159">
        <v>23322</v>
      </c>
      <c r="G377">
        <v>24.17</v>
      </c>
      <c r="H377" s="150" t="str">
        <f t="shared" si="5"/>
        <v>C2WEGRAINOALG-A12LB WEGMANS ORG RAINBOW CRTS</v>
      </c>
    </row>
    <row r="378" spans="3:8" ht="15.75" x14ac:dyDescent="0.25">
      <c r="C378" s="134" t="s">
        <v>571</v>
      </c>
      <c r="D378" s="125" t="s">
        <v>572</v>
      </c>
      <c r="E378" s="147">
        <v>12493</v>
      </c>
      <c r="F378" s="159">
        <v>22815</v>
      </c>
      <c r="G378">
        <v>40.65</v>
      </c>
      <c r="H378" s="150" t="str">
        <f t="shared" si="5"/>
        <v>C5BFCNLA-A15LB BOLTHOUSE FRESH CAN FS A/B</v>
      </c>
    </row>
    <row r="379" spans="3:8" ht="15.75" x14ac:dyDescent="0.25">
      <c r="C379" s="134" t="s">
        <v>642</v>
      </c>
      <c r="D379" s="125" t="s">
        <v>643</v>
      </c>
      <c r="E379" s="147">
        <v>12581</v>
      </c>
      <c r="F379" s="159">
        <v>23171</v>
      </c>
      <c r="G379">
        <v>31.71</v>
      </c>
      <c r="H379" s="150" t="str">
        <f t="shared" si="5"/>
        <v>KER-5FSWKT5LB FIRST STREET CRT WKT</v>
      </c>
    </row>
    <row r="380" spans="3:8" ht="15.75" x14ac:dyDescent="0.25">
      <c r="C380" s="134" t="s">
        <v>577</v>
      </c>
      <c r="D380" s="125" t="s">
        <v>609</v>
      </c>
      <c r="E380" s="147">
        <v>12425</v>
      </c>
      <c r="F380" s="159">
        <v>22557</v>
      </c>
      <c r="G380">
        <v>16.7</v>
      </c>
      <c r="H380" s="150" t="str">
        <f t="shared" si="5"/>
        <v>54972BAG, 2#, KROGER, RS</v>
      </c>
    </row>
    <row r="381" spans="3:8" ht="15.75" x14ac:dyDescent="0.25">
      <c r="C381" s="134" t="s">
        <v>625</v>
      </c>
      <c r="D381" s="125" t="s">
        <v>626</v>
      </c>
      <c r="E381" s="147">
        <v>12591</v>
      </c>
      <c r="F381" s="159">
        <v>23174</v>
      </c>
      <c r="G381">
        <v>24.52</v>
      </c>
      <c r="H381" s="150" t="str">
        <f t="shared" si="5"/>
        <v>9502890TFR Bilin 3ctRomHrt USA-NoZip</v>
      </c>
    </row>
    <row r="382" spans="3:8" ht="15.75" x14ac:dyDescent="0.25">
      <c r="C382" s="134" t="s">
        <v>606</v>
      </c>
      <c r="D382" s="125" t="s">
        <v>624</v>
      </c>
      <c r="E382" s="147">
        <v>12556</v>
      </c>
      <c r="F382" s="159">
        <v>22974</v>
      </c>
      <c r="G382">
        <v>72.73</v>
      </c>
      <c r="H382" s="150" t="str">
        <f t="shared" si="5"/>
        <v>9801902TFR COSTCO 6Ct Rom Hrts USA</v>
      </c>
    </row>
    <row r="383" spans="3:8" ht="15.75" x14ac:dyDescent="0.25">
      <c r="C383" s="134" t="s">
        <v>644</v>
      </c>
      <c r="D383" s="125" t="s">
        <v>294</v>
      </c>
      <c r="E383" s="147">
        <v>12413</v>
      </c>
      <c r="F383" s="159">
        <v>23133</v>
      </c>
      <c r="G383">
        <v>21.76</v>
      </c>
      <c r="H383" s="150" t="str">
        <f t="shared" si="5"/>
        <v>9801865EBF Org Broccoli Bg USA</v>
      </c>
    </row>
    <row r="384" spans="3:8" ht="15.75" x14ac:dyDescent="0.25">
      <c r="C384" s="134" t="s">
        <v>206</v>
      </c>
      <c r="D384" s="125" t="s">
        <v>608</v>
      </c>
      <c r="E384" s="147">
        <v>12287</v>
      </c>
      <c r="F384" s="159">
        <v>22012</v>
      </c>
      <c r="G384">
        <v>21</v>
      </c>
      <c r="H384" s="150" t="str">
        <f t="shared" si="5"/>
        <v>KER-0912LB KERN RIDGE FS WKT</v>
      </c>
    </row>
    <row r="385" spans="3:8" ht="15.75" x14ac:dyDescent="0.25">
      <c r="C385" s="134" t="s">
        <v>436</v>
      </c>
      <c r="D385" s="125" t="s">
        <v>420</v>
      </c>
      <c r="E385" s="147">
        <v>12349</v>
      </c>
      <c r="F385" s="159">
        <v>23576</v>
      </c>
      <c r="G385">
        <v>48.28</v>
      </c>
      <c r="H385" s="150" t="str">
        <f t="shared" si="5"/>
        <v>94822-15LB WEGMANS ORG WKT</v>
      </c>
    </row>
    <row r="386" spans="3:8" ht="15.75" x14ac:dyDescent="0.25">
      <c r="C386" s="134" t="s">
        <v>571</v>
      </c>
      <c r="D386" s="125" t="s">
        <v>572</v>
      </c>
      <c r="E386" s="147">
        <v>12493</v>
      </c>
      <c r="F386" s="159">
        <v>22815</v>
      </c>
      <c r="G386">
        <v>40.65</v>
      </c>
      <c r="H386" s="150" t="str">
        <f t="shared" si="5"/>
        <v>C5BFCNLA-A15LB BOLTHOUSE FRESH CAN FS A/B</v>
      </c>
    </row>
    <row r="387" spans="3:8" ht="15.75" x14ac:dyDescent="0.25">
      <c r="C387" s="134" t="s">
        <v>645</v>
      </c>
      <c r="D387" s="125" t="s">
        <v>646</v>
      </c>
      <c r="E387" s="147">
        <v>12623</v>
      </c>
      <c r="F387" s="159">
        <v>23305</v>
      </c>
      <c r="G387">
        <v>22.58</v>
      </c>
      <c r="H387" s="150" t="str">
        <f t="shared" si="5"/>
        <v>KER-2FSWKT2LB FIRST STREET CRT WKT</v>
      </c>
    </row>
    <row r="388" spans="3:8" ht="15.75" x14ac:dyDescent="0.25">
      <c r="C388" s="131" t="s">
        <v>649</v>
      </c>
      <c r="D388" s="132" t="s">
        <v>650</v>
      </c>
      <c r="E388" s="147">
        <v>12633</v>
      </c>
      <c r="F388" s="159">
        <v>23303</v>
      </c>
      <c r="G388">
        <v>175.5</v>
      </c>
      <c r="H388" s="150" t="str">
        <f t="shared" si="5"/>
        <v>3000022677oz Dole DAILY FRT N GRN INNER</v>
      </c>
    </row>
    <row r="389" spans="3:8" ht="15.75" x14ac:dyDescent="0.25">
      <c r="C389" s="134" t="s">
        <v>577</v>
      </c>
      <c r="D389" s="125" t="s">
        <v>609</v>
      </c>
      <c r="E389" s="147">
        <v>12425</v>
      </c>
      <c r="F389" s="159">
        <v>22557</v>
      </c>
      <c r="G389">
        <v>16.7</v>
      </c>
      <c r="H389" s="150" t="str">
        <f t="shared" si="5"/>
        <v>54972BAG, 2#, KROGER, RS</v>
      </c>
    </row>
    <row r="390" spans="3:8" ht="15.75" x14ac:dyDescent="0.25">
      <c r="C390" s="134" t="s">
        <v>647</v>
      </c>
      <c r="D390" s="125" t="s">
        <v>648</v>
      </c>
      <c r="E390" s="147">
        <v>12563</v>
      </c>
      <c r="F390" s="159">
        <v>22991</v>
      </c>
      <c r="G390">
        <v>62.75</v>
      </c>
      <c r="H390" s="150" t="str">
        <f t="shared" si="5"/>
        <v>3000014825LB CR CUBED MANGO DOLE</v>
      </c>
    </row>
    <row r="391" spans="3:8" x14ac:dyDescent="0.25">
      <c r="C391" s="131" t="s">
        <v>566</v>
      </c>
      <c r="D391" s="133" t="s">
        <v>235</v>
      </c>
      <c r="E391" s="161">
        <v>12221</v>
      </c>
      <c r="F391" s="131">
        <v>21960</v>
      </c>
      <c r="G391" s="131">
        <v>19.239999999999998</v>
      </c>
      <c r="H391" s="150" t="str">
        <f t="shared" si="5"/>
        <v>1314Church Bros Cauliflower</v>
      </c>
    </row>
    <row r="392" spans="3:8" x14ac:dyDescent="0.25">
      <c r="C392" s="155" t="s">
        <v>400</v>
      </c>
      <c r="D392" s="156" t="s">
        <v>563</v>
      </c>
      <c r="E392" s="161">
        <v>12319</v>
      </c>
      <c r="F392" s="155">
        <v>22171</v>
      </c>
      <c r="G392" s="155">
        <v>40.98</v>
      </c>
      <c r="H392" s="150" t="str">
        <f t="shared" si="5"/>
        <v>62021-11T&amp;A 6Ct Rom Hrts Nt Wt St</v>
      </c>
    </row>
    <row r="393" spans="3:8" x14ac:dyDescent="0.25">
      <c r="C393" s="131" t="s">
        <v>595</v>
      </c>
      <c r="D393" s="132" t="s">
        <v>132</v>
      </c>
      <c r="E393" s="161">
        <v>12279</v>
      </c>
      <c r="F393" s="131">
        <v>22120</v>
      </c>
      <c r="G393" s="131">
        <v>38.35</v>
      </c>
      <c r="H393" s="150" t="str">
        <f t="shared" si="5"/>
        <v>1580Church Bros 5ct Petite Romaine</v>
      </c>
    </row>
    <row r="394" spans="3:8" x14ac:dyDescent="0.25">
      <c r="C394" s="131" t="s">
        <v>644</v>
      </c>
      <c r="D394" s="133" t="s">
        <v>294</v>
      </c>
      <c r="E394" s="161">
        <v>12413</v>
      </c>
      <c r="F394" s="131">
        <v>23133</v>
      </c>
      <c r="G394" s="131">
        <v>21.76</v>
      </c>
      <c r="H394" s="150" t="str">
        <f t="shared" si="5"/>
        <v>9801865EBF Org Broccoli Bg USA</v>
      </c>
    </row>
    <row r="395" spans="3:8" x14ac:dyDescent="0.25">
      <c r="C395" s="131" t="s">
        <v>651</v>
      </c>
      <c r="D395" s="133" t="s">
        <v>237</v>
      </c>
      <c r="E395" s="161">
        <v>12414</v>
      </c>
      <c r="F395" s="131">
        <v>22555</v>
      </c>
      <c r="G395" s="131">
        <v>20.079999999999998</v>
      </c>
      <c r="H395" s="150" t="str">
        <f t="shared" si="5"/>
        <v>5019Trader Joe's 1ct Green Cabbage</v>
      </c>
    </row>
    <row r="396" spans="3:8" x14ac:dyDescent="0.25">
      <c r="C396" s="131" t="s">
        <v>620</v>
      </c>
      <c r="D396" s="133" t="s">
        <v>621</v>
      </c>
      <c r="E396" s="161">
        <v>12467</v>
      </c>
      <c r="F396" s="131">
        <v>22730</v>
      </c>
      <c r="G396" s="131">
        <v>18.760000000000002</v>
      </c>
      <c r="H396" s="150" t="str">
        <f t="shared" si="5"/>
        <v>60174-11T&amp;A UPC/PLU Cauliflower</v>
      </c>
    </row>
    <row r="397" spans="3:8" x14ac:dyDescent="0.25">
      <c r="C397" s="131" t="s">
        <v>591</v>
      </c>
      <c r="D397" s="133" t="s">
        <v>592</v>
      </c>
      <c r="E397" s="161">
        <v>12433</v>
      </c>
      <c r="F397" s="131">
        <v>22510</v>
      </c>
      <c r="G397" s="131">
        <v>18.350000000000001</v>
      </c>
      <c r="H397" s="150" t="str">
        <f t="shared" si="5"/>
        <v>002-00-80005-0113.5" KING SIZE LETTUCE</v>
      </c>
    </row>
    <row r="398" spans="3:8" x14ac:dyDescent="0.25">
      <c r="C398" s="131" t="s">
        <v>554</v>
      </c>
      <c r="D398" s="133" t="s">
        <v>524</v>
      </c>
      <c r="E398" s="161">
        <v>12545</v>
      </c>
      <c r="F398" s="131">
        <v>22976</v>
      </c>
      <c r="G398" s="131">
        <v>17.05</v>
      </c>
      <c r="H398" s="150" t="str">
        <f t="shared" si="5"/>
        <v>496013" UPC/PLU CLR IcebergLett OM</v>
      </c>
    </row>
    <row r="399" spans="3:8" x14ac:dyDescent="0.25">
      <c r="C399" s="131" t="s">
        <v>513</v>
      </c>
      <c r="D399" s="133" t="s">
        <v>514</v>
      </c>
      <c r="E399" s="161">
        <v>12549</v>
      </c>
      <c r="F399" s="131">
        <v>22921</v>
      </c>
      <c r="G399" s="131">
        <v>18.489999999999998</v>
      </c>
      <c r="H399" s="150" t="str">
        <f t="shared" si="5"/>
        <v>0922OCEAN MST UPC/PLU CAULIFLOWER</v>
      </c>
    </row>
    <row r="400" spans="3:8" x14ac:dyDescent="0.25">
      <c r="C400" s="131" t="s">
        <v>400</v>
      </c>
      <c r="D400" s="133" t="s">
        <v>563</v>
      </c>
      <c r="E400" s="161">
        <v>12570</v>
      </c>
      <c r="F400" s="131">
        <v>22992</v>
      </c>
      <c r="G400" s="131">
        <v>40.98</v>
      </c>
      <c r="H400" s="150" t="str">
        <f t="shared" si="5"/>
        <v>62021-11T&amp;A 6Ct Rom Hrts Nt Wt St</v>
      </c>
    </row>
    <row r="401" spans="3:8" x14ac:dyDescent="0.25">
      <c r="C401" s="131" t="s">
        <v>606</v>
      </c>
      <c r="D401" s="132" t="s">
        <v>607</v>
      </c>
      <c r="E401" s="161">
        <v>12440</v>
      </c>
      <c r="F401" s="131">
        <v>22587</v>
      </c>
      <c r="G401" s="131">
        <v>72.73</v>
      </c>
      <c r="H401" s="150" t="str">
        <f t="shared" si="5"/>
        <v>9801902TFRCOSTCO USA 6Ct Romaine Hrts</v>
      </c>
    </row>
    <row r="402" spans="3:8" x14ac:dyDescent="0.25">
      <c r="C402" s="131" t="s">
        <v>181</v>
      </c>
      <c r="D402" s="132" t="s">
        <v>283</v>
      </c>
      <c r="E402" s="161">
        <v>12411</v>
      </c>
      <c r="F402" s="131">
        <v>22512</v>
      </c>
      <c r="G402" s="131">
        <v>46.64</v>
      </c>
      <c r="H402" s="150" t="str">
        <f t="shared" si="5"/>
        <v>002-40-56065-02Wild Hrvst 3ct O Rom Hrt US</v>
      </c>
    </row>
    <row r="403" spans="3:8" x14ac:dyDescent="0.25">
      <c r="C403" s="134" t="s">
        <v>653</v>
      </c>
      <c r="D403" s="125" t="s">
        <v>654</v>
      </c>
      <c r="E403" s="162">
        <v>12265</v>
      </c>
      <c r="F403" s="134">
        <v>21992</v>
      </c>
      <c r="G403" s="134">
        <v>20.25</v>
      </c>
      <c r="H403" s="150" t="str">
        <f t="shared" si="5"/>
        <v>0921NOcean Mist Cauliflower USA</v>
      </c>
    </row>
    <row r="404" spans="3:8" x14ac:dyDescent="0.25">
      <c r="C404" s="134" t="s">
        <v>400</v>
      </c>
      <c r="D404" s="125" t="s">
        <v>563</v>
      </c>
      <c r="E404" s="162">
        <v>12570</v>
      </c>
      <c r="F404" s="134">
        <v>22992</v>
      </c>
      <c r="G404" s="134">
        <v>40.98</v>
      </c>
      <c r="H404" s="150" t="str">
        <f t="shared" si="5"/>
        <v>62021-11T&amp;A 6Ct Rom Hrts Nt Wt St</v>
      </c>
    </row>
    <row r="405" spans="3:8" x14ac:dyDescent="0.25">
      <c r="C405" s="134" t="s">
        <v>655</v>
      </c>
      <c r="D405" s="125" t="s">
        <v>656</v>
      </c>
      <c r="E405" s="162">
        <v>12672</v>
      </c>
      <c r="F405" s="134" t="s">
        <v>652</v>
      </c>
      <c r="G405" s="134" t="s">
        <v>659</v>
      </c>
      <c r="H405" s="150" t="str">
        <f t="shared" si="5"/>
        <v>1350Church Bros Lett</v>
      </c>
    </row>
    <row r="406" spans="3:8" x14ac:dyDescent="0.25">
      <c r="C406" s="134" t="s">
        <v>198</v>
      </c>
      <c r="D406" s="125" t="s">
        <v>326</v>
      </c>
      <c r="E406" s="162">
        <v>12483</v>
      </c>
      <c r="F406" s="134">
        <v>22904</v>
      </c>
      <c r="G406" s="134">
        <v>45.12</v>
      </c>
      <c r="H406" s="150" t="str">
        <f t="shared" si="5"/>
        <v>506961AMann 3ct Romaine Hearts w/ZIP</v>
      </c>
    </row>
    <row r="407" spans="3:8" x14ac:dyDescent="0.25">
      <c r="C407" s="134" t="s">
        <v>494</v>
      </c>
      <c r="D407" s="125" t="s">
        <v>502</v>
      </c>
      <c r="E407" s="162">
        <v>12274</v>
      </c>
      <c r="F407" s="134">
        <v>22135</v>
      </c>
      <c r="G407" s="134">
        <v>17.43</v>
      </c>
      <c r="H407" s="150" t="str">
        <f t="shared" si="5"/>
        <v>55112BAG, 12OZ, GF, MW, TRI PERF'D</v>
      </c>
    </row>
    <row r="408" spans="3:8" x14ac:dyDescent="0.25">
      <c r="C408" s="134" t="s">
        <v>657</v>
      </c>
      <c r="D408" s="125" t="s">
        <v>658</v>
      </c>
      <c r="E408" s="162">
        <v>12408</v>
      </c>
      <c r="F408" s="134">
        <v>23129</v>
      </c>
      <c r="G408" s="134">
        <v>18.7</v>
      </c>
      <c r="H408" s="150" t="str">
        <f t="shared" si="5"/>
        <v>86881-1BAG, 12OZ WEGMANS PETITE MW OR</v>
      </c>
    </row>
    <row r="409" spans="3:8" x14ac:dyDescent="0.25">
      <c r="C409" s="134" t="s">
        <v>432</v>
      </c>
      <c r="D409" s="125" t="s">
        <v>660</v>
      </c>
      <c r="E409" s="162">
        <v>12625</v>
      </c>
      <c r="F409" s="134">
        <v>23309</v>
      </c>
      <c r="G409" s="134">
        <v>26.99</v>
      </c>
      <c r="H409" s="150" t="str">
        <f t="shared" si="5"/>
        <v>B-85BBoskovich 2lb Grn Onion 350OTR</v>
      </c>
    </row>
    <row r="410" spans="3:8" x14ac:dyDescent="0.25">
      <c r="C410" s="134" t="s">
        <v>179</v>
      </c>
      <c r="D410" s="125" t="s">
        <v>661</v>
      </c>
      <c r="E410" s="162">
        <v>12629</v>
      </c>
      <c r="F410" s="134">
        <v>23307</v>
      </c>
      <c r="G410" s="134">
        <v>37.22</v>
      </c>
      <c r="H410" s="150" t="str">
        <f t="shared" si="5"/>
        <v>B-3602LB MARKON WASH/ RIMM GR ONION</v>
      </c>
    </row>
    <row r="411" spans="3:8" x14ac:dyDescent="0.25">
      <c r="C411" s="134" t="s">
        <v>662</v>
      </c>
      <c r="D411" s="125" t="s">
        <v>663</v>
      </c>
      <c r="E411" s="162">
        <v>12480</v>
      </c>
      <c r="F411" s="134">
        <v>23376</v>
      </c>
      <c r="G411" s="134">
        <v>59.33</v>
      </c>
      <c r="H411" s="150" t="str">
        <f t="shared" si="5"/>
        <v>C5NBOLA-A65LB NATURES BASKET ORG LONG AB</v>
      </c>
    </row>
    <row r="412" spans="3:8" x14ac:dyDescent="0.25">
      <c r="C412" s="134" t="s">
        <v>554</v>
      </c>
      <c r="D412" s="125" t="s">
        <v>524</v>
      </c>
      <c r="E412" s="162">
        <v>12545</v>
      </c>
      <c r="F412" s="134">
        <v>22976</v>
      </c>
      <c r="G412" s="134">
        <v>17.05</v>
      </c>
      <c r="H412" s="150" t="str">
        <f t="shared" si="5"/>
        <v>496013" UPC/PLU CLR IcebergLett OM</v>
      </c>
    </row>
    <row r="413" spans="3:8" x14ac:dyDescent="0.25">
      <c r="C413" s="134" t="s">
        <v>517</v>
      </c>
      <c r="D413" s="125" t="s">
        <v>371</v>
      </c>
      <c r="E413" s="162">
        <v>12644</v>
      </c>
      <c r="F413" s="134">
        <v>23314</v>
      </c>
      <c r="G413" s="134">
        <v>40</v>
      </c>
      <c r="H413" s="150" t="str">
        <f t="shared" si="5"/>
        <v>61653-15T&amp;A 3ct Artisan Romaine-Zipper</v>
      </c>
    </row>
    <row r="414" spans="3:8" x14ac:dyDescent="0.25">
      <c r="C414" s="134" t="s">
        <v>494</v>
      </c>
      <c r="D414" s="125" t="s">
        <v>502</v>
      </c>
      <c r="E414" s="162">
        <v>12274</v>
      </c>
      <c r="F414" s="134">
        <v>22135</v>
      </c>
      <c r="G414" s="134">
        <v>17.43</v>
      </c>
      <c r="H414" s="150" t="str">
        <f t="shared" si="5"/>
        <v>55112BAG, 12OZ, GF, MW, TRI PERF'D</v>
      </c>
    </row>
    <row r="415" spans="3:8" x14ac:dyDescent="0.25">
      <c r="C415" s="134" t="s">
        <v>657</v>
      </c>
      <c r="D415" s="125" t="s">
        <v>658</v>
      </c>
      <c r="E415" s="162">
        <v>12431</v>
      </c>
      <c r="F415" s="134">
        <v>23128</v>
      </c>
      <c r="G415" s="134">
        <v>18.7</v>
      </c>
      <c r="H415" s="150" t="str">
        <f t="shared" si="5"/>
        <v>86881-1BAG, 12OZ WEGMANS PETITE MW OR</v>
      </c>
    </row>
    <row r="416" spans="3:8" x14ac:dyDescent="0.25">
      <c r="C416" s="134" t="s">
        <v>664</v>
      </c>
      <c r="D416" s="125" t="s">
        <v>665</v>
      </c>
      <c r="E416" s="162">
        <v>12651</v>
      </c>
      <c r="F416" s="134">
        <v>23371</v>
      </c>
      <c r="G416" s="134">
        <v>68.52</v>
      </c>
      <c r="H416" s="150" t="str">
        <f t="shared" si="5"/>
        <v>3000017825LB DOLE MIXED FRUIT</v>
      </c>
    </row>
    <row r="417" spans="3:8" x14ac:dyDescent="0.25">
      <c r="C417" s="134" t="s">
        <v>459</v>
      </c>
      <c r="D417" s="125" t="s">
        <v>504</v>
      </c>
      <c r="E417" s="162">
        <v>12131</v>
      </c>
      <c r="F417" s="134" t="s">
        <v>545</v>
      </c>
      <c r="G417" s="134">
        <v>17.149999999999999</v>
      </c>
      <c r="H417" s="150" t="str">
        <f t="shared" si="5"/>
        <v>4962NOceanmist 13" Lettuce Bag</v>
      </c>
    </row>
    <row r="418" spans="3:8" x14ac:dyDescent="0.25">
      <c r="C418" s="134" t="s">
        <v>554</v>
      </c>
      <c r="D418" s="125" t="s">
        <v>524</v>
      </c>
      <c r="E418" s="162">
        <v>12545</v>
      </c>
      <c r="F418" s="134" t="s">
        <v>666</v>
      </c>
      <c r="G418" s="134">
        <v>17.05</v>
      </c>
      <c r="H418" s="150" t="str">
        <f t="shared" si="5"/>
        <v>496013" UPC/PLU CLR IcebergLett OM</v>
      </c>
    </row>
    <row r="419" spans="3:8" x14ac:dyDescent="0.25">
      <c r="C419" s="134" t="s">
        <v>589</v>
      </c>
      <c r="D419" s="125" t="s">
        <v>590</v>
      </c>
      <c r="E419" s="162">
        <v>12596</v>
      </c>
      <c r="F419" s="134" t="s">
        <v>667</v>
      </c>
      <c r="G419" s="134">
        <v>21.88</v>
      </c>
      <c r="H419" s="150" t="str">
        <f t="shared" si="5"/>
        <v>61769-11T&amp;A Org Cauliflower USA</v>
      </c>
    </row>
    <row r="420" spans="3:8" x14ac:dyDescent="0.25">
      <c r="C420" s="134" t="s">
        <v>655</v>
      </c>
      <c r="D420" s="125" t="s">
        <v>656</v>
      </c>
      <c r="E420" s="162">
        <v>12672</v>
      </c>
      <c r="F420" s="134" t="s">
        <v>652</v>
      </c>
      <c r="G420" s="134">
        <v>17.899999999999999</v>
      </c>
      <c r="H420" s="150" t="str">
        <f t="shared" si="5"/>
        <v>1350Church Bros Lett</v>
      </c>
    </row>
    <row r="421" spans="3:8" x14ac:dyDescent="0.25">
      <c r="C421" s="134" t="s">
        <v>525</v>
      </c>
      <c r="D421" s="125" t="s">
        <v>526</v>
      </c>
      <c r="E421" s="162">
        <v>12643</v>
      </c>
      <c r="F421" s="134" t="s">
        <v>668</v>
      </c>
      <c r="G421" s="134">
        <v>18.98</v>
      </c>
      <c r="H421" s="150" t="str">
        <f t="shared" si="5"/>
        <v>61182-20T&amp;A Cauliflower-Bilingual</v>
      </c>
    </row>
    <row r="422" spans="3:8" x14ac:dyDescent="0.25">
      <c r="C422" s="134" t="s">
        <v>198</v>
      </c>
      <c r="D422" s="125" t="s">
        <v>326</v>
      </c>
      <c r="E422" s="162">
        <v>12483</v>
      </c>
      <c r="F422" s="134" t="s">
        <v>669</v>
      </c>
      <c r="G422" s="134">
        <v>45.12</v>
      </c>
      <c r="H422" s="150" t="str">
        <f t="shared" si="5"/>
        <v>506961AMann 3ct Romaine Hearts w/ZIP</v>
      </c>
    </row>
    <row r="423" spans="3:8" x14ac:dyDescent="0.25">
      <c r="C423" s="134" t="s">
        <v>551</v>
      </c>
      <c r="D423" s="125" t="s">
        <v>672</v>
      </c>
      <c r="E423" s="162">
        <v>12639</v>
      </c>
      <c r="F423" s="134" t="s">
        <v>670</v>
      </c>
      <c r="G423" s="134" t="s">
        <v>675</v>
      </c>
      <c r="H423" s="150" t="str">
        <f t="shared" si="5"/>
        <v>9801895EBF Org Rom Hrts 3ct - POM</v>
      </c>
    </row>
    <row r="424" spans="3:8" x14ac:dyDescent="0.25">
      <c r="C424" s="134" t="s">
        <v>673</v>
      </c>
      <c r="D424" s="125" t="s">
        <v>674</v>
      </c>
      <c r="E424" s="162">
        <v>12590</v>
      </c>
      <c r="F424" s="134" t="s">
        <v>671</v>
      </c>
      <c r="G424" s="134" t="s">
        <v>676</v>
      </c>
      <c r="H424" s="150" t="str">
        <f t="shared" si="5"/>
        <v>14010980-00WEIS FRESH FROM THE FIELD CAULIFLOWER</v>
      </c>
    </row>
    <row r="425" spans="3:8" x14ac:dyDescent="0.25">
      <c r="C425" s="134" t="s">
        <v>548</v>
      </c>
      <c r="D425" s="125" t="s">
        <v>549</v>
      </c>
      <c r="E425" s="163">
        <v>12407</v>
      </c>
      <c r="F425" s="131" t="s">
        <v>677</v>
      </c>
      <c r="G425" s="131">
        <v>25.73</v>
      </c>
      <c r="H425" s="150" t="str">
        <f t="shared" si="5"/>
        <v>C2BBALG-A42LB BRENDA BELLE FARMS AUTOBAG</v>
      </c>
    </row>
    <row r="426" spans="3:8" x14ac:dyDescent="0.25">
      <c r="C426" s="134" t="s">
        <v>571</v>
      </c>
      <c r="D426" s="125" t="s">
        <v>572</v>
      </c>
      <c r="E426" s="163">
        <v>12493</v>
      </c>
      <c r="F426" s="30" t="s">
        <v>678</v>
      </c>
      <c r="G426" s="131">
        <v>40.65</v>
      </c>
      <c r="H426" s="150" t="str">
        <f t="shared" si="5"/>
        <v>C5BFCNLA-A15LB BOLTHOUSE FRESH CAN FS A/B</v>
      </c>
    </row>
    <row r="427" spans="3:8" x14ac:dyDescent="0.25">
      <c r="C427" s="134" t="s">
        <v>507</v>
      </c>
      <c r="D427" s="125" t="s">
        <v>508</v>
      </c>
      <c r="E427" s="163">
        <v>12393</v>
      </c>
      <c r="F427" s="30">
        <v>22612</v>
      </c>
      <c r="G427" s="131">
        <v>63.66</v>
      </c>
      <c r="H427" s="150" t="str">
        <f t="shared" si="5"/>
        <v>3000008395LB BLUEBERRIES DOLE</v>
      </c>
    </row>
    <row r="428" spans="3:8" x14ac:dyDescent="0.25">
      <c r="C428" s="134" t="s">
        <v>657</v>
      </c>
      <c r="D428" s="125" t="s">
        <v>658</v>
      </c>
      <c r="E428" s="146">
        <v>12431</v>
      </c>
      <c r="F428" s="131" t="s">
        <v>679</v>
      </c>
      <c r="G428" s="131">
        <v>18.7</v>
      </c>
      <c r="H428" s="150" t="str">
        <f t="shared" si="5"/>
        <v>86881-1BAG, 12OZ WEGMANS PETITE MW OR</v>
      </c>
    </row>
    <row r="429" spans="3:8" x14ac:dyDescent="0.25">
      <c r="C429" s="134" t="s">
        <v>686</v>
      </c>
      <c r="D429" s="125" t="s">
        <v>687</v>
      </c>
      <c r="E429" s="147">
        <v>12592</v>
      </c>
      <c r="F429" s="134">
        <v>23670</v>
      </c>
      <c r="G429" s="134">
        <v>39.200000000000003</v>
      </c>
      <c r="H429" s="150" t="str">
        <f t="shared" si="5"/>
        <v>9801950TFR COSTCO 5Ct Petite Romaine</v>
      </c>
    </row>
    <row r="430" spans="3:8" x14ac:dyDescent="0.25">
      <c r="C430" s="134" t="s">
        <v>688</v>
      </c>
      <c r="D430" s="125" t="s">
        <v>689</v>
      </c>
      <c r="E430" s="147">
        <v>12676</v>
      </c>
      <c r="F430" s="134">
        <v>23851</v>
      </c>
      <c r="G430" s="134" t="s">
        <v>682</v>
      </c>
      <c r="H430" s="150" t="str">
        <f t="shared" si="5"/>
        <v>19800984-00QVIC Baby Rom 2Ct Pouch Bg USA</v>
      </c>
    </row>
    <row r="431" spans="3:8" x14ac:dyDescent="0.25">
      <c r="C431" s="134" t="s">
        <v>690</v>
      </c>
      <c r="D431" s="125" t="s">
        <v>693</v>
      </c>
      <c r="E431" s="147">
        <v>12491</v>
      </c>
      <c r="F431" s="134">
        <v>23335</v>
      </c>
      <c r="G431" s="134">
        <v>23.26</v>
      </c>
      <c r="H431" s="150" t="str">
        <f t="shared" si="5"/>
        <v>9801921 SIMPLE TRUTH CAULIFLOWER USA (DESTINY)</v>
      </c>
    </row>
    <row r="432" spans="3:8" x14ac:dyDescent="0.25">
      <c r="C432" s="134" t="s">
        <v>525</v>
      </c>
      <c r="D432" s="125" t="s">
        <v>526</v>
      </c>
      <c r="E432" s="147">
        <v>12643</v>
      </c>
      <c r="F432" s="134">
        <v>23313</v>
      </c>
      <c r="G432" s="134">
        <v>18.98</v>
      </c>
      <c r="H432" s="150" t="str">
        <f t="shared" si="5"/>
        <v>61182-20T&amp;A Cauliflower-Bilingual</v>
      </c>
    </row>
    <row r="433" spans="3:8" x14ac:dyDescent="0.25">
      <c r="C433" s="134" t="s">
        <v>606</v>
      </c>
      <c r="D433" s="125" t="s">
        <v>624</v>
      </c>
      <c r="E433" s="147">
        <v>12556</v>
      </c>
      <c r="F433" s="134">
        <v>22974</v>
      </c>
      <c r="G433" s="134">
        <v>72.73</v>
      </c>
      <c r="H433" s="150" t="str">
        <f t="shared" si="5"/>
        <v>9801902TFR COSTCO 6Ct Rom Hrts USA</v>
      </c>
    </row>
    <row r="434" spans="3:8" x14ac:dyDescent="0.25">
      <c r="C434" s="134" t="s">
        <v>158</v>
      </c>
      <c r="D434" s="125" t="s">
        <v>639</v>
      </c>
      <c r="E434" s="147">
        <v>12671</v>
      </c>
      <c r="F434" s="134">
        <v>23682</v>
      </c>
      <c r="G434" s="134">
        <v>40</v>
      </c>
      <c r="H434" s="150" t="str">
        <f t="shared" si="5"/>
        <v>19800900-01Peak 3ct Rom Zip 22oz (624g)</v>
      </c>
    </row>
    <row r="435" spans="3:8" x14ac:dyDescent="0.25">
      <c r="C435" s="134" t="s">
        <v>560</v>
      </c>
      <c r="D435" s="125" t="s">
        <v>521</v>
      </c>
      <c r="E435" s="147">
        <v>12454</v>
      </c>
      <c r="F435" s="134">
        <v>23265</v>
      </c>
      <c r="G435" s="134" t="s">
        <v>683</v>
      </c>
      <c r="H435" s="150" t="str">
        <f t="shared" si="5"/>
        <v>9801863EBF OrgCeleryHrts Bag USA</v>
      </c>
    </row>
    <row r="436" spans="3:8" x14ac:dyDescent="0.25">
      <c r="C436" s="134" t="s">
        <v>84</v>
      </c>
      <c r="D436" s="125" t="s">
        <v>144</v>
      </c>
      <c r="E436" s="147">
        <v>12697</v>
      </c>
      <c r="F436" s="134" t="s">
        <v>680</v>
      </c>
      <c r="G436" s="134" t="s">
        <v>684</v>
      </c>
      <c r="H436" s="150" t="str">
        <f t="shared" si="5"/>
        <v>61245-12TJ's 2ct Celery HRTS-ZIP</v>
      </c>
    </row>
    <row r="437" spans="3:8" x14ac:dyDescent="0.25">
      <c r="C437" s="134" t="s">
        <v>691</v>
      </c>
      <c r="D437" s="125" t="s">
        <v>692</v>
      </c>
      <c r="E437" s="147">
        <v>11901</v>
      </c>
      <c r="F437" s="134" t="s">
        <v>681</v>
      </c>
      <c r="G437" s="134" t="s">
        <v>685</v>
      </c>
      <c r="H437" s="150" t="str">
        <f t="shared" si="5"/>
        <v>5TSSBOPW5lb TS Sunburst Org Creamers</v>
      </c>
    </row>
    <row r="438" spans="3:8" x14ac:dyDescent="0.25">
      <c r="C438" s="134" t="s">
        <v>694</v>
      </c>
      <c r="D438" s="125" t="s">
        <v>695</v>
      </c>
      <c r="E438" s="147">
        <v>12587</v>
      </c>
      <c r="F438" s="134" t="s">
        <v>696</v>
      </c>
      <c r="G438" s="134" t="s">
        <v>697</v>
      </c>
      <c r="H438" s="150" t="str">
        <f t="shared" si="5"/>
        <v>300002358POLY 48OZ GIANT EAGLE SL STRAW</v>
      </c>
    </row>
    <row r="439" spans="3:8" x14ac:dyDescent="0.25">
      <c r="C439" s="134" t="s">
        <v>653</v>
      </c>
      <c r="D439" s="125" t="s">
        <v>654</v>
      </c>
      <c r="E439" s="146">
        <v>12265</v>
      </c>
      <c r="F439" s="131" t="s">
        <v>698</v>
      </c>
      <c r="G439" s="131">
        <v>20.25</v>
      </c>
      <c r="H439" s="150" t="str">
        <f t="shared" si="5"/>
        <v>0921NOcean Mist Cauliflower USA</v>
      </c>
    </row>
    <row r="440" spans="3:8" x14ac:dyDescent="0.25">
      <c r="C440" s="134" t="s">
        <v>513</v>
      </c>
      <c r="D440" s="125" t="s">
        <v>514</v>
      </c>
      <c r="E440" s="146">
        <v>12549</v>
      </c>
      <c r="F440" s="131" t="s">
        <v>699</v>
      </c>
      <c r="G440" s="131">
        <v>18.489999999999998</v>
      </c>
      <c r="H440" s="150" t="str">
        <f t="shared" si="5"/>
        <v>0922OCEAN MST UPC/PLU CAULIFLOWER</v>
      </c>
    </row>
    <row r="441" spans="3:8" x14ac:dyDescent="0.25">
      <c r="C441" s="134" t="s">
        <v>655</v>
      </c>
      <c r="D441" s="125" t="s">
        <v>656</v>
      </c>
      <c r="E441" s="163">
        <v>12672</v>
      </c>
      <c r="F441" s="131" t="s">
        <v>652</v>
      </c>
      <c r="G441" s="131">
        <v>17.899999999999999</v>
      </c>
      <c r="H441" s="150" t="str">
        <f t="shared" si="5"/>
        <v>1350Church Bros Lett</v>
      </c>
    </row>
    <row r="442" spans="3:8" x14ac:dyDescent="0.25">
      <c r="C442" s="134" t="s">
        <v>703</v>
      </c>
      <c r="D442" s="125" t="s">
        <v>704</v>
      </c>
      <c r="E442" s="165">
        <v>12667</v>
      </c>
      <c r="F442" s="131" t="s">
        <v>700</v>
      </c>
      <c r="G442" s="131">
        <v>42.54</v>
      </c>
      <c r="H442" s="150" t="str">
        <f t="shared" si="5"/>
        <v>9801900TJ 3ct Org Rom Heart Bag - USA</v>
      </c>
    </row>
    <row r="443" spans="3:8" x14ac:dyDescent="0.25">
      <c r="C443" s="134" t="s">
        <v>705</v>
      </c>
      <c r="D443" s="125" t="s">
        <v>706</v>
      </c>
      <c r="E443" s="165">
        <v>12693</v>
      </c>
      <c r="F443" s="131" t="s">
        <v>701</v>
      </c>
      <c r="G443" s="131" t="s">
        <v>702</v>
      </c>
      <c r="H443" s="150" t="str">
        <f t="shared" si="5"/>
        <v>9801975Good &amp; Gather 3Ct Org Rom USA</v>
      </c>
    </row>
    <row r="444" spans="3:8" x14ac:dyDescent="0.25">
      <c r="C444" s="134" t="s">
        <v>688</v>
      </c>
      <c r="D444" s="125" t="s">
        <v>689</v>
      </c>
      <c r="E444" s="165">
        <v>12676</v>
      </c>
      <c r="F444" s="1">
        <v>23851</v>
      </c>
      <c r="G444" s="131" t="s">
        <v>682</v>
      </c>
      <c r="H444" s="150" t="str">
        <f t="shared" si="5"/>
        <v>19800984-00QVIC Baby Rom 2Ct Pouch Bg USA</v>
      </c>
    </row>
    <row r="445" spans="3:8" x14ac:dyDescent="0.25">
      <c r="C445" s="134" t="s">
        <v>709</v>
      </c>
      <c r="D445" s="125" t="s">
        <v>710</v>
      </c>
      <c r="E445" s="165">
        <v>12610</v>
      </c>
      <c r="F445" s="131" t="s">
        <v>707</v>
      </c>
      <c r="G445" s="131" t="s">
        <v>708</v>
      </c>
      <c r="H445" s="150" t="str">
        <f t="shared" si="5"/>
        <v>09549007Nature's Reward Purple Cauli</v>
      </c>
    </row>
    <row r="446" spans="3:8" x14ac:dyDescent="0.25">
      <c r="C446" s="134" t="s">
        <v>432</v>
      </c>
      <c r="D446" s="125" t="s">
        <v>660</v>
      </c>
      <c r="E446" s="166">
        <v>12625</v>
      </c>
      <c r="F446" s="134">
        <v>23309</v>
      </c>
      <c r="G446" s="134">
        <v>26.99</v>
      </c>
      <c r="H446" s="150" t="str">
        <f t="shared" si="5"/>
        <v>B-85BBoskovich 2lb Grn Onion 350OTR</v>
      </c>
    </row>
    <row r="447" spans="3:8" x14ac:dyDescent="0.25">
      <c r="C447" s="134" t="s">
        <v>548</v>
      </c>
      <c r="D447" s="125" t="s">
        <v>549</v>
      </c>
      <c r="E447" s="166">
        <v>12407</v>
      </c>
      <c r="F447" s="134">
        <v>22511</v>
      </c>
      <c r="G447" s="134">
        <v>25.73</v>
      </c>
      <c r="H447" s="150" t="str">
        <f t="shared" si="5"/>
        <v>C2BBALG-A42LB BRENDA BELLE FARMS AUTOBAG</v>
      </c>
    </row>
    <row r="448" spans="3:8" x14ac:dyDescent="0.25">
      <c r="C448" s="134" t="s">
        <v>691</v>
      </c>
      <c r="D448" s="125" t="s">
        <v>692</v>
      </c>
      <c r="E448" s="166">
        <v>11901</v>
      </c>
      <c r="F448" s="134" t="s">
        <v>711</v>
      </c>
      <c r="G448" s="134" t="s">
        <v>685</v>
      </c>
      <c r="H448" s="150" t="str">
        <f t="shared" si="5"/>
        <v>5TSSBOPW5lb TS Sunburst Org Creamers</v>
      </c>
    </row>
    <row r="449" spans="3:8" x14ac:dyDescent="0.25">
      <c r="C449" s="134" t="s">
        <v>716</v>
      </c>
      <c r="D449" s="125" t="s">
        <v>717</v>
      </c>
      <c r="E449" s="166">
        <v>12649</v>
      </c>
      <c r="F449" s="134">
        <v>23375</v>
      </c>
      <c r="G449" s="134">
        <v>48.64</v>
      </c>
      <c r="H449" s="150" t="str">
        <f t="shared" si="5"/>
        <v>300002360POLY 48OZ GIANT EAGLE TRIPLE B</v>
      </c>
    </row>
    <row r="450" spans="3:8" x14ac:dyDescent="0.25">
      <c r="C450" s="134" t="s">
        <v>428</v>
      </c>
      <c r="D450" s="125" t="s">
        <v>406</v>
      </c>
      <c r="E450" s="166">
        <v>12703</v>
      </c>
      <c r="F450" s="134" t="s">
        <v>712</v>
      </c>
      <c r="G450" s="134" t="s">
        <v>714</v>
      </c>
      <c r="H450" s="150" t="str">
        <f t="shared" si="5"/>
        <v>97886-12LB PRESIDENTS CHOICE ORG CAN</v>
      </c>
    </row>
    <row r="451" spans="3:8" x14ac:dyDescent="0.25">
      <c r="C451" s="134" t="s">
        <v>718</v>
      </c>
      <c r="D451" s="125" t="s">
        <v>719</v>
      </c>
      <c r="E451" s="166">
        <v>12733</v>
      </c>
      <c r="F451" s="134" t="s">
        <v>713</v>
      </c>
      <c r="G451" s="134" t="s">
        <v>715</v>
      </c>
      <c r="H451" s="150" t="str">
        <f t="shared" si="5"/>
        <v>150268BAG, 2#, OUR FAMILY, RS</v>
      </c>
    </row>
    <row r="452" spans="3:8" x14ac:dyDescent="0.25">
      <c r="C452" s="134" t="s">
        <v>686</v>
      </c>
      <c r="D452" s="125" t="s">
        <v>687</v>
      </c>
      <c r="E452" s="166">
        <v>12592</v>
      </c>
      <c r="F452" s="134">
        <v>23670</v>
      </c>
      <c r="G452" s="134">
        <v>39.200000000000003</v>
      </c>
      <c r="H452" s="150" t="str">
        <f t="shared" si="5"/>
        <v>9801950TFR COSTCO 5Ct Petite Romaine</v>
      </c>
    </row>
    <row r="453" spans="3:8" x14ac:dyDescent="0.25">
      <c r="C453" s="134" t="s">
        <v>165</v>
      </c>
      <c r="D453" s="125" t="s">
        <v>254</v>
      </c>
      <c r="E453" s="166">
        <v>12739</v>
      </c>
      <c r="F453" s="134" t="s">
        <v>720</v>
      </c>
      <c r="G453" s="134" t="s">
        <v>727</v>
      </c>
      <c r="H453" s="150" t="str">
        <f t="shared" si="5"/>
        <v>19800956-03Queen Vic 3Ct Rom Hrt Zip Bil</v>
      </c>
    </row>
    <row r="454" spans="3:8" x14ac:dyDescent="0.25">
      <c r="C454" s="134" t="s">
        <v>724</v>
      </c>
      <c r="D454" s="125" t="s">
        <v>725</v>
      </c>
      <c r="E454" s="166">
        <v>12711</v>
      </c>
      <c r="F454" s="134" t="s">
        <v>721</v>
      </c>
      <c r="G454" s="134" t="s">
        <v>728</v>
      </c>
      <c r="H454" s="150" t="str">
        <f t="shared" si="5"/>
        <v>1579CB 2Ct Baby Romaine</v>
      </c>
    </row>
    <row r="455" spans="3:8" x14ac:dyDescent="0.25">
      <c r="C455" s="134" t="s">
        <v>651</v>
      </c>
      <c r="D455" s="125" t="s">
        <v>237</v>
      </c>
      <c r="E455" s="166">
        <v>12414</v>
      </c>
      <c r="F455" s="134">
        <v>22555</v>
      </c>
      <c r="G455" s="134">
        <v>20.079999999999998</v>
      </c>
      <c r="H455" s="150" t="str">
        <f t="shared" si="5"/>
        <v>5019Trader Joe's 1ct Green Cabbage</v>
      </c>
    </row>
    <row r="456" spans="3:8" x14ac:dyDescent="0.25">
      <c r="C456" s="134" t="s">
        <v>459</v>
      </c>
      <c r="D456" s="125" t="s">
        <v>504</v>
      </c>
      <c r="E456" s="166">
        <v>12547</v>
      </c>
      <c r="F456" s="134">
        <v>22977</v>
      </c>
      <c r="G456" s="134">
        <v>17.149999999999999</v>
      </c>
      <c r="H456" s="150" t="str">
        <f t="shared" si="5"/>
        <v>4962NOceanmist 13" Lettuce Bag</v>
      </c>
    </row>
    <row r="457" spans="3:8" x14ac:dyDescent="0.25">
      <c r="C457" s="134" t="s">
        <v>525</v>
      </c>
      <c r="D457" s="125" t="s">
        <v>526</v>
      </c>
      <c r="E457" s="166">
        <v>12643</v>
      </c>
      <c r="F457" s="134">
        <v>23313</v>
      </c>
      <c r="G457" s="134">
        <v>18.98</v>
      </c>
      <c r="H457" s="150" t="str">
        <f t="shared" si="5"/>
        <v>61182-20T&amp;A Cauliflower-Bilingual</v>
      </c>
    </row>
    <row r="458" spans="3:8" x14ac:dyDescent="0.25">
      <c r="C458" s="134" t="s">
        <v>726</v>
      </c>
      <c r="D458" s="125" t="s">
        <v>77</v>
      </c>
      <c r="E458" s="166">
        <v>12710</v>
      </c>
      <c r="F458" s="134" t="s">
        <v>722</v>
      </c>
      <c r="G458" s="134" t="s">
        <v>729</v>
      </c>
      <c r="H458" s="150" t="str">
        <f t="shared" si="5"/>
        <v>5022Church Bros 2ct Lett-Sams Club</v>
      </c>
    </row>
    <row r="459" spans="3:8" x14ac:dyDescent="0.25">
      <c r="C459" s="134" t="s">
        <v>703</v>
      </c>
      <c r="D459" s="125" t="s">
        <v>704</v>
      </c>
      <c r="E459" s="166">
        <v>12667</v>
      </c>
      <c r="F459" s="134">
        <v>23678</v>
      </c>
      <c r="G459" s="134">
        <v>42.54</v>
      </c>
      <c r="H459" s="150" t="str">
        <f t="shared" si="5"/>
        <v>9801900TJ 3ct Org Rom Heart Bag - USA</v>
      </c>
    </row>
    <row r="460" spans="3:8" x14ac:dyDescent="0.25">
      <c r="C460" s="134" t="s">
        <v>155</v>
      </c>
      <c r="D460" s="125" t="s">
        <v>233</v>
      </c>
      <c r="E460" s="166">
        <v>12694</v>
      </c>
      <c r="F460" s="134" t="s">
        <v>723</v>
      </c>
      <c r="G460" s="134" t="s">
        <v>727</v>
      </c>
      <c r="H460" s="150" t="str">
        <f t="shared" si="5"/>
        <v>61822-12T&amp;A Org 3ct Rom Hrts - BI</v>
      </c>
    </row>
    <row r="461" spans="3:8" x14ac:dyDescent="0.25">
      <c r="C461" s="134" t="s">
        <v>705</v>
      </c>
      <c r="D461" s="125" t="s">
        <v>706</v>
      </c>
      <c r="E461" s="166">
        <v>12693</v>
      </c>
      <c r="F461" s="134" t="s">
        <v>701</v>
      </c>
      <c r="G461" s="134" t="s">
        <v>702</v>
      </c>
      <c r="H461" s="150" t="str">
        <f t="shared" si="5"/>
        <v>9801975Good &amp; Gather 3Ct Org Rom USA</v>
      </c>
    </row>
    <row r="462" spans="3:8" x14ac:dyDescent="0.25">
      <c r="C462" s="134" t="s">
        <v>165</v>
      </c>
      <c r="D462" s="125" t="s">
        <v>254</v>
      </c>
      <c r="E462" s="166">
        <v>12739</v>
      </c>
      <c r="F462" s="134">
        <v>23814</v>
      </c>
      <c r="G462" s="134">
        <v>40</v>
      </c>
      <c r="H462" s="150" t="str">
        <f t="shared" si="5"/>
        <v>19800956-03Queen Vic 3Ct Rom Hrt Zip Bil</v>
      </c>
    </row>
    <row r="463" spans="3:8" x14ac:dyDescent="0.25">
      <c r="C463" s="134" t="s">
        <v>732</v>
      </c>
      <c r="D463" s="125" t="s">
        <v>733</v>
      </c>
      <c r="E463" s="166">
        <v>12442</v>
      </c>
      <c r="F463" s="134">
        <v>22670</v>
      </c>
      <c r="G463" s="134">
        <v>22.24</v>
      </c>
      <c r="H463" s="150" t="str">
        <f t="shared" si="5"/>
        <v>C2NPROALG-A22LB NATURE'S PROMISE ORG CRTS</v>
      </c>
    </row>
    <row r="464" spans="3:8" x14ac:dyDescent="0.25">
      <c r="C464" s="134" t="s">
        <v>734</v>
      </c>
      <c r="D464" s="125" t="s">
        <v>735</v>
      </c>
      <c r="E464" s="166">
        <v>12537</v>
      </c>
      <c r="F464" s="134">
        <v>22972</v>
      </c>
      <c r="G464" s="134">
        <v>36.67</v>
      </c>
      <c r="H464" s="150" t="str">
        <f t="shared" si="5"/>
        <v>150269BAG, 3#, OUR FAMILY, WKT</v>
      </c>
    </row>
    <row r="465" spans="3:8" x14ac:dyDescent="0.25">
      <c r="C465" s="134" t="s">
        <v>459</v>
      </c>
      <c r="D465" s="125" t="s">
        <v>504</v>
      </c>
      <c r="E465" s="166">
        <v>12547</v>
      </c>
      <c r="F465" s="134">
        <v>22977</v>
      </c>
      <c r="G465" s="134">
        <v>17.149999999999999</v>
      </c>
      <c r="H465" s="150" t="str">
        <f t="shared" si="5"/>
        <v>4962NOceanmist 13" Lettuce Bag</v>
      </c>
    </row>
    <row r="466" spans="3:8" x14ac:dyDescent="0.25">
      <c r="C466" s="134" t="s">
        <v>736</v>
      </c>
      <c r="D466" s="125" t="s">
        <v>737</v>
      </c>
      <c r="E466" s="166">
        <v>12647</v>
      </c>
      <c r="F466" s="134">
        <v>23315</v>
      </c>
      <c r="G466" s="134">
        <v>22.38</v>
      </c>
      <c r="H466" s="150" t="str">
        <f t="shared" si="5"/>
        <v>4150Trader Joes Broccoli Crown USA</v>
      </c>
    </row>
    <row r="467" spans="3:8" x14ac:dyDescent="0.25">
      <c r="C467" s="134" t="s">
        <v>651</v>
      </c>
      <c r="D467" s="125" t="s">
        <v>237</v>
      </c>
      <c r="E467" s="166">
        <v>12709</v>
      </c>
      <c r="F467" s="134" t="s">
        <v>730</v>
      </c>
      <c r="G467" s="134" t="s">
        <v>731</v>
      </c>
      <c r="H467" s="150" t="str">
        <f t="shared" si="5"/>
        <v>5019Trader Joe's 1ct Green Cabbage</v>
      </c>
    </row>
    <row r="468" spans="3:8" x14ac:dyDescent="0.25">
      <c r="C468" s="134" t="s">
        <v>644</v>
      </c>
      <c r="D468" s="125" t="s">
        <v>294</v>
      </c>
      <c r="E468" s="166">
        <v>12731</v>
      </c>
      <c r="F468" s="134">
        <v>23813</v>
      </c>
      <c r="G468" s="134">
        <v>21.76</v>
      </c>
      <c r="H468" s="150" t="str">
        <f t="shared" si="5"/>
        <v>9801865EBF Org Broccoli Bg USA</v>
      </c>
    </row>
    <row r="469" spans="3:8" x14ac:dyDescent="0.25">
      <c r="C469" s="134" t="s">
        <v>155</v>
      </c>
      <c r="D469" s="125" t="s">
        <v>233</v>
      </c>
      <c r="E469" s="166">
        <v>12694</v>
      </c>
      <c r="F469" s="134">
        <v>23829</v>
      </c>
      <c r="G469" s="134">
        <v>40</v>
      </c>
      <c r="H469" s="150" t="str">
        <f t="shared" si="5"/>
        <v>61822-12T&amp;A Org 3ct Rom Hrts - BI</v>
      </c>
    </row>
    <row r="470" spans="3:8" x14ac:dyDescent="0.25">
      <c r="C470" s="134" t="s">
        <v>705</v>
      </c>
      <c r="D470" s="125" t="s">
        <v>706</v>
      </c>
      <c r="E470" s="166">
        <v>12693</v>
      </c>
      <c r="F470" s="134">
        <v>23852</v>
      </c>
      <c r="G470" s="134">
        <v>44.71</v>
      </c>
      <c r="H470" s="150" t="str">
        <f t="shared" si="5"/>
        <v>9801975Good &amp; Gather 3Ct Org Rom USA</v>
      </c>
    </row>
    <row r="471" spans="3:8" x14ac:dyDescent="0.25">
      <c r="C471" s="134" t="s">
        <v>428</v>
      </c>
      <c r="D471" s="125" t="s">
        <v>406</v>
      </c>
      <c r="E471" s="166">
        <v>12703</v>
      </c>
      <c r="F471" s="134">
        <v>23812</v>
      </c>
      <c r="G471" s="134">
        <v>17.809999999999999</v>
      </c>
      <c r="H471" s="150" t="str">
        <f t="shared" si="5"/>
        <v>97886-12LB PRESIDENTS CHOICE ORG CAN</v>
      </c>
    </row>
    <row r="472" spans="3:8" x14ac:dyDescent="0.25">
      <c r="C472" s="134" t="s">
        <v>645</v>
      </c>
      <c r="D472" s="125" t="s">
        <v>646</v>
      </c>
      <c r="E472" s="166">
        <v>12623</v>
      </c>
      <c r="F472" s="134">
        <v>23655</v>
      </c>
      <c r="G472" s="134">
        <v>22.58</v>
      </c>
      <c r="H472" s="150" t="str">
        <f t="shared" si="5"/>
        <v>KER-2FSWKT2LB FIRST STREET CRT WKT</v>
      </c>
    </row>
    <row r="473" spans="3:8" x14ac:dyDescent="0.25">
      <c r="C473" s="134" t="s">
        <v>703</v>
      </c>
      <c r="D473" s="125" t="s">
        <v>704</v>
      </c>
      <c r="E473" s="166">
        <v>12667</v>
      </c>
      <c r="F473" s="134">
        <v>23678</v>
      </c>
      <c r="G473" s="134">
        <v>42.54</v>
      </c>
      <c r="H473" s="150" t="str">
        <f t="shared" si="5"/>
        <v>9801900TJ 3ct Org Rom Heart Bag - USA</v>
      </c>
    </row>
    <row r="474" spans="3:8" x14ac:dyDescent="0.25">
      <c r="C474" s="134" t="s">
        <v>155</v>
      </c>
      <c r="D474" s="125" t="s">
        <v>233</v>
      </c>
      <c r="E474" s="166">
        <v>12694</v>
      </c>
      <c r="F474" s="134">
        <v>23829</v>
      </c>
      <c r="G474" s="134">
        <v>40</v>
      </c>
      <c r="H474" s="150" t="str">
        <f t="shared" si="5"/>
        <v>61822-12T&amp;A Org 3ct Rom Hrts - BI</v>
      </c>
    </row>
    <row r="475" spans="3:8" x14ac:dyDescent="0.25">
      <c r="C475" s="134" t="s">
        <v>705</v>
      </c>
      <c r="D475" s="125" t="s">
        <v>706</v>
      </c>
      <c r="E475" s="166">
        <v>12693</v>
      </c>
      <c r="F475" s="134">
        <v>23852</v>
      </c>
      <c r="G475" s="134">
        <v>44.71</v>
      </c>
      <c r="H475" s="150" t="str">
        <f t="shared" si="5"/>
        <v>9801975Good &amp; Gather 3Ct Org Rom USA</v>
      </c>
    </row>
    <row r="476" spans="3:8" x14ac:dyDescent="0.25">
      <c r="C476" s="134" t="s">
        <v>644</v>
      </c>
      <c r="D476" s="125" t="s">
        <v>294</v>
      </c>
      <c r="E476" s="166">
        <v>12731</v>
      </c>
      <c r="F476" s="134">
        <v>23813</v>
      </c>
      <c r="G476" s="134">
        <v>21.76</v>
      </c>
      <c r="H476" s="150" t="str">
        <f t="shared" si="5"/>
        <v>9801865EBF Org Broccoli Bg USA</v>
      </c>
    </row>
    <row r="477" spans="3:8" x14ac:dyDescent="0.25">
      <c r="C477" s="134" t="s">
        <v>553</v>
      </c>
      <c r="D477" s="125" t="s">
        <v>251</v>
      </c>
      <c r="E477" s="166">
        <v>12716</v>
      </c>
      <c r="F477" s="134">
        <v>23817</v>
      </c>
      <c r="G477" s="134">
        <v>40</v>
      </c>
      <c r="H477" s="150" t="str">
        <f t="shared" si="5"/>
        <v>4090Wegmans 3ct Romaine Hearts</v>
      </c>
    </row>
    <row r="478" spans="3:8" x14ac:dyDescent="0.25">
      <c r="C478" s="134" t="s">
        <v>740</v>
      </c>
      <c r="D478" s="125" t="s">
        <v>579</v>
      </c>
      <c r="E478" s="146">
        <v>12741</v>
      </c>
      <c r="F478" s="131">
        <v>23815</v>
      </c>
      <c r="G478" s="131">
        <v>28.98</v>
      </c>
      <c r="H478" s="150" t="str">
        <f t="shared" si="5"/>
        <v>1320Markon 3ct Romaine Hearts</v>
      </c>
    </row>
    <row r="479" spans="3:8" x14ac:dyDescent="0.25">
      <c r="C479" s="134" t="s">
        <v>459</v>
      </c>
      <c r="D479" s="125" t="s">
        <v>504</v>
      </c>
      <c r="E479" s="146">
        <v>12547</v>
      </c>
      <c r="F479" s="131">
        <v>22977</v>
      </c>
      <c r="G479" s="131">
        <v>17.149999999999999</v>
      </c>
      <c r="H479" s="150" t="str">
        <f t="shared" si="5"/>
        <v>4962NOceanmist 13" Lettuce Bag</v>
      </c>
    </row>
    <row r="480" spans="3:8" x14ac:dyDescent="0.25">
      <c r="C480" s="134" t="s">
        <v>566</v>
      </c>
      <c r="D480" s="125" t="s">
        <v>235</v>
      </c>
      <c r="E480" s="146">
        <v>12704</v>
      </c>
      <c r="F480" s="131">
        <v>24103</v>
      </c>
      <c r="G480" s="131">
        <v>19.239999999999998</v>
      </c>
      <c r="H480" s="150" t="str">
        <f t="shared" si="5"/>
        <v>1314Church Bros Cauliflower</v>
      </c>
    </row>
    <row r="481" spans="3:8" x14ac:dyDescent="0.25">
      <c r="C481" s="134" t="s">
        <v>595</v>
      </c>
      <c r="D481" s="125" t="s">
        <v>132</v>
      </c>
      <c r="E481" s="163">
        <v>12772</v>
      </c>
      <c r="F481" s="131">
        <v>23949</v>
      </c>
      <c r="G481" s="131">
        <v>38.35</v>
      </c>
      <c r="H481" s="150" t="str">
        <f t="shared" si="5"/>
        <v>1580Church Bros 5ct Petite Romaine</v>
      </c>
    </row>
    <row r="482" spans="3:8" x14ac:dyDescent="0.25">
      <c r="C482" s="134" t="s">
        <v>632</v>
      </c>
      <c r="D482" s="125" t="s">
        <v>633</v>
      </c>
      <c r="E482" s="146">
        <v>12612</v>
      </c>
      <c r="F482" s="131">
        <v>23667</v>
      </c>
      <c r="G482" s="131">
        <v>19.440000000000001</v>
      </c>
      <c r="H482" s="150" t="str">
        <f t="shared" si="5"/>
        <v>9801864EBF Org Cauliflower Bag USA</v>
      </c>
    </row>
    <row r="483" spans="3:8" x14ac:dyDescent="0.25">
      <c r="C483" s="134" t="s">
        <v>533</v>
      </c>
      <c r="D483" s="125" t="s">
        <v>534</v>
      </c>
      <c r="E483" s="146">
        <v>12005</v>
      </c>
      <c r="F483" s="131" t="s">
        <v>738</v>
      </c>
      <c r="G483" s="131" t="s">
        <v>739</v>
      </c>
      <c r="H483" s="150" t="str">
        <f t="shared" si="5"/>
        <v>61195-18T&amp;A Celery Stalk Sleeves 24's</v>
      </c>
    </row>
    <row r="484" spans="3:8" x14ac:dyDescent="0.25">
      <c r="C484" s="134" t="s">
        <v>569</v>
      </c>
      <c r="D484" s="125" t="s">
        <v>741</v>
      </c>
      <c r="E484" s="147">
        <v>12755</v>
      </c>
      <c r="F484" s="134">
        <v>23962</v>
      </c>
      <c r="G484" s="131">
        <v>23.98</v>
      </c>
      <c r="H484" s="150" t="str">
        <f t="shared" si="5"/>
        <v>9801908Marketside Org Broccoli</v>
      </c>
    </row>
    <row r="485" spans="3:8" x14ac:dyDescent="0.25">
      <c r="C485" s="134" t="s">
        <v>400</v>
      </c>
      <c r="D485" s="125" t="s">
        <v>563</v>
      </c>
      <c r="E485" s="147">
        <v>12319</v>
      </c>
      <c r="F485" s="134">
        <v>22171</v>
      </c>
      <c r="G485" s="131">
        <v>40.98</v>
      </c>
      <c r="H485" s="150" t="str">
        <f t="shared" si="5"/>
        <v>62021-11T&amp;A 6Ct Rom Hrts Nt Wt St</v>
      </c>
    </row>
    <row r="486" spans="3:8" x14ac:dyDescent="0.25">
      <c r="C486" s="134" t="s">
        <v>742</v>
      </c>
      <c r="D486" s="125" t="s">
        <v>743</v>
      </c>
      <c r="E486" s="147">
        <v>12484</v>
      </c>
      <c r="F486" s="134">
        <v>23123</v>
      </c>
      <c r="G486" s="131">
        <v>33.42</v>
      </c>
      <c r="H486" s="150" t="str">
        <f t="shared" si="5"/>
        <v>9801905TFR 2ct Iceberg Lett USA GREEN</v>
      </c>
    </row>
    <row r="487" spans="3:8" x14ac:dyDescent="0.25">
      <c r="C487" s="134" t="s">
        <v>165</v>
      </c>
      <c r="D487" s="125" t="s">
        <v>254</v>
      </c>
      <c r="E487" s="147">
        <v>12739</v>
      </c>
      <c r="F487" s="134">
        <v>23814</v>
      </c>
      <c r="G487" s="131">
        <v>40</v>
      </c>
      <c r="H487" s="150" t="str">
        <f t="shared" si="5"/>
        <v>19800956-03Queen Vic 3Ct Rom Hrt Zip Bil</v>
      </c>
    </row>
    <row r="488" spans="3:8" x14ac:dyDescent="0.25">
      <c r="C488" s="134" t="s">
        <v>480</v>
      </c>
      <c r="D488" s="125" t="s">
        <v>744</v>
      </c>
      <c r="E488" s="147">
        <v>12679</v>
      </c>
      <c r="F488" s="134">
        <v>23624</v>
      </c>
      <c r="G488" s="131">
        <v>70.08</v>
      </c>
      <c r="H488" s="150" t="str">
        <f t="shared" si="5"/>
        <v>59953BAG, 10#, GF, HP</v>
      </c>
    </row>
    <row r="489" spans="3:8" x14ac:dyDescent="0.25">
      <c r="C489" s="134" t="s">
        <v>709</v>
      </c>
      <c r="D489" s="125" t="s">
        <v>710</v>
      </c>
      <c r="E489" s="147">
        <v>12610</v>
      </c>
      <c r="F489" s="134">
        <v>23229</v>
      </c>
      <c r="G489" s="131">
        <v>20.5</v>
      </c>
      <c r="H489" s="150" t="str">
        <f t="shared" si="5"/>
        <v>09549007Nature's Reward Purple Cauli</v>
      </c>
    </row>
    <row r="490" spans="3:8" x14ac:dyDescent="0.25">
      <c r="C490" s="134" t="s">
        <v>602</v>
      </c>
      <c r="D490" s="125" t="s">
        <v>603</v>
      </c>
      <c r="E490" s="147">
        <v>12754</v>
      </c>
      <c r="F490" s="134">
        <v>23961</v>
      </c>
      <c r="G490" s="131">
        <v>35.549999999999997</v>
      </c>
      <c r="H490" s="150" t="str">
        <f t="shared" si="5"/>
        <v>5CALOSBPW-15lb Cal O Sunburst Poly Wicket</v>
      </c>
    </row>
    <row r="491" spans="3:8" x14ac:dyDescent="0.25">
      <c r="C491" s="134" t="s">
        <v>560</v>
      </c>
      <c r="D491" s="125" t="s">
        <v>521</v>
      </c>
      <c r="E491" s="147">
        <v>12454</v>
      </c>
      <c r="F491" s="134">
        <v>23265</v>
      </c>
      <c r="G491" s="134" t="s">
        <v>683</v>
      </c>
      <c r="H491" s="150" t="str">
        <f t="shared" si="5"/>
        <v>9801863EBF OrgCeleryHrts Bag USA</v>
      </c>
    </row>
    <row r="492" spans="3:8" x14ac:dyDescent="0.25">
      <c r="C492" s="134" t="s">
        <v>459</v>
      </c>
      <c r="D492" s="125" t="s">
        <v>504</v>
      </c>
      <c r="E492" s="147">
        <v>12547</v>
      </c>
      <c r="F492" s="134">
        <v>22977</v>
      </c>
      <c r="G492" s="134">
        <v>17.149999999999999</v>
      </c>
      <c r="H492" s="150" t="str">
        <f t="shared" si="5"/>
        <v>4962NOceanmist 13" Lettuce Bag</v>
      </c>
    </row>
    <row r="493" spans="3:8" x14ac:dyDescent="0.25">
      <c r="C493" s="134" t="s">
        <v>600</v>
      </c>
      <c r="D493" s="125" t="s">
        <v>601</v>
      </c>
      <c r="E493" s="147">
        <v>12788</v>
      </c>
      <c r="F493" s="134">
        <v>24127</v>
      </c>
      <c r="G493" s="134">
        <v>23.48</v>
      </c>
      <c r="H493" s="150" t="str">
        <f t="shared" si="5"/>
        <v>61837-11T&amp;A Org Broccoli Bunch USA</v>
      </c>
    </row>
    <row r="494" spans="3:8" x14ac:dyDescent="0.25">
      <c r="C494" s="134" t="s">
        <v>553</v>
      </c>
      <c r="D494" s="125" t="s">
        <v>251</v>
      </c>
      <c r="E494" s="147">
        <v>12716</v>
      </c>
      <c r="F494" s="134">
        <v>23817</v>
      </c>
      <c r="G494" s="134">
        <v>40</v>
      </c>
      <c r="H494" s="150" t="str">
        <f t="shared" si="5"/>
        <v>4090Wegmans 3ct Romaine Hearts</v>
      </c>
    </row>
    <row r="495" spans="3:8" x14ac:dyDescent="0.25">
      <c r="C495" s="134" t="s">
        <v>543</v>
      </c>
      <c r="D495" s="125" t="s">
        <v>242</v>
      </c>
      <c r="E495" s="147">
        <v>12770</v>
      </c>
      <c r="F495" s="134">
        <v>23948</v>
      </c>
      <c r="G495" s="134">
        <v>40</v>
      </c>
      <c r="H495" s="150" t="str">
        <f t="shared" si="5"/>
        <v>1351Church Bros 3ct Rom Hrts - BI</v>
      </c>
    </row>
    <row r="496" spans="3:8" x14ac:dyDescent="0.25">
      <c r="C496" s="134" t="s">
        <v>745</v>
      </c>
      <c r="D496" s="125" t="s">
        <v>746</v>
      </c>
      <c r="E496" s="147">
        <v>12793</v>
      </c>
      <c r="F496" s="134">
        <v>24105</v>
      </c>
      <c r="G496" s="134">
        <v>65.05</v>
      </c>
      <c r="H496" s="150" t="str">
        <f t="shared" si="5"/>
        <v>002-00-55115-04Dole Clean &amp; Trim Icebrg Lett</v>
      </c>
    </row>
    <row r="497" spans="3:8" x14ac:dyDescent="0.25">
      <c r="C497" s="134" t="s">
        <v>163</v>
      </c>
      <c r="D497" s="125" t="s">
        <v>290</v>
      </c>
      <c r="E497" s="147">
        <v>12784</v>
      </c>
      <c r="F497" s="134">
        <v>24101</v>
      </c>
      <c r="G497" s="134">
        <v>40</v>
      </c>
      <c r="H497" s="150" t="str">
        <f t="shared" si="5"/>
        <v>002-40-55032-01Dole 23oz Romaine USA w/Zipper</v>
      </c>
    </row>
    <row r="498" spans="3:8" x14ac:dyDescent="0.25">
      <c r="C498" s="134" t="s">
        <v>494</v>
      </c>
      <c r="D498" s="125" t="s">
        <v>502</v>
      </c>
      <c r="E498" s="147">
        <v>12274</v>
      </c>
      <c r="F498" s="134">
        <v>22135</v>
      </c>
      <c r="G498" s="134">
        <v>17.43</v>
      </c>
      <c r="H498" s="150" t="str">
        <f t="shared" si="5"/>
        <v>55112BAG, 12OZ, GF, MW, TRI PERF'D</v>
      </c>
    </row>
    <row r="499" spans="3:8" x14ac:dyDescent="0.25">
      <c r="C499" s="134" t="s">
        <v>632</v>
      </c>
      <c r="D499" s="125" t="s">
        <v>633</v>
      </c>
      <c r="E499" s="147">
        <v>12612</v>
      </c>
      <c r="F499" s="134">
        <v>23667</v>
      </c>
      <c r="G499" s="134">
        <v>19.440000000000001</v>
      </c>
      <c r="H499" s="150" t="str">
        <f t="shared" si="5"/>
        <v>9801864EBF Org Cauliflower Bag USA</v>
      </c>
    </row>
    <row r="500" spans="3:8" x14ac:dyDescent="0.25">
      <c r="C500" s="134" t="s">
        <v>566</v>
      </c>
      <c r="D500" s="125" t="s">
        <v>235</v>
      </c>
      <c r="E500" s="147">
        <v>12704</v>
      </c>
      <c r="F500" s="134">
        <v>24103</v>
      </c>
      <c r="G500" s="134">
        <v>19.239999999999998</v>
      </c>
      <c r="H500" s="150" t="str">
        <f t="shared" si="5"/>
        <v>1314Church Bros Cauliflower</v>
      </c>
    </row>
    <row r="501" spans="3:8" x14ac:dyDescent="0.25">
      <c r="C501" s="134" t="s">
        <v>585</v>
      </c>
      <c r="D501" s="125" t="s">
        <v>586</v>
      </c>
      <c r="E501" s="147">
        <v>12249</v>
      </c>
      <c r="F501" s="134">
        <v>22307</v>
      </c>
      <c r="G501" s="134" t="s">
        <v>754</v>
      </c>
      <c r="H501" s="150" t="str">
        <f t="shared" si="5"/>
        <v>0930MOM 3ct Rom Hearts BI NoZip POM</v>
      </c>
    </row>
    <row r="502" spans="3:8" x14ac:dyDescent="0.25">
      <c r="C502" s="134" t="s">
        <v>651</v>
      </c>
      <c r="D502" s="125" t="s">
        <v>237</v>
      </c>
      <c r="E502" s="147">
        <v>12709</v>
      </c>
      <c r="F502" s="134" t="s">
        <v>747</v>
      </c>
      <c r="G502" s="134" t="s">
        <v>755</v>
      </c>
      <c r="H502" s="150" t="str">
        <f t="shared" si="5"/>
        <v>5019Trader Joe's 1ct Green Cabbage</v>
      </c>
    </row>
    <row r="503" spans="3:8" x14ac:dyDescent="0.25">
      <c r="C503" s="134" t="s">
        <v>752</v>
      </c>
      <c r="D503" s="125" t="s">
        <v>753</v>
      </c>
      <c r="E503" s="147">
        <v>12729</v>
      </c>
      <c r="F503" s="134" t="s">
        <v>748</v>
      </c>
      <c r="G503" s="134" t="s">
        <v>756</v>
      </c>
      <c r="H503" s="150" t="str">
        <f t="shared" si="5"/>
        <v>C2GEALG-A32LB GIANT EAGLE CRT CELLO AUTO</v>
      </c>
    </row>
    <row r="504" spans="3:8" x14ac:dyDescent="0.25">
      <c r="C504" s="134" t="s">
        <v>569</v>
      </c>
      <c r="D504" s="125" t="s">
        <v>741</v>
      </c>
      <c r="E504" s="147">
        <v>12755</v>
      </c>
      <c r="F504" s="134" t="s">
        <v>749</v>
      </c>
      <c r="G504" s="134" t="s">
        <v>757</v>
      </c>
      <c r="H504" s="150" t="str">
        <f t="shared" si="5"/>
        <v>9801908Marketside Org Broccoli</v>
      </c>
    </row>
    <row r="505" spans="3:8" x14ac:dyDescent="0.25">
      <c r="C505" s="134" t="s">
        <v>595</v>
      </c>
      <c r="D505" s="125" t="s">
        <v>132</v>
      </c>
      <c r="E505" s="147">
        <v>12772</v>
      </c>
      <c r="F505" s="134" t="s">
        <v>750</v>
      </c>
      <c r="G505" s="134" t="s">
        <v>758</v>
      </c>
      <c r="H505" s="150" t="str">
        <f t="shared" si="5"/>
        <v>1580Church Bros 5ct Petite Romaine</v>
      </c>
    </row>
    <row r="506" spans="3:8" x14ac:dyDescent="0.25">
      <c r="C506" s="134" t="s">
        <v>589</v>
      </c>
      <c r="D506" s="125" t="s">
        <v>590</v>
      </c>
      <c r="E506" s="147">
        <v>12799</v>
      </c>
      <c r="F506" s="134" t="s">
        <v>751</v>
      </c>
      <c r="G506" s="134" t="s">
        <v>759</v>
      </c>
      <c r="H506" s="150" t="str">
        <f t="shared" si="5"/>
        <v>61769-11T&amp;A Org Cauliflower USA</v>
      </c>
    </row>
    <row r="507" spans="3:8" x14ac:dyDescent="0.25">
      <c r="C507" s="134" t="s">
        <v>732</v>
      </c>
      <c r="D507" s="125" t="s">
        <v>733</v>
      </c>
      <c r="E507" s="147">
        <v>12796</v>
      </c>
      <c r="F507" s="134">
        <v>24218</v>
      </c>
      <c r="G507" s="134">
        <v>22.24</v>
      </c>
      <c r="H507" s="150" t="str">
        <f t="shared" si="5"/>
        <v>C2NPROALG-A22LB NATURE'S PROMISE ORG CRTS</v>
      </c>
    </row>
    <row r="508" spans="3:8" x14ac:dyDescent="0.25">
      <c r="C508" s="134" t="s">
        <v>703</v>
      </c>
      <c r="D508" s="125" t="s">
        <v>704</v>
      </c>
      <c r="E508" s="147">
        <v>12667</v>
      </c>
      <c r="F508" s="134">
        <v>23678</v>
      </c>
      <c r="G508" s="134">
        <v>42.54</v>
      </c>
      <c r="H508" s="150" t="str">
        <f t="shared" si="5"/>
        <v>9801900TJ 3ct Org Rom Heart Bag - USA</v>
      </c>
    </row>
    <row r="509" spans="3:8" x14ac:dyDescent="0.25">
      <c r="C509" s="134" t="s">
        <v>703</v>
      </c>
      <c r="D509" s="125" t="s">
        <v>704</v>
      </c>
      <c r="E509" s="147">
        <v>12794</v>
      </c>
      <c r="F509" s="134">
        <v>24131</v>
      </c>
      <c r="G509" s="134">
        <v>42.54</v>
      </c>
      <c r="H509" s="150" t="str">
        <f t="shared" si="5"/>
        <v>9801900TJ 3ct Org Rom Heart Bag - USA</v>
      </c>
    </row>
    <row r="510" spans="3:8" x14ac:dyDescent="0.25">
      <c r="C510" s="134" t="s">
        <v>560</v>
      </c>
      <c r="D510" s="125" t="s">
        <v>521</v>
      </c>
      <c r="E510" s="147">
        <v>12454</v>
      </c>
      <c r="F510" s="134">
        <v>23265</v>
      </c>
      <c r="G510" s="134" t="s">
        <v>683</v>
      </c>
      <c r="H510" s="150" t="str">
        <f t="shared" si="5"/>
        <v>9801863EBF OrgCeleryHrts Bag USA</v>
      </c>
    </row>
    <row r="511" spans="3:8" x14ac:dyDescent="0.25">
      <c r="C511" s="134" t="s">
        <v>566</v>
      </c>
      <c r="D511" s="125" t="s">
        <v>235</v>
      </c>
      <c r="E511" s="147">
        <v>12704</v>
      </c>
      <c r="F511" s="134">
        <v>24103</v>
      </c>
      <c r="G511" s="134">
        <v>19.239999999999998</v>
      </c>
      <c r="H511" s="150" t="str">
        <f t="shared" si="5"/>
        <v>1314Church Bros Cauliflower</v>
      </c>
    </row>
    <row r="512" spans="3:8" x14ac:dyDescent="0.25">
      <c r="C512" s="134" t="s">
        <v>589</v>
      </c>
      <c r="D512" s="125" t="s">
        <v>590</v>
      </c>
      <c r="E512" s="147">
        <v>12799</v>
      </c>
      <c r="F512" s="134">
        <v>24153</v>
      </c>
      <c r="G512" s="134">
        <v>21.88</v>
      </c>
      <c r="H512" s="150" t="str">
        <f t="shared" si="5"/>
        <v>61769-11T&amp;A Org Cauliflower USA</v>
      </c>
    </row>
    <row r="513" spans="3:8" x14ac:dyDescent="0.25">
      <c r="C513" s="134" t="s">
        <v>655</v>
      </c>
      <c r="D513" s="125" t="s">
        <v>656</v>
      </c>
      <c r="E513" s="147">
        <v>12811</v>
      </c>
      <c r="F513" s="134">
        <v>24157</v>
      </c>
      <c r="G513" s="134">
        <v>17.899999999999999</v>
      </c>
      <c r="H513" s="150" t="str">
        <f t="shared" si="5"/>
        <v>1350Church Bros Lett</v>
      </c>
    </row>
    <row r="514" spans="3:8" x14ac:dyDescent="0.25">
      <c r="C514" s="134" t="s">
        <v>163</v>
      </c>
      <c r="D514" s="125" t="s">
        <v>290</v>
      </c>
      <c r="E514" s="147">
        <v>12784</v>
      </c>
      <c r="F514" s="134">
        <v>24101</v>
      </c>
      <c r="G514" s="134">
        <v>40</v>
      </c>
      <c r="H514" s="150" t="str">
        <f t="shared" si="5"/>
        <v>002-40-55032-01Dole 23oz Romaine USA w/Zipper</v>
      </c>
    </row>
    <row r="515" spans="3:8" x14ac:dyDescent="0.25">
      <c r="C515" s="134" t="s">
        <v>543</v>
      </c>
      <c r="D515" s="125" t="s">
        <v>242</v>
      </c>
      <c r="E515" s="147">
        <v>12770</v>
      </c>
      <c r="F515" s="134">
        <v>23948</v>
      </c>
      <c r="G515" s="134">
        <v>40</v>
      </c>
      <c r="H515" s="150" t="str">
        <f t="shared" si="5"/>
        <v>1351Church Bros 3ct Rom Hrts - BI</v>
      </c>
    </row>
    <row r="516" spans="3:8" x14ac:dyDescent="0.25">
      <c r="C516" s="134" t="s">
        <v>139</v>
      </c>
      <c r="D516" s="125" t="s">
        <v>140</v>
      </c>
      <c r="E516" s="147">
        <v>12800</v>
      </c>
      <c r="F516" s="134">
        <v>24220</v>
      </c>
      <c r="G516" s="134">
        <v>40</v>
      </c>
      <c r="H516" s="150" t="str">
        <f t="shared" si="5"/>
        <v>28370944-01Josie's Rm Hrt 3ct 22oz Bil US</v>
      </c>
    </row>
    <row r="517" spans="3:8" x14ac:dyDescent="0.25">
      <c r="C517" s="134" t="s">
        <v>172</v>
      </c>
      <c r="D517" s="125" t="s">
        <v>760</v>
      </c>
      <c r="E517" s="147">
        <v>12727</v>
      </c>
      <c r="F517" s="134">
        <v>24230</v>
      </c>
      <c r="G517" s="134">
        <v>35.549999999999997</v>
      </c>
      <c r="H517" s="150" t="str">
        <f t="shared" si="5"/>
        <v>5TSSAMSPP5lb TS Sams Perfect Pair Wkt</v>
      </c>
    </row>
    <row r="518" spans="3:8" x14ac:dyDescent="0.25">
      <c r="C518" s="134" t="s">
        <v>600</v>
      </c>
      <c r="D518" s="125" t="s">
        <v>601</v>
      </c>
      <c r="E518" s="147">
        <v>12788</v>
      </c>
      <c r="F518" s="134">
        <v>24127</v>
      </c>
      <c r="G518" s="134">
        <v>23.48</v>
      </c>
      <c r="H518" s="150" t="str">
        <f t="shared" si="5"/>
        <v>61837-11T&amp;A Org Broccoli Bunch USA</v>
      </c>
    </row>
    <row r="519" spans="3:8" x14ac:dyDescent="0.25">
      <c r="C519" s="134" t="s">
        <v>591</v>
      </c>
      <c r="D519" s="125" t="s">
        <v>592</v>
      </c>
      <c r="E519" s="147">
        <v>12785</v>
      </c>
      <c r="F519" s="134">
        <v>24102</v>
      </c>
      <c r="G519" s="134">
        <v>18.350000000000001</v>
      </c>
      <c r="H519" s="150" t="str">
        <f t="shared" si="5"/>
        <v>002-00-80005-0113.5" KING SIZE LETTUCE</v>
      </c>
    </row>
    <row r="520" spans="3:8" x14ac:dyDescent="0.25">
      <c r="C520" s="134" t="s">
        <v>560</v>
      </c>
      <c r="D520" s="125" t="s">
        <v>521</v>
      </c>
      <c r="E520" s="147">
        <v>12824</v>
      </c>
      <c r="F520" s="134">
        <v>24287</v>
      </c>
      <c r="G520" s="134">
        <v>15.77</v>
      </c>
      <c r="H520" s="150" t="str">
        <f t="shared" si="5"/>
        <v>9801863EBF OrgCeleryHrts Bag USA</v>
      </c>
    </row>
    <row r="521" spans="3:8" x14ac:dyDescent="0.25">
      <c r="C521" s="134" t="s">
        <v>475</v>
      </c>
      <c r="D521" s="125" t="s">
        <v>335</v>
      </c>
      <c r="E521" s="147">
        <v>12798</v>
      </c>
      <c r="F521" s="134">
        <v>24133</v>
      </c>
      <c r="G521" s="134">
        <v>90.52</v>
      </c>
      <c r="H521" s="150" t="str">
        <f t="shared" si="5"/>
        <v>61952-12T&amp;A 2ct Baby Iceberg SUP</v>
      </c>
    </row>
    <row r="522" spans="3:8" x14ac:dyDescent="0.25">
      <c r="C522" s="134" t="s">
        <v>494</v>
      </c>
      <c r="D522" s="125" t="s">
        <v>502</v>
      </c>
      <c r="E522" s="147">
        <v>12274</v>
      </c>
      <c r="F522" s="134">
        <v>22135</v>
      </c>
      <c r="G522" s="134">
        <v>17.43</v>
      </c>
      <c r="H522" s="150" t="str">
        <f t="shared" si="5"/>
        <v>55112BAG, 12OZ, GF, MW, TRI PERF'D</v>
      </c>
    </row>
    <row r="523" spans="3:8" x14ac:dyDescent="0.25">
      <c r="C523" s="134" t="s">
        <v>761</v>
      </c>
      <c r="D523" s="125" t="s">
        <v>328</v>
      </c>
      <c r="E523" s="147">
        <v>12763</v>
      </c>
      <c r="F523" s="134">
        <v>24048</v>
      </c>
      <c r="G523" s="134">
        <v>64.87</v>
      </c>
      <c r="H523" s="150" t="str">
        <f t="shared" si="5"/>
        <v>3000015855LB DOLE CR SL BANANAS</v>
      </c>
    </row>
    <row r="524" spans="3:8" x14ac:dyDescent="0.25">
      <c r="C524" s="134" t="s">
        <v>762</v>
      </c>
      <c r="D524" s="125" t="s">
        <v>763</v>
      </c>
      <c r="E524" s="147">
        <v>12765</v>
      </c>
      <c r="F524" s="134">
        <v>24045</v>
      </c>
      <c r="G524" s="134">
        <v>68.52</v>
      </c>
      <c r="H524" s="150" t="str">
        <f t="shared" si="5"/>
        <v>3000009055lb DL Whole Blackber Zarzamor</v>
      </c>
    </row>
    <row r="525" spans="3:8" x14ac:dyDescent="0.25">
      <c r="C525" s="134" t="s">
        <v>764</v>
      </c>
      <c r="D525" s="125" t="s">
        <v>765</v>
      </c>
      <c r="E525" s="147">
        <v>12761</v>
      </c>
      <c r="F525" s="134">
        <v>24106</v>
      </c>
      <c r="G525" s="134">
        <v>64.819999999999993</v>
      </c>
      <c r="H525" s="150" t="str">
        <f t="shared" si="5"/>
        <v>3000008675LB MANGO CHUNKS DOLE</v>
      </c>
    </row>
    <row r="526" spans="3:8" x14ac:dyDescent="0.25">
      <c r="C526" s="134" t="s">
        <v>766</v>
      </c>
      <c r="D526" s="125" t="s">
        <v>767</v>
      </c>
      <c r="E526" s="147">
        <v>12766</v>
      </c>
      <c r="F526" s="134">
        <v>24043</v>
      </c>
      <c r="G526" s="134">
        <v>48.64</v>
      </c>
      <c r="H526" s="150" t="str">
        <f t="shared" si="5"/>
        <v>30000236248OZ GIANT EAGLE BLU BRY FAM</v>
      </c>
    </row>
    <row r="527" spans="3:8" x14ac:dyDescent="0.25">
      <c r="C527" s="134" t="s">
        <v>768</v>
      </c>
      <c r="D527" s="125" t="s">
        <v>769</v>
      </c>
      <c r="E527" s="147">
        <v>12767</v>
      </c>
      <c r="F527" s="134">
        <v>24041</v>
      </c>
      <c r="G527" s="134">
        <v>62.79</v>
      </c>
      <c r="H527" s="150" t="str">
        <f t="shared" si="5"/>
        <v>3000022584-7OZ DOLE DAILY FRT n GRN OUT</v>
      </c>
    </row>
    <row r="528" spans="3:8" x14ac:dyDescent="0.25">
      <c r="C528" s="134" t="s">
        <v>703</v>
      </c>
      <c r="D528" s="125" t="s">
        <v>704</v>
      </c>
      <c r="E528" s="147">
        <v>12794</v>
      </c>
      <c r="F528" s="134">
        <v>24131</v>
      </c>
      <c r="G528" s="134">
        <v>42.54</v>
      </c>
      <c r="H528" s="150" t="str">
        <f t="shared" si="5"/>
        <v>9801900TJ 3ct Org Rom Heart Bag - USA</v>
      </c>
    </row>
    <row r="529" spans="3:8" x14ac:dyDescent="0.25">
      <c r="C529" s="134" t="s">
        <v>690</v>
      </c>
      <c r="D529" s="125" t="s">
        <v>770</v>
      </c>
      <c r="E529" s="147">
        <v>12491</v>
      </c>
      <c r="F529" s="134">
        <v>23335</v>
      </c>
      <c r="G529" s="134">
        <v>23.26</v>
      </c>
      <c r="H529" s="150" t="str">
        <f t="shared" si="5"/>
        <v>9801921Simple Truth Cauliflower USA</v>
      </c>
    </row>
    <row r="530" spans="3:8" x14ac:dyDescent="0.25">
      <c r="C530" s="134" t="s">
        <v>655</v>
      </c>
      <c r="D530" s="125" t="s">
        <v>656</v>
      </c>
      <c r="E530" s="147">
        <v>12811</v>
      </c>
      <c r="F530" s="134">
        <v>24157</v>
      </c>
      <c r="G530" s="134">
        <v>17.899999999999999</v>
      </c>
      <c r="H530" s="150" t="str">
        <f t="shared" si="5"/>
        <v>1350Church Bros Lett</v>
      </c>
    </row>
    <row r="531" spans="3:8" x14ac:dyDescent="0.25">
      <c r="C531" s="134" t="s">
        <v>171</v>
      </c>
      <c r="D531" s="125" t="s">
        <v>771</v>
      </c>
      <c r="E531" s="147">
        <v>12825</v>
      </c>
      <c r="F531" s="134">
        <v>24231</v>
      </c>
      <c r="G531" s="134">
        <v>19.43</v>
      </c>
      <c r="H531" s="150" t="str">
        <f t="shared" si="5"/>
        <v>CF-003-2Coke Farms Organic Cauli</v>
      </c>
    </row>
    <row r="532" spans="3:8" x14ac:dyDescent="0.25">
      <c r="C532" s="134" t="s">
        <v>560</v>
      </c>
      <c r="D532" s="125" t="s">
        <v>521</v>
      </c>
      <c r="E532" s="147">
        <v>12824</v>
      </c>
      <c r="F532" s="134">
        <v>24287</v>
      </c>
      <c r="G532" s="134">
        <v>15.77</v>
      </c>
      <c r="H532" s="150" t="str">
        <f t="shared" si="5"/>
        <v>9801863EBF OrgCeleryHrts Bag USA</v>
      </c>
    </row>
    <row r="533" spans="3:8" x14ac:dyDescent="0.25">
      <c r="C533" s="134" t="s">
        <v>163</v>
      </c>
      <c r="D533" s="125" t="s">
        <v>290</v>
      </c>
      <c r="E533" s="147">
        <v>12784</v>
      </c>
      <c r="F533" s="134">
        <v>24101</v>
      </c>
      <c r="G533" s="134">
        <v>40</v>
      </c>
      <c r="H533" s="150" t="str">
        <f t="shared" si="5"/>
        <v>002-40-55032-01Dole 23oz Romaine USA w/Zipper</v>
      </c>
    </row>
    <row r="534" spans="3:8" x14ac:dyDescent="0.25">
      <c r="C534" s="134" t="s">
        <v>703</v>
      </c>
      <c r="D534" s="125" t="s">
        <v>704</v>
      </c>
      <c r="E534" s="147">
        <v>12794</v>
      </c>
      <c r="F534" s="134">
        <v>24131</v>
      </c>
      <c r="G534" s="134">
        <v>42.54</v>
      </c>
      <c r="H534" s="150" t="str">
        <f t="shared" si="5"/>
        <v>9801900TJ 3ct Org Rom Heart Bag - USA</v>
      </c>
    </row>
    <row r="535" spans="3:8" x14ac:dyDescent="0.25">
      <c r="C535" s="134" t="s">
        <v>543</v>
      </c>
      <c r="D535" s="125" t="s">
        <v>242</v>
      </c>
      <c r="E535" s="147">
        <v>12770</v>
      </c>
      <c r="F535" s="134">
        <v>23948</v>
      </c>
      <c r="G535" s="134">
        <v>40</v>
      </c>
      <c r="H535" s="150" t="str">
        <f t="shared" si="5"/>
        <v>1351Church Bros 3ct Rom Hrts - BI</v>
      </c>
    </row>
    <row r="536" spans="3:8" x14ac:dyDescent="0.25">
      <c r="C536" s="134" t="s">
        <v>139</v>
      </c>
      <c r="D536" s="125" t="s">
        <v>140</v>
      </c>
      <c r="E536" s="147">
        <v>12800</v>
      </c>
      <c r="F536" s="134">
        <v>24220</v>
      </c>
      <c r="G536" s="134">
        <v>40</v>
      </c>
      <c r="H536" s="150" t="str">
        <f t="shared" si="5"/>
        <v>28370944-01Josie's Rm Hrt 3ct 22oz Bil US</v>
      </c>
    </row>
    <row r="537" spans="3:8" x14ac:dyDescent="0.25">
      <c r="C537" s="134" t="s">
        <v>557</v>
      </c>
      <c r="D537" s="125" t="s">
        <v>338</v>
      </c>
      <c r="E537" s="167">
        <v>12813</v>
      </c>
      <c r="F537" s="131" t="s">
        <v>772</v>
      </c>
      <c r="G537" s="131" t="s">
        <v>773</v>
      </c>
      <c r="H537" s="150" t="str">
        <f t="shared" si="5"/>
        <v>1318Markon 6ct Romaine Hearts</v>
      </c>
    </row>
    <row r="538" spans="3:8" x14ac:dyDescent="0.25">
      <c r="C538" s="134" t="s">
        <v>171</v>
      </c>
      <c r="D538" s="125" t="s">
        <v>771</v>
      </c>
      <c r="E538" s="146">
        <v>12825</v>
      </c>
      <c r="F538" s="131" t="s">
        <v>774</v>
      </c>
      <c r="G538" s="131" t="s">
        <v>775</v>
      </c>
      <c r="H538" s="150" t="str">
        <f t="shared" si="5"/>
        <v>CF-003-2Coke Farms Organic Cauli</v>
      </c>
    </row>
    <row r="539" spans="3:8" x14ac:dyDescent="0.25">
      <c r="C539" s="134" t="s">
        <v>543</v>
      </c>
      <c r="D539" s="125" t="s">
        <v>242</v>
      </c>
      <c r="E539" s="146">
        <v>12770</v>
      </c>
      <c r="F539" s="131" t="s">
        <v>776</v>
      </c>
      <c r="G539" s="131" t="s">
        <v>727</v>
      </c>
      <c r="H539" s="150" t="str">
        <f t="shared" si="5"/>
        <v>1351Church Bros 3ct Rom Hrts - BI</v>
      </c>
    </row>
    <row r="540" spans="3:8" x14ac:dyDescent="0.25">
      <c r="C540" s="134" t="s">
        <v>779</v>
      </c>
      <c r="D540" s="125" t="s">
        <v>780</v>
      </c>
      <c r="E540" s="167">
        <v>12773</v>
      </c>
      <c r="F540" s="131" t="s">
        <v>777</v>
      </c>
      <c r="G540" s="131" t="s">
        <v>778</v>
      </c>
      <c r="H540" s="150" t="str">
        <f t="shared" si="5"/>
        <v>S0110HEBOFLW-A25-2.25oz HEB ORG SNACK FLW WRP</v>
      </c>
    </row>
    <row r="541" spans="3:8" x14ac:dyDescent="0.25">
      <c r="C541" s="134" t="s">
        <v>655</v>
      </c>
      <c r="D541" s="125" t="s">
        <v>656</v>
      </c>
      <c r="E541" s="168">
        <v>12811</v>
      </c>
      <c r="F541" s="134">
        <v>24157</v>
      </c>
      <c r="G541" s="131">
        <v>17.899999999999999</v>
      </c>
      <c r="H541" s="150" t="str">
        <f t="shared" si="5"/>
        <v>1350Church Bros Lett</v>
      </c>
    </row>
    <row r="542" spans="3:8" x14ac:dyDescent="0.25">
      <c r="C542" s="134" t="s">
        <v>163</v>
      </c>
      <c r="D542" s="125" t="s">
        <v>290</v>
      </c>
      <c r="E542" s="168">
        <v>12784</v>
      </c>
      <c r="F542" s="134">
        <v>24101</v>
      </c>
      <c r="G542" s="131">
        <v>40</v>
      </c>
      <c r="H542" s="150" t="str">
        <f t="shared" si="5"/>
        <v>002-40-55032-01Dole 23oz Romaine USA w/Zipper</v>
      </c>
    </row>
    <row r="543" spans="3:8" x14ac:dyDescent="0.25">
      <c r="C543" s="134" t="s">
        <v>139</v>
      </c>
      <c r="D543" s="125" t="s">
        <v>140</v>
      </c>
      <c r="E543" s="168">
        <v>12800</v>
      </c>
      <c r="F543" s="134">
        <v>24220</v>
      </c>
      <c r="G543" s="131">
        <v>40</v>
      </c>
      <c r="H543" s="150" t="str">
        <f t="shared" si="5"/>
        <v>28370944-01Josie's Rm Hrt 3ct 22oz Bil US</v>
      </c>
    </row>
    <row r="544" spans="3:8" x14ac:dyDescent="0.25">
      <c r="C544" s="134" t="s">
        <v>217</v>
      </c>
      <c r="D544" s="125" t="s">
        <v>372</v>
      </c>
      <c r="E544" s="168">
        <v>12789</v>
      </c>
      <c r="F544" s="134">
        <v>24100</v>
      </c>
      <c r="G544" s="131">
        <v>17.5</v>
      </c>
      <c r="H544" s="150" t="str">
        <f t="shared" si="5"/>
        <v>19800975-01Queen Vic 14 UPC PLU Lett US</v>
      </c>
    </row>
    <row r="545" spans="3:8" x14ac:dyDescent="0.25">
      <c r="C545" s="134" t="s">
        <v>732</v>
      </c>
      <c r="D545" s="125" t="s">
        <v>733</v>
      </c>
      <c r="E545" s="168">
        <v>12796</v>
      </c>
      <c r="F545" s="134">
        <v>24218</v>
      </c>
      <c r="G545" s="131">
        <v>22.24</v>
      </c>
      <c r="H545" s="150" t="str">
        <f t="shared" si="5"/>
        <v>C2NPROALG-A22LB NATURE'S PROMISE ORG CRTS</v>
      </c>
    </row>
    <row r="546" spans="3:8" x14ac:dyDescent="0.25">
      <c r="C546" s="134" t="s">
        <v>752</v>
      </c>
      <c r="D546" s="125" t="s">
        <v>753</v>
      </c>
      <c r="E546" s="168">
        <v>12729</v>
      </c>
      <c r="F546" s="134">
        <v>24212</v>
      </c>
      <c r="G546" s="131">
        <v>40.01</v>
      </c>
      <c r="H546" s="150" t="str">
        <f t="shared" si="5"/>
        <v>C2GEALG-A32LB GIANT EAGLE CRT CELLO AUTO</v>
      </c>
    </row>
    <row r="547" spans="3:8" x14ac:dyDescent="0.25">
      <c r="C547" s="134" t="s">
        <v>781</v>
      </c>
      <c r="D547" s="125" t="s">
        <v>782</v>
      </c>
      <c r="E547" s="168">
        <v>12762</v>
      </c>
      <c r="F547" s="134">
        <v>24135</v>
      </c>
      <c r="G547" s="131">
        <v>73.64</v>
      </c>
      <c r="H547" s="150" t="str">
        <f t="shared" ref="H547:H800" si="6">_xlfn.CONCAT(C547,D547)</f>
        <v>3000022015lb Chef Ready Diced Avocado</v>
      </c>
    </row>
    <row r="548" spans="3:8" x14ac:dyDescent="0.25">
      <c r="C548" s="134" t="s">
        <v>783</v>
      </c>
      <c r="D548" s="125" t="s">
        <v>784</v>
      </c>
      <c r="E548" s="168">
        <v>12768</v>
      </c>
      <c r="F548" s="134">
        <v>24128</v>
      </c>
      <c r="G548" s="131">
        <v>62.79</v>
      </c>
      <c r="H548" s="150" t="str">
        <f t="shared" si="6"/>
        <v>3000023034/7oz Protein Kick Outer</v>
      </c>
    </row>
    <row r="549" spans="3:8" x14ac:dyDescent="0.25">
      <c r="C549" s="134" t="s">
        <v>785</v>
      </c>
      <c r="D549" s="125" t="s">
        <v>786</v>
      </c>
      <c r="E549" s="168">
        <v>12764</v>
      </c>
      <c r="F549" s="134">
        <v>24132</v>
      </c>
      <c r="G549" s="131">
        <v>63.66</v>
      </c>
      <c r="H549" s="150" t="str">
        <f t="shared" si="6"/>
        <v>3000015805LB SL STRAWBERRIES DOLE</v>
      </c>
    </row>
    <row r="550" spans="3:8" x14ac:dyDescent="0.25">
      <c r="C550" s="134" t="s">
        <v>171</v>
      </c>
      <c r="D550" s="125" t="s">
        <v>771</v>
      </c>
      <c r="E550" s="163">
        <v>12825</v>
      </c>
      <c r="F550" s="131">
        <v>24231</v>
      </c>
      <c r="G550" s="131" t="s">
        <v>775</v>
      </c>
      <c r="H550" s="150" t="str">
        <f t="shared" si="6"/>
        <v>CF-003-2Coke Farms Organic Cauli</v>
      </c>
    </row>
    <row r="551" spans="3:8" x14ac:dyDescent="0.25">
      <c r="C551" s="134" t="s">
        <v>787</v>
      </c>
      <c r="D551" s="125" t="s">
        <v>788</v>
      </c>
      <c r="E551" s="163">
        <v>12860</v>
      </c>
      <c r="F551" s="131">
        <v>24426</v>
      </c>
      <c r="G551" s="131">
        <v>21.74</v>
      </c>
      <c r="H551" s="150" t="str">
        <f t="shared" si="6"/>
        <v>61270-12TJ's Cauliflower</v>
      </c>
    </row>
    <row r="552" spans="3:8" x14ac:dyDescent="0.25">
      <c r="C552" s="134" t="s">
        <v>789</v>
      </c>
      <c r="D552" s="125" t="s">
        <v>471</v>
      </c>
      <c r="E552" s="163">
        <v>12873</v>
      </c>
      <c r="F552" s="131">
        <v>24434</v>
      </c>
      <c r="G552" s="131">
        <v>19.010000000000002</v>
      </c>
      <c r="H552" s="150" t="str">
        <f t="shared" si="6"/>
        <v>F2101Field Fresh Icbg Lettuce Bil</v>
      </c>
    </row>
    <row r="553" spans="3:8" x14ac:dyDescent="0.25">
      <c r="C553" s="134" t="s">
        <v>790</v>
      </c>
      <c r="D553" s="125" t="s">
        <v>791</v>
      </c>
      <c r="E553" s="163">
        <v>12882</v>
      </c>
      <c r="F553" s="131">
        <v>24393</v>
      </c>
      <c r="G553" s="131">
        <v>16</v>
      </c>
      <c r="H553" s="150" t="str">
        <f t="shared" si="6"/>
        <v>002-00-80022-0213.5" Clear Lettuce</v>
      </c>
    </row>
    <row r="554" spans="3:8" x14ac:dyDescent="0.25">
      <c r="C554" s="134" t="s">
        <v>163</v>
      </c>
      <c r="D554" s="125" t="s">
        <v>290</v>
      </c>
      <c r="E554" s="163">
        <v>12784</v>
      </c>
      <c r="F554" s="131">
        <v>24101</v>
      </c>
      <c r="G554" s="131">
        <v>40</v>
      </c>
      <c r="H554" s="150" t="str">
        <f t="shared" si="6"/>
        <v>002-40-55032-01Dole 23oz Romaine USA w/Zipper</v>
      </c>
    </row>
    <row r="555" spans="3:8" x14ac:dyDescent="0.25">
      <c r="C555" s="134" t="s">
        <v>139</v>
      </c>
      <c r="D555" s="125" t="s">
        <v>140</v>
      </c>
      <c r="E555" s="163">
        <v>12800</v>
      </c>
      <c r="F555" s="131">
        <v>24220</v>
      </c>
      <c r="G555" s="131">
        <v>40</v>
      </c>
      <c r="H555" s="150" t="str">
        <f t="shared" si="6"/>
        <v>28370944-01Josie's Rm Hrt 3ct 22oz Bil US</v>
      </c>
    </row>
    <row r="556" spans="3:8" x14ac:dyDescent="0.25">
      <c r="C556" s="134" t="s">
        <v>600</v>
      </c>
      <c r="D556" s="125" t="s">
        <v>601</v>
      </c>
      <c r="E556" s="169">
        <v>12788</v>
      </c>
      <c r="F556" s="134">
        <v>24127</v>
      </c>
      <c r="G556" s="134">
        <v>23.48</v>
      </c>
      <c r="H556" s="150" t="str">
        <f t="shared" si="6"/>
        <v>61837-11T&amp;A Org Broccoli Bunch USA</v>
      </c>
    </row>
    <row r="557" spans="3:8" x14ac:dyDescent="0.25">
      <c r="C557" s="134" t="s">
        <v>217</v>
      </c>
      <c r="D557" s="125" t="s">
        <v>372</v>
      </c>
      <c r="E557" s="169">
        <v>12789</v>
      </c>
      <c r="F557" s="134">
        <v>24100</v>
      </c>
      <c r="G557" s="134">
        <v>17.5</v>
      </c>
      <c r="H557" s="150" t="str">
        <f t="shared" si="6"/>
        <v>19800975-01Queen Vic 14 UPC PLU Lett US</v>
      </c>
    </row>
    <row r="558" spans="3:8" x14ac:dyDescent="0.25">
      <c r="C558" s="134" t="s">
        <v>789</v>
      </c>
      <c r="D558" s="125" t="s">
        <v>471</v>
      </c>
      <c r="E558" s="169">
        <v>12873</v>
      </c>
      <c r="F558" s="134">
        <v>24434</v>
      </c>
      <c r="G558" s="134">
        <v>19.010000000000002</v>
      </c>
      <c r="H558" s="150" t="str">
        <f t="shared" si="6"/>
        <v>F2101Field Fresh Icbg Lettuce Bil</v>
      </c>
    </row>
    <row r="559" spans="3:8" x14ac:dyDescent="0.25">
      <c r="C559" s="134" t="s">
        <v>703</v>
      </c>
      <c r="D559" s="125" t="s">
        <v>704</v>
      </c>
      <c r="E559" s="169">
        <v>12794</v>
      </c>
      <c r="F559" s="134">
        <v>24131</v>
      </c>
      <c r="G559" s="134">
        <v>42.54</v>
      </c>
      <c r="H559" s="150" t="str">
        <f t="shared" si="6"/>
        <v>9801900TJ 3ct Org Rom Heart Bag - USA</v>
      </c>
    </row>
    <row r="560" spans="3:8" x14ac:dyDescent="0.25">
      <c r="C560" s="134" t="s">
        <v>792</v>
      </c>
      <c r="D560" s="125" t="s">
        <v>793</v>
      </c>
      <c r="E560" s="169">
        <v>12874</v>
      </c>
      <c r="F560" s="134">
        <v>24512</v>
      </c>
      <c r="G560" s="134">
        <v>138.11000000000001</v>
      </c>
      <c r="H560" s="150" t="str">
        <f t="shared" si="6"/>
        <v>P150POLY CLEAR ZIP LOCK 8# 12X18</v>
      </c>
    </row>
    <row r="561" spans="3:8" x14ac:dyDescent="0.25">
      <c r="C561" s="134" t="s">
        <v>453</v>
      </c>
      <c r="D561" s="125" t="s">
        <v>794</v>
      </c>
      <c r="E561" s="169">
        <v>12817</v>
      </c>
      <c r="F561" s="134">
        <v>24221</v>
      </c>
      <c r="G561" s="134">
        <v>40</v>
      </c>
      <c r="H561" s="150" t="str">
        <f t="shared" si="6"/>
        <v>F2102Field Frsh Farm 3Ct Romaine</v>
      </c>
    </row>
    <row r="562" spans="3:8" x14ac:dyDescent="0.25">
      <c r="C562" s="134" t="s">
        <v>795</v>
      </c>
      <c r="D562" s="125" t="s">
        <v>796</v>
      </c>
      <c r="E562" s="169">
        <v>12920</v>
      </c>
      <c r="F562" s="134">
        <v>24514</v>
      </c>
      <c r="G562" s="134">
        <v>126.65</v>
      </c>
      <c r="H562" s="150" t="str">
        <f t="shared" si="6"/>
        <v>158609BAG, GREEN BEAN</v>
      </c>
    </row>
    <row r="563" spans="3:8" x14ac:dyDescent="0.25">
      <c r="C563" s="134" t="s">
        <v>779</v>
      </c>
      <c r="D563" s="125" t="s">
        <v>780</v>
      </c>
      <c r="E563" s="169">
        <v>12773</v>
      </c>
      <c r="F563" s="134">
        <v>24129</v>
      </c>
      <c r="G563" s="134">
        <v>19.260000000000002</v>
      </c>
      <c r="H563" s="150" t="str">
        <f t="shared" si="6"/>
        <v>S0110HEBOFLW-A25-2.25oz HEB ORG SNACK FLW WRP</v>
      </c>
    </row>
    <row r="564" spans="3:8" x14ac:dyDescent="0.25">
      <c r="C564" s="134" t="s">
        <v>616</v>
      </c>
      <c r="D564" s="125" t="s">
        <v>617</v>
      </c>
      <c r="E564" s="169">
        <v>12769</v>
      </c>
      <c r="F564" s="134">
        <v>23950</v>
      </c>
      <c r="G564" s="134">
        <v>65.34</v>
      </c>
      <c r="H564" s="150" t="str">
        <f t="shared" si="6"/>
        <v>3000008595/8OZ DOLE SLC STRAW/BAN- OUT</v>
      </c>
    </row>
    <row r="565" spans="3:8" x14ac:dyDescent="0.25">
      <c r="C565" s="134" t="s">
        <v>789</v>
      </c>
      <c r="D565" s="125" t="s">
        <v>471</v>
      </c>
      <c r="E565" s="169">
        <v>12873</v>
      </c>
      <c r="F565" s="134">
        <v>24434</v>
      </c>
      <c r="G565">
        <v>19.010000000000002</v>
      </c>
      <c r="H565" s="150" t="str">
        <f t="shared" si="6"/>
        <v>F2101Field Fresh Icbg Lettuce Bil</v>
      </c>
    </row>
    <row r="566" spans="3:8" x14ac:dyDescent="0.25">
      <c r="C566" s="134" t="s">
        <v>634</v>
      </c>
      <c r="D566" s="125" t="s">
        <v>635</v>
      </c>
      <c r="E566" s="169">
        <v>12804</v>
      </c>
      <c r="F566" s="134">
        <v>24156</v>
      </c>
      <c r="G566" s="170">
        <v>49.15</v>
      </c>
      <c r="H566" s="150" t="str">
        <f t="shared" si="6"/>
        <v>1586Cheney Bros Romaine Hrts 3Ct</v>
      </c>
    </row>
    <row r="567" spans="3:8" x14ac:dyDescent="0.25">
      <c r="C567" s="134" t="s">
        <v>453</v>
      </c>
      <c r="D567" s="125" t="s">
        <v>794</v>
      </c>
      <c r="E567" s="169">
        <v>12817</v>
      </c>
      <c r="F567" s="134">
        <v>24221</v>
      </c>
      <c r="G567" s="170">
        <v>40</v>
      </c>
      <c r="H567" s="150" t="str">
        <f t="shared" si="6"/>
        <v>F2102Field Frsh Farm 3Ct Romaine</v>
      </c>
    </row>
    <row r="568" spans="3:8" x14ac:dyDescent="0.25">
      <c r="C568" s="134" t="s">
        <v>797</v>
      </c>
      <c r="D568" s="125" t="s">
        <v>798</v>
      </c>
      <c r="E568" s="169">
        <v>12849</v>
      </c>
      <c r="F568" s="134">
        <v>24425</v>
      </c>
      <c r="G568" s="170">
        <v>40</v>
      </c>
      <c r="H568" s="150" t="str">
        <f t="shared" si="6"/>
        <v>9801890EBF Org Rom Hrt 3ct - USA</v>
      </c>
    </row>
    <row r="569" spans="3:8" ht="16.5" thickBot="1" x14ac:dyDescent="0.3">
      <c r="C569" s="134" t="s">
        <v>131</v>
      </c>
      <c r="D569" s="125" t="s">
        <v>631</v>
      </c>
      <c r="E569" s="171">
        <v>12848</v>
      </c>
      <c r="F569" s="172">
        <v>24325</v>
      </c>
      <c r="G569" s="171">
        <v>17.55</v>
      </c>
      <c r="H569" s="150" t="str">
        <f t="shared" si="6"/>
        <v>61967-12Hello Frsh 1Ct Broc Crown Clr</v>
      </c>
    </row>
    <row r="570" spans="3:8" ht="16.5" thickBot="1" x14ac:dyDescent="0.3">
      <c r="C570" s="134" t="s">
        <v>535</v>
      </c>
      <c r="D570" s="125" t="s">
        <v>536</v>
      </c>
      <c r="E570" s="171">
        <v>12884</v>
      </c>
      <c r="F570" s="172">
        <v>24437</v>
      </c>
      <c r="G570" s="171">
        <v>18.5</v>
      </c>
      <c r="H570" s="150" t="str">
        <f t="shared" si="6"/>
        <v>002-10-50130-05Dole Cauliflower-Canada</v>
      </c>
    </row>
    <row r="571" spans="3:8" ht="16.5" thickBot="1" x14ac:dyDescent="0.3">
      <c r="C571" s="134" t="s">
        <v>790</v>
      </c>
      <c r="D571" s="125" t="s">
        <v>791</v>
      </c>
      <c r="E571" s="171">
        <v>12882</v>
      </c>
      <c r="F571" s="172">
        <v>24393</v>
      </c>
      <c r="G571" s="171">
        <v>16</v>
      </c>
      <c r="H571" s="150" t="str">
        <f t="shared" si="6"/>
        <v>002-00-80022-0213.5" Clear Lettuce</v>
      </c>
    </row>
    <row r="572" spans="3:8" ht="16.5" thickBot="1" x14ac:dyDescent="0.3">
      <c r="C572" s="134">
        <v>932</v>
      </c>
      <c r="D572" s="125" t="s">
        <v>498</v>
      </c>
      <c r="E572" s="171">
        <v>12851</v>
      </c>
      <c r="F572" s="172">
        <v>24428</v>
      </c>
      <c r="G572" s="171">
        <v>40</v>
      </c>
      <c r="H572" s="150" t="str">
        <f t="shared" si="6"/>
        <v>932OM Good&amp;Gather 3ct Rom Hrts US</v>
      </c>
    </row>
    <row r="573" spans="3:8" ht="16.5" thickBot="1" x14ac:dyDescent="0.3">
      <c r="C573" s="134" t="s">
        <v>176</v>
      </c>
      <c r="D573" s="125" t="s">
        <v>269</v>
      </c>
      <c r="E573" s="171">
        <v>12891</v>
      </c>
      <c r="F573" s="172">
        <v>24468</v>
      </c>
      <c r="G573" s="171">
        <v>40</v>
      </c>
      <c r="H573" s="150" t="str">
        <f t="shared" si="6"/>
        <v>002-40-55043-00Dole 3ct Rom Hrt USA - BI</v>
      </c>
    </row>
    <row r="574" spans="3:8" ht="15.75" x14ac:dyDescent="0.25">
      <c r="C574" s="134" t="s">
        <v>600</v>
      </c>
      <c r="D574" s="125" t="s">
        <v>601</v>
      </c>
      <c r="E574" s="173">
        <v>12788</v>
      </c>
      <c r="F574" s="174">
        <v>24127</v>
      </c>
      <c r="G574" s="175">
        <v>23.48</v>
      </c>
      <c r="H574" s="150" t="str">
        <f t="shared" si="6"/>
        <v>61837-11T&amp;A Org Broccoli Bunch USA</v>
      </c>
    </row>
    <row r="575" spans="3:8" ht="15.75" x14ac:dyDescent="0.25">
      <c r="C575" s="134" t="s">
        <v>787</v>
      </c>
      <c r="D575" s="125" t="s">
        <v>788</v>
      </c>
      <c r="E575" s="173">
        <v>12860</v>
      </c>
      <c r="F575" s="174">
        <v>24426</v>
      </c>
      <c r="G575" s="175">
        <v>21.74</v>
      </c>
      <c r="H575" s="150" t="str">
        <f t="shared" si="6"/>
        <v>61270-12TJ's Cauliflower</v>
      </c>
    </row>
    <row r="576" spans="3:8" ht="15.75" x14ac:dyDescent="0.25">
      <c r="C576" s="134" t="s">
        <v>792</v>
      </c>
      <c r="D576" s="125" t="s">
        <v>793</v>
      </c>
      <c r="E576" s="173">
        <v>12874</v>
      </c>
      <c r="F576" s="174">
        <v>24512</v>
      </c>
      <c r="G576" s="175">
        <v>138.11000000000001</v>
      </c>
      <c r="H576" s="150" t="str">
        <f t="shared" si="6"/>
        <v>P150POLY CLEAR ZIP LOCK 8# 12X18</v>
      </c>
    </row>
    <row r="577" spans="3:8" ht="15.75" x14ac:dyDescent="0.25">
      <c r="C577" s="134" t="s">
        <v>543</v>
      </c>
      <c r="D577" s="125" t="s">
        <v>242</v>
      </c>
      <c r="E577" s="173">
        <v>12770</v>
      </c>
      <c r="F577" s="174">
        <v>23948</v>
      </c>
      <c r="G577" s="175">
        <v>40</v>
      </c>
      <c r="H577" s="150" t="str">
        <f t="shared" si="6"/>
        <v>1351Church Bros 3ct Rom Hrts - BI</v>
      </c>
    </row>
    <row r="578" spans="3:8" ht="15.75" x14ac:dyDescent="0.25">
      <c r="C578" s="134" t="s">
        <v>606</v>
      </c>
      <c r="D578" s="125" t="s">
        <v>624</v>
      </c>
      <c r="E578" s="173">
        <v>12823</v>
      </c>
      <c r="F578" s="174">
        <v>24288</v>
      </c>
      <c r="G578" s="175">
        <v>72.73</v>
      </c>
      <c r="H578" s="150" t="str">
        <f t="shared" si="6"/>
        <v>9801902TFR COSTCO 6Ct Rom Hrts USA</v>
      </c>
    </row>
    <row r="579" spans="3:8" ht="15.75" x14ac:dyDescent="0.25">
      <c r="C579" s="134" t="s">
        <v>797</v>
      </c>
      <c r="D579" s="125" t="s">
        <v>798</v>
      </c>
      <c r="E579" s="173">
        <v>12849</v>
      </c>
      <c r="F579" s="174">
        <v>24425</v>
      </c>
      <c r="G579" s="175">
        <v>40</v>
      </c>
      <c r="H579" s="150" t="str">
        <f t="shared" si="6"/>
        <v>9801890EBF Org Rom Hrt 3ct - USA</v>
      </c>
    </row>
    <row r="580" spans="3:8" ht="15.75" x14ac:dyDescent="0.25">
      <c r="C580" s="134" t="s">
        <v>537</v>
      </c>
      <c r="D580" s="125" t="s">
        <v>538</v>
      </c>
      <c r="E580" s="173">
        <v>12877</v>
      </c>
      <c r="F580" s="174">
        <v>24368</v>
      </c>
      <c r="G580" s="176">
        <v>16.46</v>
      </c>
      <c r="H580" s="150" t="str">
        <f t="shared" si="6"/>
        <v>002-00-53348-02Dole Canadian 13.5" Lettuce</v>
      </c>
    </row>
    <row r="581" spans="3:8" ht="15.75" x14ac:dyDescent="0.25">
      <c r="C581" s="134" t="s">
        <v>634</v>
      </c>
      <c r="D581" s="125" t="s">
        <v>635</v>
      </c>
      <c r="E581" s="173">
        <v>12804</v>
      </c>
      <c r="F581" s="174">
        <v>24156</v>
      </c>
      <c r="G581" s="176">
        <v>49.15</v>
      </c>
      <c r="H581" s="150" t="str">
        <f t="shared" si="6"/>
        <v>1586Cheney Bros Romaine Hrts 3Ct</v>
      </c>
    </row>
    <row r="582" spans="3:8" ht="15.75" x14ac:dyDescent="0.25">
      <c r="C582" s="134" t="s">
        <v>213</v>
      </c>
      <c r="D582" s="125" t="s">
        <v>582</v>
      </c>
      <c r="E582" s="173">
        <v>12875</v>
      </c>
      <c r="F582" s="174">
        <v>24432</v>
      </c>
      <c r="G582" s="176">
        <v>99.79</v>
      </c>
      <c r="H582" s="150" t="str">
        <f t="shared" si="6"/>
        <v>61953-11KROGER 2Ct Artsn Rom SUP</v>
      </c>
    </row>
    <row r="583" spans="3:8" ht="15.75" x14ac:dyDescent="0.25">
      <c r="C583" s="134" t="s">
        <v>176</v>
      </c>
      <c r="D583" s="125" t="s">
        <v>269</v>
      </c>
      <c r="E583" s="173">
        <v>12891</v>
      </c>
      <c r="F583" s="174">
        <v>24468</v>
      </c>
      <c r="G583" s="176">
        <v>40</v>
      </c>
      <c r="H583" s="150" t="str">
        <f t="shared" si="6"/>
        <v>002-40-55043-00Dole 3ct Rom Hrt USA - BI</v>
      </c>
    </row>
    <row r="584" spans="3:8" ht="15.75" x14ac:dyDescent="0.25">
      <c r="C584" s="134" t="s">
        <v>589</v>
      </c>
      <c r="D584" s="125" t="s">
        <v>590</v>
      </c>
      <c r="E584" s="173">
        <v>12799</v>
      </c>
      <c r="F584" s="174">
        <v>24877</v>
      </c>
      <c r="G584" s="176">
        <v>21.88</v>
      </c>
      <c r="H584" s="150" t="str">
        <f t="shared" si="6"/>
        <v>61769-11T&amp;A Org Cauliflower USA</v>
      </c>
    </row>
    <row r="585" spans="3:8" ht="15.75" x14ac:dyDescent="0.25">
      <c r="C585" s="131" t="s">
        <v>525</v>
      </c>
      <c r="D585" s="133" t="s">
        <v>526</v>
      </c>
      <c r="E585" s="173">
        <v>12837</v>
      </c>
      <c r="F585" s="174">
        <v>24326</v>
      </c>
      <c r="G585" s="176">
        <v>18.98</v>
      </c>
      <c r="H585" s="150" t="str">
        <f t="shared" si="6"/>
        <v>61182-20T&amp;A Cauliflower-Bilingual</v>
      </c>
    </row>
    <row r="586" spans="3:8" ht="15.75" x14ac:dyDescent="0.25">
      <c r="C586" s="131" t="s">
        <v>557</v>
      </c>
      <c r="D586" s="132" t="s">
        <v>338</v>
      </c>
      <c r="E586" s="173">
        <v>12813</v>
      </c>
      <c r="F586" s="174">
        <v>24289</v>
      </c>
      <c r="G586" s="176">
        <v>48.32</v>
      </c>
      <c r="H586" s="150" t="str">
        <f t="shared" si="6"/>
        <v>1318Markon 6ct Romaine Hearts</v>
      </c>
    </row>
    <row r="587" spans="3:8" ht="15.75" x14ac:dyDescent="0.25">
      <c r="C587" s="131" t="s">
        <v>799</v>
      </c>
      <c r="D587" s="132" t="s">
        <v>800</v>
      </c>
      <c r="E587" s="173">
        <v>12833</v>
      </c>
      <c r="F587" s="174">
        <v>24290</v>
      </c>
      <c r="G587" s="176">
        <v>72.95</v>
      </c>
      <c r="H587" s="150" t="str">
        <f t="shared" si="6"/>
        <v>CF-004Coke Farms Org 10# Bulk</v>
      </c>
    </row>
    <row r="588" spans="3:8" ht="15.75" x14ac:dyDescent="0.25">
      <c r="C588" s="134" t="s">
        <v>172</v>
      </c>
      <c r="D588" s="125" t="s">
        <v>760</v>
      </c>
      <c r="E588" s="173">
        <v>12727</v>
      </c>
      <c r="F588" s="174">
        <v>24230</v>
      </c>
      <c r="G588" s="176">
        <v>35.549999999999997</v>
      </c>
      <c r="H588" s="150" t="str">
        <f t="shared" si="6"/>
        <v>5TSSAMSPP5lb TS Sams Perfect Pair Wkt</v>
      </c>
    </row>
    <row r="589" spans="3:8" ht="15.75" x14ac:dyDescent="0.25">
      <c r="C589" s="134" t="s">
        <v>610</v>
      </c>
      <c r="D589" s="125" t="s">
        <v>611</v>
      </c>
      <c r="E589" s="173">
        <v>12899</v>
      </c>
      <c r="F589" s="174">
        <v>24599</v>
      </c>
      <c r="G589" s="176">
        <v>27.53</v>
      </c>
      <c r="H589" s="150" t="str">
        <f t="shared" si="6"/>
        <v>C2BFCNOALG-A12LB BOLTHOUSE FRESH ORG FS CAN</v>
      </c>
    </row>
    <row r="590" spans="3:8" ht="15.75" x14ac:dyDescent="0.25">
      <c r="C590" s="134" t="s">
        <v>801</v>
      </c>
      <c r="D590" s="125" t="s">
        <v>802</v>
      </c>
      <c r="E590" s="173">
        <v>12854</v>
      </c>
      <c r="F590" s="174">
        <v>24532</v>
      </c>
      <c r="G590" s="176">
        <v>18.32</v>
      </c>
      <c r="H590" s="150" t="str">
        <f t="shared" si="6"/>
        <v>61933-11TJ's Org 2ct Celery Hrt</v>
      </c>
    </row>
    <row r="591" spans="3:8" ht="15.75" x14ac:dyDescent="0.25">
      <c r="C591" s="134" t="s">
        <v>525</v>
      </c>
      <c r="D591" s="125" t="s">
        <v>526</v>
      </c>
      <c r="E591" s="173">
        <v>12837</v>
      </c>
      <c r="F591" s="174">
        <v>24326</v>
      </c>
      <c r="G591" s="176">
        <v>18.98</v>
      </c>
      <c r="H591" s="150" t="str">
        <f t="shared" si="6"/>
        <v>61182-20T&amp;A Cauliflower-Bilingual</v>
      </c>
    </row>
    <row r="592" spans="3:8" ht="15.75" x14ac:dyDescent="0.25">
      <c r="C592" s="134" t="s">
        <v>569</v>
      </c>
      <c r="D592" s="125" t="s">
        <v>741</v>
      </c>
      <c r="E592" s="173">
        <v>12868</v>
      </c>
      <c r="F592" s="174">
        <v>24431</v>
      </c>
      <c r="G592" s="176">
        <v>23.98</v>
      </c>
      <c r="H592" s="150" t="str">
        <f t="shared" si="6"/>
        <v>9801908Marketside Org Broccoli</v>
      </c>
    </row>
    <row r="593" spans="3:8" ht="15.75" x14ac:dyDescent="0.25">
      <c r="C593" s="134" t="s">
        <v>438</v>
      </c>
      <c r="D593" s="125" t="s">
        <v>498</v>
      </c>
      <c r="E593" s="173">
        <v>12851</v>
      </c>
      <c r="F593" s="174">
        <v>24428</v>
      </c>
      <c r="G593" s="176">
        <v>40</v>
      </c>
      <c r="H593" s="150" t="str">
        <f t="shared" si="6"/>
        <v>0932OM Good&amp;Gather 3ct Rom Hrts US</v>
      </c>
    </row>
    <row r="594" spans="3:8" ht="15.75" x14ac:dyDescent="0.25">
      <c r="C594" s="131" t="s">
        <v>176</v>
      </c>
      <c r="D594" s="132" t="s">
        <v>269</v>
      </c>
      <c r="E594" s="173">
        <v>12891</v>
      </c>
      <c r="F594" s="174">
        <v>24468</v>
      </c>
      <c r="G594" s="176">
        <v>40</v>
      </c>
      <c r="H594" s="150" t="str">
        <f t="shared" si="6"/>
        <v>002-40-55043-00Dole 3ct Rom Hrt USA - BI</v>
      </c>
    </row>
    <row r="595" spans="3:8" x14ac:dyDescent="0.25">
      <c r="C595" s="131" t="s">
        <v>742</v>
      </c>
      <c r="D595" s="132" t="s">
        <v>743</v>
      </c>
      <c r="E595" s="146">
        <v>12842</v>
      </c>
      <c r="F595" s="131">
        <v>24291</v>
      </c>
      <c r="G595" s="131">
        <v>33.42</v>
      </c>
      <c r="H595" s="150" t="str">
        <f t="shared" si="6"/>
        <v>9801905TFR 2ct Iceberg Lett USA GREEN</v>
      </c>
    </row>
    <row r="596" spans="3:8" x14ac:dyDescent="0.25">
      <c r="C596" s="131" t="s">
        <v>537</v>
      </c>
      <c r="D596" s="133" t="s">
        <v>538</v>
      </c>
      <c r="E596" s="163">
        <v>12877</v>
      </c>
      <c r="F596" s="131">
        <v>24368</v>
      </c>
      <c r="G596" s="131">
        <v>16.46</v>
      </c>
      <c r="H596" s="150" t="str">
        <f t="shared" si="6"/>
        <v>002-00-53348-02Dole Canadian 13.5" Lettuce</v>
      </c>
    </row>
    <row r="597" spans="3:8" x14ac:dyDescent="0.25">
      <c r="C597" s="131" t="s">
        <v>535</v>
      </c>
      <c r="D597" s="133" t="s">
        <v>536</v>
      </c>
      <c r="E597" s="163">
        <v>12884</v>
      </c>
      <c r="F597" s="131">
        <v>24437</v>
      </c>
      <c r="G597" s="131">
        <v>18.5</v>
      </c>
      <c r="H597" s="150" t="str">
        <f t="shared" si="6"/>
        <v>002-10-50130-05Dole Cauliflower-Canada</v>
      </c>
    </row>
    <row r="598" spans="3:8" x14ac:dyDescent="0.25">
      <c r="C598" s="131" t="s">
        <v>606</v>
      </c>
      <c r="D598" s="132" t="s">
        <v>624</v>
      </c>
      <c r="E598" s="163">
        <v>12823</v>
      </c>
      <c r="F598" s="131">
        <v>24288</v>
      </c>
      <c r="G598" s="131">
        <v>72.73</v>
      </c>
      <c r="H598" s="150" t="str">
        <f t="shared" si="6"/>
        <v>9801902TFR COSTCO 6Ct Rom Hrts USA</v>
      </c>
    </row>
    <row r="599" spans="3:8" x14ac:dyDescent="0.25">
      <c r="C599" s="131" t="s">
        <v>213</v>
      </c>
      <c r="D599" s="132" t="s">
        <v>582</v>
      </c>
      <c r="E599" s="163">
        <v>12875</v>
      </c>
      <c r="F599" s="131">
        <v>24432</v>
      </c>
      <c r="G599" s="131">
        <v>99.79</v>
      </c>
      <c r="H599" s="150" t="str">
        <f t="shared" si="6"/>
        <v>61953-11KROGER 2Ct Artsn Rom SUP</v>
      </c>
    </row>
    <row r="600" spans="3:8" x14ac:dyDescent="0.25">
      <c r="C600" s="131" t="s">
        <v>453</v>
      </c>
      <c r="D600" s="132" t="s">
        <v>794</v>
      </c>
      <c r="E600" s="163">
        <v>12817</v>
      </c>
      <c r="F600" s="131">
        <v>24221</v>
      </c>
      <c r="G600" s="131">
        <v>40</v>
      </c>
      <c r="H600" s="150" t="str">
        <f t="shared" si="6"/>
        <v>F2102Field Frsh Farm 3Ct Romaine</v>
      </c>
    </row>
    <row r="601" spans="3:8" x14ac:dyDescent="0.25">
      <c r="C601" s="177" t="s">
        <v>742</v>
      </c>
      <c r="D601" s="178" t="s">
        <v>743</v>
      </c>
      <c r="E601" s="146">
        <v>12842</v>
      </c>
      <c r="F601" s="131">
        <v>24291</v>
      </c>
      <c r="G601" s="131">
        <v>33.42</v>
      </c>
      <c r="H601" s="150" t="str">
        <f t="shared" si="6"/>
        <v>9801905TFR 2ct Iceberg Lett USA GREEN</v>
      </c>
    </row>
    <row r="602" spans="3:8" x14ac:dyDescent="0.25">
      <c r="C602" s="131" t="s">
        <v>803</v>
      </c>
      <c r="D602" s="133" t="s">
        <v>804</v>
      </c>
      <c r="E602" s="163">
        <v>12846</v>
      </c>
      <c r="F602" s="131">
        <v>24479</v>
      </c>
      <c r="G602" s="131">
        <v>20.059999999999999</v>
      </c>
      <c r="H602" s="150" t="str">
        <f t="shared" si="6"/>
        <v>002-20-10031-00DOLE 1LB BROCCOLI WRAP</v>
      </c>
    </row>
    <row r="603" spans="3:8" x14ac:dyDescent="0.25">
      <c r="C603" s="131" t="s">
        <v>537</v>
      </c>
      <c r="D603" s="133" t="s">
        <v>538</v>
      </c>
      <c r="E603" s="163">
        <v>12877</v>
      </c>
      <c r="F603" s="131">
        <v>24368</v>
      </c>
      <c r="G603" s="131">
        <v>16.46</v>
      </c>
      <c r="H603" s="150" t="str">
        <f t="shared" si="6"/>
        <v>002-00-53348-02Dole Canadian 13.5" Lettuce</v>
      </c>
    </row>
    <row r="604" spans="3:8" x14ac:dyDescent="0.25">
      <c r="C604" s="131" t="s">
        <v>543</v>
      </c>
      <c r="D604" s="132" t="s">
        <v>242</v>
      </c>
      <c r="E604" s="163">
        <v>12770</v>
      </c>
      <c r="F604" s="131">
        <v>23948</v>
      </c>
      <c r="G604" s="131">
        <v>40</v>
      </c>
      <c r="H604" s="150" t="str">
        <f t="shared" si="6"/>
        <v>1351Church Bros 3ct Rom Hrts - BI</v>
      </c>
    </row>
    <row r="605" spans="3:8" x14ac:dyDescent="0.25">
      <c r="C605" s="131" t="s">
        <v>213</v>
      </c>
      <c r="D605" s="132" t="s">
        <v>582</v>
      </c>
      <c r="E605" s="163">
        <v>12875</v>
      </c>
      <c r="F605" s="131">
        <v>24432</v>
      </c>
      <c r="G605" s="131">
        <v>99.79</v>
      </c>
      <c r="H605" s="150" t="str">
        <f t="shared" si="6"/>
        <v>61953-11KROGER 2Ct Artsn Rom SUP</v>
      </c>
    </row>
    <row r="606" spans="3:8" x14ac:dyDescent="0.25">
      <c r="C606" s="131" t="s">
        <v>512</v>
      </c>
      <c r="D606" s="132" t="s">
        <v>300</v>
      </c>
      <c r="E606" s="146">
        <v>12850</v>
      </c>
      <c r="F606" s="30">
        <v>24427</v>
      </c>
      <c r="G606" s="131">
        <v>22.5</v>
      </c>
      <c r="H606" s="150" t="str">
        <f t="shared" si="6"/>
        <v>0930NOM 3ct Rom Hrt BI - NO ZIP</v>
      </c>
    </row>
    <row r="607" spans="3:8" x14ac:dyDescent="0.25">
      <c r="C607" s="131" t="s">
        <v>610</v>
      </c>
      <c r="D607" s="133" t="s">
        <v>611</v>
      </c>
      <c r="E607" s="163">
        <v>12899</v>
      </c>
      <c r="F607" s="131">
        <v>24599</v>
      </c>
      <c r="G607" s="30">
        <v>27.53</v>
      </c>
      <c r="H607" s="150" t="str">
        <f t="shared" si="6"/>
        <v>C2BFCNOALG-A12LB BOLTHOUSE FRESH ORG FS CAN</v>
      </c>
    </row>
    <row r="608" spans="3:8" x14ac:dyDescent="0.25">
      <c r="C608" s="177" t="s">
        <v>569</v>
      </c>
      <c r="D608" s="179" t="s">
        <v>741</v>
      </c>
      <c r="E608" s="163">
        <v>12868</v>
      </c>
      <c r="F608" s="131" t="s">
        <v>805</v>
      </c>
      <c r="G608" s="131" t="s">
        <v>757</v>
      </c>
      <c r="H608" s="150" t="str">
        <f t="shared" si="6"/>
        <v>9801908Marketside Org Broccoli</v>
      </c>
    </row>
    <row r="609" spans="3:8" x14ac:dyDescent="0.25">
      <c r="C609" s="177" t="s">
        <v>797</v>
      </c>
      <c r="D609" s="178" t="s">
        <v>798</v>
      </c>
      <c r="E609" s="163">
        <v>12849</v>
      </c>
      <c r="F609" s="131">
        <v>24425</v>
      </c>
      <c r="G609" s="30">
        <v>40</v>
      </c>
      <c r="H609" s="150" t="str">
        <f t="shared" si="6"/>
        <v>9801890EBF Org Rom Hrt 3ct - USA</v>
      </c>
    </row>
    <row r="610" spans="3:8" x14ac:dyDescent="0.25">
      <c r="C610" s="180" t="s">
        <v>512</v>
      </c>
      <c r="D610" s="181" t="s">
        <v>300</v>
      </c>
      <c r="E610" s="169">
        <v>12850</v>
      </c>
      <c r="F610" s="134">
        <v>24427</v>
      </c>
      <c r="G610" s="1">
        <v>22.5</v>
      </c>
      <c r="H610" s="150" t="str">
        <f t="shared" si="6"/>
        <v>0930NOM 3ct Rom Hrt BI - NO ZIP</v>
      </c>
    </row>
    <row r="611" spans="3:8" x14ac:dyDescent="0.25">
      <c r="C611" s="180" t="s">
        <v>742</v>
      </c>
      <c r="D611" s="181" t="s">
        <v>743</v>
      </c>
      <c r="E611" s="169">
        <v>12842</v>
      </c>
      <c r="F611" s="134">
        <v>24291</v>
      </c>
      <c r="G611" s="1">
        <v>33.42</v>
      </c>
      <c r="H611" s="150" t="str">
        <f t="shared" si="6"/>
        <v>9801905TFR 2ct Iceberg Lett USA GREEN</v>
      </c>
    </row>
    <row r="612" spans="3:8" x14ac:dyDescent="0.25">
      <c r="C612" s="180" t="s">
        <v>139</v>
      </c>
      <c r="D612" s="181" t="s">
        <v>140</v>
      </c>
      <c r="E612" s="169">
        <v>12911</v>
      </c>
      <c r="F612" s="134">
        <v>24601</v>
      </c>
      <c r="G612" s="1">
        <v>40</v>
      </c>
      <c r="H612" s="150" t="str">
        <f t="shared" si="6"/>
        <v>28370944-01Josie's Rm Hrt 3ct 22oz Bil US</v>
      </c>
    </row>
    <row r="613" spans="3:8" x14ac:dyDescent="0.25">
      <c r="C613" s="131" t="s">
        <v>745</v>
      </c>
      <c r="D613" s="132" t="s">
        <v>746</v>
      </c>
      <c r="E613" s="163">
        <v>12926</v>
      </c>
      <c r="F613" s="30">
        <v>24640</v>
      </c>
      <c r="G613" s="131">
        <v>65.05</v>
      </c>
      <c r="H613" s="150" t="str">
        <f t="shared" si="6"/>
        <v>002-00-55115-04Dole Clean &amp; Trim Icebrg Lett</v>
      </c>
    </row>
    <row r="614" spans="3:8" x14ac:dyDescent="0.25">
      <c r="C614" s="131" t="s">
        <v>742</v>
      </c>
      <c r="D614" s="132" t="s">
        <v>743</v>
      </c>
      <c r="E614" s="163">
        <v>12842</v>
      </c>
      <c r="F614" s="131">
        <v>24291</v>
      </c>
      <c r="G614" s="30">
        <v>33.42</v>
      </c>
      <c r="H614" s="150" t="str">
        <f t="shared" si="6"/>
        <v>9801905TFR 2ct Iceberg Lett USA GREEN</v>
      </c>
    </row>
    <row r="615" spans="3:8" x14ac:dyDescent="0.25">
      <c r="C615" s="131" t="s">
        <v>803</v>
      </c>
      <c r="D615" s="133" t="s">
        <v>804</v>
      </c>
      <c r="E615" s="163">
        <v>12846</v>
      </c>
      <c r="F615" s="131">
        <v>24479</v>
      </c>
      <c r="G615" s="131">
        <v>20.059999999999999</v>
      </c>
      <c r="H615" s="150" t="str">
        <f t="shared" si="6"/>
        <v>002-20-10031-00DOLE 1LB BROCCOLI WRAP</v>
      </c>
    </row>
    <row r="616" spans="3:8" x14ac:dyDescent="0.25">
      <c r="C616" s="131" t="s">
        <v>806</v>
      </c>
      <c r="D616" s="133" t="s">
        <v>807</v>
      </c>
      <c r="E616" s="146">
        <v>12869</v>
      </c>
      <c r="F616" s="30">
        <v>24430</v>
      </c>
      <c r="G616" s="131">
        <v>24.92</v>
      </c>
      <c r="H616" s="150" t="str">
        <f t="shared" si="6"/>
        <v>CF-001Coke Farms Celery</v>
      </c>
    </row>
    <row r="617" spans="3:8" x14ac:dyDescent="0.25">
      <c r="C617" s="131" t="s">
        <v>537</v>
      </c>
      <c r="D617" s="133" t="s">
        <v>538</v>
      </c>
      <c r="E617" s="146">
        <v>12877</v>
      </c>
      <c r="F617" s="131">
        <v>24368</v>
      </c>
      <c r="G617" s="30">
        <v>16.46</v>
      </c>
      <c r="H617" s="150" t="str">
        <f t="shared" si="6"/>
        <v>002-00-53348-02Dole Canadian 13.5" Lettuce</v>
      </c>
    </row>
    <row r="618" spans="3:8" x14ac:dyDescent="0.25">
      <c r="C618" s="131" t="s">
        <v>632</v>
      </c>
      <c r="D618" s="133" t="s">
        <v>633</v>
      </c>
      <c r="E618" s="163">
        <v>12922</v>
      </c>
      <c r="F618" s="131">
        <v>24791</v>
      </c>
      <c r="G618" s="131">
        <v>19.440000000000001</v>
      </c>
      <c r="H618" s="150" t="str">
        <f t="shared" si="6"/>
        <v>9801864EBF Org Cauliflower Bag USA</v>
      </c>
    </row>
    <row r="619" spans="3:8" x14ac:dyDescent="0.25">
      <c r="C619" s="131" t="s">
        <v>139</v>
      </c>
      <c r="D619" s="132" t="s">
        <v>140</v>
      </c>
      <c r="E619" s="163">
        <v>12911</v>
      </c>
      <c r="F619" s="131">
        <v>24601</v>
      </c>
      <c r="G619" s="30">
        <v>40</v>
      </c>
      <c r="H619" s="150" t="str">
        <f t="shared" si="6"/>
        <v>28370944-01Josie's Rm Hrt 3ct 22oz Bil US</v>
      </c>
    </row>
    <row r="620" spans="3:8" x14ac:dyDescent="0.25">
      <c r="C620" s="131" t="s">
        <v>163</v>
      </c>
      <c r="D620" s="132" t="s">
        <v>290</v>
      </c>
      <c r="E620" s="163">
        <v>12927</v>
      </c>
      <c r="F620" s="131">
        <v>24787</v>
      </c>
      <c r="G620" s="131">
        <v>40</v>
      </c>
      <c r="H620" s="150" t="str">
        <f t="shared" si="6"/>
        <v>002-40-55032-01Dole 23oz Romaine USA w/Zipper</v>
      </c>
    </row>
    <row r="621" spans="3:8" x14ac:dyDescent="0.25">
      <c r="C621" s="131" t="s">
        <v>808</v>
      </c>
      <c r="D621" s="132" t="s">
        <v>809</v>
      </c>
      <c r="E621" s="169">
        <v>12973</v>
      </c>
      <c r="F621" s="134">
        <v>24926</v>
      </c>
      <c r="G621" s="134">
        <v>46.84</v>
      </c>
      <c r="H621" s="150" t="str">
        <f t="shared" si="6"/>
        <v>002-40-55037-03Signature Frm 18oz Rom Hrt USA</v>
      </c>
    </row>
    <row r="622" spans="3:8" x14ac:dyDescent="0.25">
      <c r="C622" s="131" t="s">
        <v>810</v>
      </c>
      <c r="D622" s="132" t="s">
        <v>811</v>
      </c>
      <c r="E622" s="169">
        <v>12943</v>
      </c>
      <c r="F622" s="134">
        <v>24738</v>
      </c>
      <c r="G622" s="134">
        <v>48.5</v>
      </c>
      <c r="H622" s="150" t="str">
        <f t="shared" si="6"/>
        <v>62033-11Meijer 3ct Artisan Romaine-Zip</v>
      </c>
    </row>
    <row r="623" spans="3:8" x14ac:dyDescent="0.25">
      <c r="C623" s="131" t="s">
        <v>519</v>
      </c>
      <c r="D623" s="132" t="s">
        <v>812</v>
      </c>
      <c r="E623" s="169">
        <v>12953</v>
      </c>
      <c r="F623" s="134">
        <v>24936</v>
      </c>
      <c r="G623" s="134">
        <v>58.05</v>
      </c>
      <c r="H623" s="150" t="str">
        <f t="shared" si="6"/>
        <v>OZUNA-001Ozuna Ext. Sup Tortilla bag</v>
      </c>
    </row>
    <row r="624" spans="3:8" x14ac:dyDescent="0.25">
      <c r="C624" s="131" t="s">
        <v>484</v>
      </c>
      <c r="D624" s="132" t="s">
        <v>500</v>
      </c>
      <c r="E624" s="169">
        <v>12907</v>
      </c>
      <c r="F624" s="134">
        <v>24786</v>
      </c>
      <c r="G624" s="134">
        <v>18.7</v>
      </c>
      <c r="H624" s="150" t="str">
        <f t="shared" si="6"/>
        <v>121807BAG, 12OZ, TARGET, MW ORG PERF</v>
      </c>
    </row>
    <row r="625" spans="3:8" x14ac:dyDescent="0.25">
      <c r="C625" s="131" t="s">
        <v>761</v>
      </c>
      <c r="D625" s="132" t="s">
        <v>328</v>
      </c>
      <c r="E625" s="169">
        <v>12763</v>
      </c>
      <c r="F625" s="134">
        <v>24048</v>
      </c>
      <c r="G625" s="134">
        <v>64.87</v>
      </c>
      <c r="H625" s="150" t="str">
        <f t="shared" si="6"/>
        <v>3000015855LB DOLE CR SL BANANAS</v>
      </c>
    </row>
    <row r="626" spans="3:8" x14ac:dyDescent="0.25">
      <c r="C626" s="134" t="s">
        <v>512</v>
      </c>
      <c r="D626" s="125" t="s">
        <v>300</v>
      </c>
      <c r="E626" s="169">
        <v>12850</v>
      </c>
      <c r="F626" s="134">
        <v>24427</v>
      </c>
      <c r="G626" s="134">
        <v>22.5</v>
      </c>
      <c r="H626" s="150" t="str">
        <f t="shared" si="6"/>
        <v>0930NOM 3ct Rom Hrt BI - NO ZIP</v>
      </c>
    </row>
    <row r="627" spans="3:8" x14ac:dyDescent="0.25">
      <c r="C627" s="134" t="s">
        <v>742</v>
      </c>
      <c r="D627" s="125" t="s">
        <v>743</v>
      </c>
      <c r="E627" s="169">
        <v>12842</v>
      </c>
      <c r="F627" s="134">
        <v>24291</v>
      </c>
      <c r="G627" s="134">
        <v>33.42</v>
      </c>
      <c r="H627" s="150" t="str">
        <f t="shared" si="6"/>
        <v>9801905TFR 2ct Iceberg Lett USA GREEN</v>
      </c>
    </row>
    <row r="628" spans="3:8" x14ac:dyDescent="0.25">
      <c r="C628" s="134" t="s">
        <v>813</v>
      </c>
      <c r="D628" s="125" t="s">
        <v>814</v>
      </c>
      <c r="E628" s="169">
        <v>12949</v>
      </c>
      <c r="F628" s="134">
        <v>25043</v>
      </c>
      <c r="G628" s="134">
        <v>26.99</v>
      </c>
      <c r="H628" s="150" t="str">
        <f t="shared" si="6"/>
        <v>B-86FRBosko Bilingual Green Onion</v>
      </c>
    </row>
    <row r="629" spans="3:8" x14ac:dyDescent="0.25">
      <c r="C629" s="134" t="s">
        <v>801</v>
      </c>
      <c r="D629" s="125" t="s">
        <v>802</v>
      </c>
      <c r="E629" s="169">
        <v>12854</v>
      </c>
      <c r="F629" s="134">
        <v>24532</v>
      </c>
      <c r="G629" s="134">
        <v>18.32</v>
      </c>
      <c r="H629" s="150" t="str">
        <f t="shared" si="6"/>
        <v>61933-11TJ's Org 2ct Celery Hrt</v>
      </c>
    </row>
    <row r="630" spans="3:8" x14ac:dyDescent="0.25">
      <c r="C630" s="134" t="s">
        <v>690</v>
      </c>
      <c r="D630" s="125" t="s">
        <v>770</v>
      </c>
      <c r="E630" s="169">
        <v>12832</v>
      </c>
      <c r="F630" s="134">
        <v>24429</v>
      </c>
      <c r="G630" s="134">
        <v>23.26</v>
      </c>
      <c r="H630" s="150" t="str">
        <f t="shared" si="6"/>
        <v>9801921Simple Truth Cauliflower USA</v>
      </c>
    </row>
    <row r="631" spans="3:8" x14ac:dyDescent="0.25">
      <c r="C631" s="134" t="s">
        <v>651</v>
      </c>
      <c r="D631" s="125" t="s">
        <v>815</v>
      </c>
      <c r="E631" s="169">
        <v>12977</v>
      </c>
      <c r="F631" s="134">
        <v>24945</v>
      </c>
      <c r="G631" s="134">
        <v>20.079999999999998</v>
      </c>
      <c r="H631" s="150" t="str">
        <f t="shared" si="6"/>
        <v>5019Trader Joe's 1 ct Green Cabbage</v>
      </c>
    </row>
    <row r="632" spans="3:8" x14ac:dyDescent="0.25">
      <c r="C632" s="134" t="s">
        <v>554</v>
      </c>
      <c r="D632" s="125" t="s">
        <v>524</v>
      </c>
      <c r="E632" s="169">
        <v>12957</v>
      </c>
      <c r="F632" s="134">
        <v>24958</v>
      </c>
      <c r="G632" s="134">
        <v>17.05</v>
      </c>
      <c r="H632" s="150" t="str">
        <f t="shared" si="6"/>
        <v>496013" UPC/PLU CLR IcebergLett OM</v>
      </c>
    </row>
    <row r="633" spans="3:8" x14ac:dyDescent="0.25">
      <c r="C633" s="134" t="s">
        <v>632</v>
      </c>
      <c r="D633" s="125" t="s">
        <v>633</v>
      </c>
      <c r="E633" s="169">
        <v>12922</v>
      </c>
      <c r="F633" s="134">
        <v>24791</v>
      </c>
      <c r="G633" s="134">
        <v>19.440000000000001</v>
      </c>
      <c r="H633" s="150" t="str">
        <f t="shared" si="6"/>
        <v>9801864EBF Org Cauliflower Bag USA</v>
      </c>
    </row>
    <row r="634" spans="3:8" x14ac:dyDescent="0.25">
      <c r="C634" s="134" t="s">
        <v>139</v>
      </c>
      <c r="D634" s="125" t="s">
        <v>140</v>
      </c>
      <c r="E634" s="169">
        <v>12911</v>
      </c>
      <c r="F634" s="134">
        <v>24601</v>
      </c>
      <c r="G634" s="134">
        <v>40</v>
      </c>
      <c r="H634" s="150" t="str">
        <f t="shared" si="6"/>
        <v>28370944-01Josie's Rm Hrt 3ct 22oz Bil US</v>
      </c>
    </row>
    <row r="635" spans="3:8" x14ac:dyDescent="0.25">
      <c r="C635" s="134" t="s">
        <v>181</v>
      </c>
      <c r="D635" s="125" t="s">
        <v>283</v>
      </c>
      <c r="E635" s="169">
        <v>12929</v>
      </c>
      <c r="F635" s="134">
        <v>24792</v>
      </c>
      <c r="G635" s="134">
        <v>46.64</v>
      </c>
      <c r="H635" s="150" t="str">
        <f t="shared" si="6"/>
        <v>002-40-56065-02Wild Hrvst 3ct O Rom Hrt US</v>
      </c>
    </row>
    <row r="636" spans="3:8" x14ac:dyDescent="0.25">
      <c r="C636" s="134" t="s">
        <v>816</v>
      </c>
      <c r="D636" s="125" t="s">
        <v>817</v>
      </c>
      <c r="E636" s="169">
        <v>12892</v>
      </c>
      <c r="F636" s="134">
        <v>24805</v>
      </c>
      <c r="G636" s="134">
        <v>10.61</v>
      </c>
      <c r="H636" s="150" t="str">
        <f t="shared" si="6"/>
        <v>3000022717oz Banana,MangoBerry inner</v>
      </c>
    </row>
    <row r="637" spans="3:8" x14ac:dyDescent="0.25">
      <c r="C637" s="134" t="s">
        <v>818</v>
      </c>
      <c r="D637" s="125" t="s">
        <v>819</v>
      </c>
      <c r="E637" s="169">
        <v>12999</v>
      </c>
      <c r="F637" s="134">
        <v>25041</v>
      </c>
      <c r="G637" s="134">
        <v>30.8</v>
      </c>
      <c r="H637" s="150" t="str">
        <f t="shared" si="6"/>
        <v>61494-16NZTA 3ct Jmbo Rom Long USA No Zp</v>
      </c>
    </row>
    <row r="638" spans="3:8" x14ac:dyDescent="0.25">
      <c r="C638" s="134" t="s">
        <v>808</v>
      </c>
      <c r="D638" s="125" t="s">
        <v>809</v>
      </c>
      <c r="E638" s="169">
        <v>12973</v>
      </c>
      <c r="F638" s="134">
        <v>24926</v>
      </c>
      <c r="G638" s="134">
        <v>46.84</v>
      </c>
      <c r="H638" s="150" t="str">
        <f t="shared" si="6"/>
        <v>002-40-55037-03Signature Frm 18oz Rom Hrt USA</v>
      </c>
    </row>
    <row r="639" spans="3:8" x14ac:dyDescent="0.25">
      <c r="C639" s="134" t="s">
        <v>426</v>
      </c>
      <c r="D639" s="125" t="s">
        <v>403</v>
      </c>
      <c r="E639" s="169">
        <v>12971</v>
      </c>
      <c r="F639" s="134">
        <v>24957</v>
      </c>
      <c r="G639" s="134">
        <v>99.77</v>
      </c>
      <c r="H639" s="150" t="str">
        <f t="shared" si="6"/>
        <v>61955-11GIANT EAGLE 2Ct Atsn Rom SUP</v>
      </c>
    </row>
    <row r="640" spans="3:8" x14ac:dyDescent="0.25">
      <c r="C640" s="134" t="s">
        <v>595</v>
      </c>
      <c r="D640" s="125" t="s">
        <v>132</v>
      </c>
      <c r="E640" s="169">
        <v>12997</v>
      </c>
      <c r="F640" s="134">
        <v>24956</v>
      </c>
      <c r="G640" s="134">
        <v>38.35</v>
      </c>
      <c r="H640" s="150" t="str">
        <f t="shared" si="6"/>
        <v>1580Church Bros 5ct Petite Romaine</v>
      </c>
    </row>
    <row r="641" spans="3:8" x14ac:dyDescent="0.25">
      <c r="C641" s="134" t="s">
        <v>519</v>
      </c>
      <c r="D641" s="125" t="s">
        <v>812</v>
      </c>
      <c r="E641" s="169">
        <v>12953</v>
      </c>
      <c r="F641" s="134">
        <v>24936</v>
      </c>
      <c r="G641" s="134">
        <v>58.05</v>
      </c>
      <c r="H641" s="150" t="str">
        <f t="shared" si="6"/>
        <v>OZUNA-001Ozuna Ext. Sup Tortilla bag</v>
      </c>
    </row>
    <row r="642" spans="3:8" x14ac:dyDescent="0.25">
      <c r="C642" s="134" t="s">
        <v>644</v>
      </c>
      <c r="D642" s="125" t="s">
        <v>294</v>
      </c>
      <c r="E642" s="169">
        <v>12923</v>
      </c>
      <c r="F642" s="134">
        <v>24789</v>
      </c>
      <c r="G642" s="134">
        <v>21.76</v>
      </c>
      <c r="H642" s="150" t="str">
        <f t="shared" si="6"/>
        <v>9801865EBF Org Broccoli Bg USA</v>
      </c>
    </row>
    <row r="643" spans="3:8" x14ac:dyDescent="0.25">
      <c r="C643" s="134" t="s">
        <v>810</v>
      </c>
      <c r="D643" s="125" t="s">
        <v>811</v>
      </c>
      <c r="E643" s="169">
        <v>12943</v>
      </c>
      <c r="F643" s="134">
        <v>24738</v>
      </c>
      <c r="G643" s="134">
        <v>48.5</v>
      </c>
      <c r="H643" s="150" t="str">
        <f t="shared" si="6"/>
        <v>62033-11Meijer 3ct Artisan Romaine-Zip</v>
      </c>
    </row>
    <row r="644" spans="3:8" x14ac:dyDescent="0.25">
      <c r="C644" s="134" t="s">
        <v>163</v>
      </c>
      <c r="D644" s="125" t="s">
        <v>290</v>
      </c>
      <c r="E644" s="169">
        <v>12927</v>
      </c>
      <c r="F644" s="134">
        <v>24787</v>
      </c>
      <c r="G644" s="134">
        <v>40</v>
      </c>
      <c r="H644" s="150" t="str">
        <f t="shared" si="6"/>
        <v>002-40-55032-01Dole 23oz Romaine USA w/Zipper</v>
      </c>
    </row>
    <row r="645" spans="3:8" x14ac:dyDescent="0.25">
      <c r="C645" s="134" t="s">
        <v>517</v>
      </c>
      <c r="D645" s="125" t="s">
        <v>371</v>
      </c>
      <c r="E645" s="169">
        <v>12985</v>
      </c>
      <c r="F645" s="134">
        <v>24947</v>
      </c>
      <c r="G645" s="134">
        <v>40</v>
      </c>
      <c r="H645" s="150" t="str">
        <f t="shared" si="6"/>
        <v>61653-15T&amp;A 3ct Artisan Romaine-Zipper</v>
      </c>
    </row>
    <row r="646" spans="3:8" x14ac:dyDescent="0.25">
      <c r="C646" s="134" t="s">
        <v>484</v>
      </c>
      <c r="D646" s="125" t="s">
        <v>500</v>
      </c>
      <c r="E646" s="169">
        <v>12907</v>
      </c>
      <c r="F646" s="134">
        <v>24786</v>
      </c>
      <c r="G646" s="134">
        <v>18.7</v>
      </c>
      <c r="H646" s="150" t="str">
        <f t="shared" si="6"/>
        <v>121807BAG, 12OZ, TARGET, MW ORG PERF</v>
      </c>
    </row>
    <row r="647" spans="3:8" x14ac:dyDescent="0.25">
      <c r="C647" s="134" t="s">
        <v>820</v>
      </c>
      <c r="D647" s="125" t="s">
        <v>821</v>
      </c>
      <c r="E647" s="169">
        <v>12719</v>
      </c>
      <c r="F647" s="134">
        <v>24336</v>
      </c>
      <c r="G647" s="134">
        <v>11.06</v>
      </c>
      <c r="H647" s="150" t="str">
        <f t="shared" si="6"/>
        <v>S1BFX-A11LB BOLTHOUSE FRESH BBY CRTS RS</v>
      </c>
    </row>
    <row r="648" spans="3:8" x14ac:dyDescent="0.25">
      <c r="C648" s="131" t="s">
        <v>211</v>
      </c>
      <c r="D648" s="132" t="s">
        <v>360</v>
      </c>
      <c r="E648" s="169">
        <v>12880</v>
      </c>
      <c r="F648" s="134">
        <v>24469</v>
      </c>
      <c r="G648" s="134">
        <v>50.66</v>
      </c>
      <c r="H648" s="150" t="str">
        <f t="shared" si="6"/>
        <v>002-40-55010-06Dole 6ct Romaine Hrts 40oz USA</v>
      </c>
    </row>
    <row r="649" spans="3:8" x14ac:dyDescent="0.25">
      <c r="C649" s="131" t="s">
        <v>740</v>
      </c>
      <c r="D649" s="132" t="s">
        <v>579</v>
      </c>
      <c r="E649" s="169">
        <v>13023</v>
      </c>
      <c r="F649" s="134">
        <v>25092</v>
      </c>
      <c r="G649" s="134">
        <v>28.98</v>
      </c>
      <c r="H649" s="150" t="str">
        <f t="shared" si="6"/>
        <v>1320Markon 3ct Romaine Hearts</v>
      </c>
    </row>
    <row r="650" spans="3:8" x14ac:dyDescent="0.25">
      <c r="C650" s="186" t="s">
        <v>801</v>
      </c>
      <c r="D650" s="187" t="s">
        <v>802</v>
      </c>
      <c r="E650" s="169">
        <v>12854</v>
      </c>
      <c r="F650" s="134">
        <v>24532</v>
      </c>
      <c r="G650" s="134">
        <v>18.32</v>
      </c>
      <c r="H650" s="150" t="str">
        <f t="shared" si="6"/>
        <v>61933-11TJ's Org 2ct Celery Hrt</v>
      </c>
    </row>
    <row r="651" spans="3:8" x14ac:dyDescent="0.25">
      <c r="C651" s="186" t="s">
        <v>537</v>
      </c>
      <c r="D651" s="187" t="s">
        <v>538</v>
      </c>
      <c r="E651" s="169">
        <v>12877</v>
      </c>
      <c r="F651" s="134">
        <v>24368</v>
      </c>
      <c r="G651" s="134">
        <v>16.46</v>
      </c>
      <c r="H651" s="150" t="str">
        <f t="shared" si="6"/>
        <v>002-00-53348-02Dole Canadian 13.5" Lettuce</v>
      </c>
    </row>
    <row r="652" spans="3:8" x14ac:dyDescent="0.25">
      <c r="C652" s="186" t="s">
        <v>595</v>
      </c>
      <c r="D652" s="187" t="s">
        <v>132</v>
      </c>
      <c r="E652" s="169">
        <v>12997</v>
      </c>
      <c r="F652" s="134">
        <v>24956</v>
      </c>
      <c r="G652" s="134">
        <v>38.35</v>
      </c>
      <c r="H652" s="150" t="str">
        <f t="shared" si="6"/>
        <v>1580Church Bros 5ct Petite Romaine</v>
      </c>
    </row>
    <row r="653" spans="3:8" x14ac:dyDescent="0.25">
      <c r="C653" s="186" t="s">
        <v>554</v>
      </c>
      <c r="D653" s="187" t="s">
        <v>524</v>
      </c>
      <c r="E653" s="169">
        <v>12957</v>
      </c>
      <c r="F653" s="134">
        <v>24958</v>
      </c>
      <c r="G653" s="134">
        <v>17.05</v>
      </c>
      <c r="H653" s="150" t="str">
        <f t="shared" si="6"/>
        <v>496013" UPC/PLU CLR IcebergLett OM</v>
      </c>
    </row>
    <row r="654" spans="3:8" x14ac:dyDescent="0.25">
      <c r="C654" s="186" t="s">
        <v>139</v>
      </c>
      <c r="D654" s="132" t="s">
        <v>140</v>
      </c>
      <c r="E654" s="169">
        <v>12911</v>
      </c>
      <c r="F654" s="134">
        <v>24601</v>
      </c>
      <c r="G654" s="134">
        <v>40</v>
      </c>
      <c r="H654" s="150" t="str">
        <f t="shared" si="6"/>
        <v>28370944-01Josie's Rm Hrt 3ct 22oz Bil US</v>
      </c>
    </row>
    <row r="655" spans="3:8" x14ac:dyDescent="0.25">
      <c r="C655" s="186" t="s">
        <v>163</v>
      </c>
      <c r="D655" s="132" t="s">
        <v>290</v>
      </c>
      <c r="E655" s="169">
        <v>12927</v>
      </c>
      <c r="F655" s="134">
        <v>24787</v>
      </c>
      <c r="G655" s="134">
        <v>40</v>
      </c>
      <c r="H655" s="150" t="str">
        <f t="shared" si="6"/>
        <v>002-40-55032-01Dole 23oz Romaine USA w/Zipper</v>
      </c>
    </row>
    <row r="656" spans="3:8" x14ac:dyDescent="0.25">
      <c r="C656" s="186" t="s">
        <v>517</v>
      </c>
      <c r="D656" s="132" t="s">
        <v>371</v>
      </c>
      <c r="E656" s="169">
        <v>12985</v>
      </c>
      <c r="F656" s="134">
        <v>24947</v>
      </c>
      <c r="G656" s="134">
        <v>40</v>
      </c>
      <c r="H656" s="150" t="str">
        <f t="shared" si="6"/>
        <v>61653-15T&amp;A 3ct Artisan Romaine-Zipper</v>
      </c>
    </row>
    <row r="657" spans="3:8" x14ac:dyDescent="0.25">
      <c r="C657" s="131" t="s">
        <v>606</v>
      </c>
      <c r="D657" s="132" t="s">
        <v>624</v>
      </c>
      <c r="E657" s="163">
        <v>12963</v>
      </c>
      <c r="F657" s="30">
        <v>24942</v>
      </c>
      <c r="G657" s="131" t="s">
        <v>823</v>
      </c>
      <c r="H657" s="150" t="str">
        <f t="shared" si="6"/>
        <v>9801902TFR COSTCO 6Ct Rom Hrts USA</v>
      </c>
    </row>
    <row r="658" spans="3:8" x14ac:dyDescent="0.25">
      <c r="C658" s="131" t="s">
        <v>726</v>
      </c>
      <c r="D658" s="132" t="s">
        <v>77</v>
      </c>
      <c r="E658" s="163">
        <v>13003</v>
      </c>
      <c r="F658" s="131" t="s">
        <v>822</v>
      </c>
      <c r="G658" s="30">
        <v>38.5</v>
      </c>
      <c r="H658" s="150" t="str">
        <f t="shared" si="6"/>
        <v>5022Church Bros 2ct Lett-Sams Club</v>
      </c>
    </row>
    <row r="659" spans="3:8" x14ac:dyDescent="0.25">
      <c r="C659" s="131" t="s">
        <v>211</v>
      </c>
      <c r="D659" s="132" t="s">
        <v>360</v>
      </c>
      <c r="E659" s="169">
        <v>12880</v>
      </c>
      <c r="F659" s="134">
        <v>24469</v>
      </c>
      <c r="G659" s="131">
        <v>50.66</v>
      </c>
      <c r="H659" s="150" t="str">
        <f t="shared" si="6"/>
        <v>002-40-55010-06Dole 6ct Romaine Hrts 40oz USA</v>
      </c>
    </row>
    <row r="660" spans="3:8" x14ac:dyDescent="0.25">
      <c r="C660" s="131" t="s">
        <v>824</v>
      </c>
      <c r="D660" s="132" t="s">
        <v>825</v>
      </c>
      <c r="E660" s="169">
        <v>12961</v>
      </c>
      <c r="F660" s="134">
        <v>24938</v>
      </c>
      <c r="G660" s="30">
        <v>44.3</v>
      </c>
      <c r="H660" s="150" t="str">
        <f t="shared" si="6"/>
        <v>9801857EBF Org Rom Hrt 6Ct USA</v>
      </c>
    </row>
    <row r="661" spans="3:8" x14ac:dyDescent="0.25">
      <c r="C661" s="131" t="s">
        <v>537</v>
      </c>
      <c r="D661" s="133" t="s">
        <v>538</v>
      </c>
      <c r="E661" s="169">
        <v>12877</v>
      </c>
      <c r="F661" s="134">
        <v>24368</v>
      </c>
      <c r="G661" s="131">
        <v>16.46</v>
      </c>
      <c r="H661" s="150" t="str">
        <f t="shared" si="6"/>
        <v>002-00-53348-02Dole Canadian 13.5" Lettuce</v>
      </c>
    </row>
    <row r="662" spans="3:8" x14ac:dyDescent="0.25">
      <c r="C662" s="131" t="s">
        <v>595</v>
      </c>
      <c r="D662" s="133" t="s">
        <v>132</v>
      </c>
      <c r="E662" s="169">
        <v>12997</v>
      </c>
      <c r="F662" s="134">
        <v>24956</v>
      </c>
      <c r="G662" s="131">
        <v>38.35</v>
      </c>
      <c r="H662" s="150" t="str">
        <f t="shared" si="6"/>
        <v>1580Church Bros 5ct Petite Romaine</v>
      </c>
    </row>
    <row r="663" spans="3:8" x14ac:dyDescent="0.25">
      <c r="C663" s="131" t="s">
        <v>632</v>
      </c>
      <c r="D663" s="133" t="s">
        <v>633</v>
      </c>
      <c r="E663" s="169">
        <v>12922</v>
      </c>
      <c r="F663" s="134">
        <v>24791</v>
      </c>
      <c r="G663" s="131">
        <v>19.440000000000001</v>
      </c>
      <c r="H663" s="150" t="str">
        <f t="shared" si="6"/>
        <v>9801864EBF Org Cauliflower Bag USA</v>
      </c>
    </row>
    <row r="664" spans="3:8" x14ac:dyDescent="0.25">
      <c r="C664" s="131" t="s">
        <v>436</v>
      </c>
      <c r="D664" s="133" t="s">
        <v>420</v>
      </c>
      <c r="E664" s="169">
        <v>12906</v>
      </c>
      <c r="F664" s="134">
        <v>24602</v>
      </c>
      <c r="G664" s="30">
        <v>48.28</v>
      </c>
      <c r="H664" s="150" t="str">
        <f t="shared" si="6"/>
        <v>94822-15LB WEGMANS ORG WKT</v>
      </c>
    </row>
    <row r="665" spans="3:8" x14ac:dyDescent="0.25">
      <c r="C665" s="131" t="s">
        <v>810</v>
      </c>
      <c r="D665" s="132" t="s">
        <v>811</v>
      </c>
      <c r="E665" s="169">
        <v>12943</v>
      </c>
      <c r="F665" s="134">
        <v>24738</v>
      </c>
      <c r="G665" s="131">
        <v>48.5</v>
      </c>
      <c r="H665" s="150" t="str">
        <f t="shared" si="6"/>
        <v>62033-11Meijer 3ct Artisan Romaine-Zip</v>
      </c>
    </row>
    <row r="666" spans="3:8" x14ac:dyDescent="0.25">
      <c r="C666" s="131" t="s">
        <v>517</v>
      </c>
      <c r="D666" s="132" t="s">
        <v>371</v>
      </c>
      <c r="E666" s="169">
        <v>12985</v>
      </c>
      <c r="F666" s="134">
        <v>24947</v>
      </c>
      <c r="G666" s="131">
        <v>40</v>
      </c>
      <c r="H666" s="150" t="str">
        <f t="shared" si="6"/>
        <v>61653-15T&amp;A 3ct Artisan Romaine-Zipper</v>
      </c>
    </row>
    <row r="667" spans="3:8" x14ac:dyDescent="0.25">
      <c r="C667" s="131" t="s">
        <v>797</v>
      </c>
      <c r="D667" s="132" t="s">
        <v>798</v>
      </c>
      <c r="E667" s="169">
        <v>13070</v>
      </c>
      <c r="F667" s="134">
        <v>25267</v>
      </c>
      <c r="G667" s="131">
        <v>40</v>
      </c>
      <c r="H667" s="150" t="str">
        <f t="shared" si="6"/>
        <v>9801890EBF Org Rom Hrt 3ct - USA</v>
      </c>
    </row>
    <row r="668" spans="3:8" x14ac:dyDescent="0.25">
      <c r="C668" s="131" t="s">
        <v>175</v>
      </c>
      <c r="D668" s="132" t="s">
        <v>588</v>
      </c>
      <c r="E668" s="169">
        <v>13055</v>
      </c>
      <c r="F668" s="134">
        <v>25190</v>
      </c>
      <c r="G668" s="131">
        <v>40</v>
      </c>
      <c r="H668" s="150" t="str">
        <f t="shared" si="6"/>
        <v>506694CWestern Family 3ct Romaine</v>
      </c>
    </row>
    <row r="669" spans="3:8" x14ac:dyDescent="0.25">
      <c r="C669" s="131" t="s">
        <v>507</v>
      </c>
      <c r="D669" s="132" t="s">
        <v>508</v>
      </c>
      <c r="E669" s="169">
        <v>12861</v>
      </c>
      <c r="F669" s="134">
        <v>24436</v>
      </c>
      <c r="G669" s="131">
        <v>63.66</v>
      </c>
      <c r="H669" s="150" t="str">
        <f t="shared" si="6"/>
        <v>3000008395LB BLUEBERRIES DOLE</v>
      </c>
    </row>
    <row r="670" spans="3:8" x14ac:dyDescent="0.25">
      <c r="C670" s="131" t="s">
        <v>486</v>
      </c>
      <c r="D670" s="132" t="s">
        <v>826</v>
      </c>
      <c r="E670" s="169">
        <v>12862</v>
      </c>
      <c r="F670" s="134">
        <v>24435</v>
      </c>
      <c r="G670" s="131">
        <v>62.44</v>
      </c>
      <c r="H670" s="150" t="str">
        <f t="shared" si="6"/>
        <v>3000015815LB CR DICED STRAWBERRIES DOLE</v>
      </c>
    </row>
    <row r="671" spans="3:8" x14ac:dyDescent="0.25">
      <c r="C671" s="131" t="s">
        <v>801</v>
      </c>
      <c r="D671" s="133" t="s">
        <v>802</v>
      </c>
      <c r="E671" s="163">
        <v>12854</v>
      </c>
      <c r="F671" s="131">
        <v>24532</v>
      </c>
      <c r="G671" s="30">
        <v>18.32</v>
      </c>
      <c r="H671" s="150" t="str">
        <f t="shared" si="6"/>
        <v>61933-11TJ's Org 2ct Celery Hrt</v>
      </c>
    </row>
    <row r="672" spans="3:8" x14ac:dyDescent="0.25">
      <c r="C672" s="131" t="s">
        <v>604</v>
      </c>
      <c r="D672" s="133" t="s">
        <v>605</v>
      </c>
      <c r="E672" s="146">
        <v>13042</v>
      </c>
      <c r="F672" s="131" t="s">
        <v>827</v>
      </c>
      <c r="G672" s="30">
        <v>24.55</v>
      </c>
      <c r="H672" s="150" t="str">
        <f t="shared" si="6"/>
        <v>506967AMann Broccoli w/Vents-Anti-fog</v>
      </c>
    </row>
    <row r="673" spans="3:8" x14ac:dyDescent="0.25">
      <c r="C673" s="131" t="s">
        <v>828</v>
      </c>
      <c r="D673" s="133" t="s">
        <v>819</v>
      </c>
      <c r="E673" s="146">
        <v>13072</v>
      </c>
      <c r="F673" s="131">
        <v>25266</v>
      </c>
      <c r="G673" s="30">
        <v>27.65</v>
      </c>
      <c r="H673" s="150" t="str">
        <f t="shared" si="6"/>
        <v>62036-11TA 3ct Jmbo Rom Long USA No Zp</v>
      </c>
    </row>
    <row r="674" spans="3:8" x14ac:dyDescent="0.25">
      <c r="C674" s="131" t="s">
        <v>644</v>
      </c>
      <c r="D674" s="133" t="s">
        <v>294</v>
      </c>
      <c r="E674" s="146">
        <v>12923</v>
      </c>
      <c r="F674" s="131">
        <v>24789</v>
      </c>
      <c r="G674" s="131">
        <v>21.76</v>
      </c>
      <c r="H674" s="150" t="str">
        <f t="shared" si="6"/>
        <v>9801865EBF Org Broccoli Bg USA</v>
      </c>
    </row>
    <row r="675" spans="3:8" x14ac:dyDescent="0.25">
      <c r="C675" s="131" t="s">
        <v>829</v>
      </c>
      <c r="D675" s="133" t="s">
        <v>830</v>
      </c>
      <c r="E675" s="146">
        <v>13015</v>
      </c>
      <c r="F675" s="131">
        <v>25034</v>
      </c>
      <c r="G675" s="131">
        <v>35.549999999999997</v>
      </c>
      <c r="H675" s="150" t="str">
        <f t="shared" si="6"/>
        <v>5CCSBPW35lb Costco Creamrs Sunbrst Wkt</v>
      </c>
    </row>
    <row r="676" spans="3:8" x14ac:dyDescent="0.25">
      <c r="C676" s="131" t="s">
        <v>813</v>
      </c>
      <c r="D676" s="132" t="s">
        <v>814</v>
      </c>
      <c r="E676" s="146">
        <v>12949</v>
      </c>
      <c r="F676" s="30">
        <v>25043</v>
      </c>
      <c r="G676" s="131">
        <v>26.99</v>
      </c>
      <c r="H676" s="150" t="str">
        <f t="shared" si="6"/>
        <v>B-86FRBosko Bilingual Green Onion</v>
      </c>
    </row>
    <row r="677" spans="3:8" x14ac:dyDescent="0.25">
      <c r="C677" s="131" t="s">
        <v>459</v>
      </c>
      <c r="D677" s="132" t="s">
        <v>504</v>
      </c>
      <c r="E677" s="146">
        <v>12956</v>
      </c>
      <c r="F677" s="30">
        <v>24951</v>
      </c>
      <c r="G677" s="131">
        <v>17.149999999999999</v>
      </c>
      <c r="H677" s="150" t="str">
        <f t="shared" si="6"/>
        <v>4962NOceanmist 13" Lettuce Bag</v>
      </c>
    </row>
    <row r="678" spans="3:8" x14ac:dyDescent="0.25">
      <c r="C678" s="131" t="s">
        <v>724</v>
      </c>
      <c r="D678" s="132" t="s">
        <v>145</v>
      </c>
      <c r="E678" s="147">
        <v>13024</v>
      </c>
      <c r="F678" s="1">
        <v>25093</v>
      </c>
      <c r="G678" s="131">
        <v>19.322700000000001</v>
      </c>
      <c r="H678" s="150" t="str">
        <f t="shared" si="6"/>
        <v>1579CB 2ct Baby Romaine</v>
      </c>
    </row>
    <row r="679" spans="3:8" x14ac:dyDescent="0.25">
      <c r="C679" s="131" t="s">
        <v>690</v>
      </c>
      <c r="D679" s="133" t="s">
        <v>770</v>
      </c>
      <c r="E679" s="147">
        <v>12832</v>
      </c>
      <c r="F679" s="1">
        <v>24429</v>
      </c>
      <c r="G679" s="131">
        <v>23.26</v>
      </c>
      <c r="H679" s="150" t="str">
        <f t="shared" si="6"/>
        <v>9801921Simple Truth Cauliflower USA</v>
      </c>
    </row>
    <row r="680" spans="3:8" x14ac:dyDescent="0.25">
      <c r="C680" s="131" t="s">
        <v>566</v>
      </c>
      <c r="D680" s="133" t="s">
        <v>235</v>
      </c>
      <c r="E680" s="147">
        <v>13019</v>
      </c>
      <c r="F680" s="1">
        <v>25088</v>
      </c>
      <c r="G680" s="131">
        <v>19.239999999999998</v>
      </c>
      <c r="H680" s="150" t="str">
        <f t="shared" si="6"/>
        <v>1314Church Bros Cauliflower</v>
      </c>
    </row>
    <row r="681" spans="3:8" x14ac:dyDescent="0.25">
      <c r="C681" s="131" t="s">
        <v>828</v>
      </c>
      <c r="D681" s="133" t="s">
        <v>819</v>
      </c>
      <c r="E681" s="147">
        <v>13072</v>
      </c>
      <c r="F681" s="1">
        <v>25266</v>
      </c>
      <c r="G681" s="30">
        <v>27.65</v>
      </c>
      <c r="H681" s="150" t="str">
        <f t="shared" si="6"/>
        <v>62036-11TA 3ct Jmbo Rom Long USA No Zp</v>
      </c>
    </row>
    <row r="682" spans="3:8" x14ac:dyDescent="0.25">
      <c r="C682" s="131" t="s">
        <v>604</v>
      </c>
      <c r="D682" s="133" t="s">
        <v>605</v>
      </c>
      <c r="E682" s="147">
        <v>13042</v>
      </c>
      <c r="F682" s="1">
        <v>25097</v>
      </c>
      <c r="G682" s="30">
        <v>24.55</v>
      </c>
      <c r="H682" s="150" t="str">
        <f t="shared" si="6"/>
        <v>506967AMann Broccoli w/Vents-Anti-fog</v>
      </c>
    </row>
    <row r="683" spans="3:8" x14ac:dyDescent="0.25">
      <c r="C683" s="131" t="s">
        <v>135</v>
      </c>
      <c r="D683" s="132" t="s">
        <v>831</v>
      </c>
      <c r="E683" s="147">
        <v>13017</v>
      </c>
      <c r="F683" s="1">
        <v>25085</v>
      </c>
      <c r="G683" s="30">
        <v>75.25</v>
      </c>
      <c r="H683" s="150" t="str">
        <f t="shared" si="6"/>
        <v>61977-12KROGER Artisan Baby Iceberg</v>
      </c>
    </row>
    <row r="684" spans="3:8" x14ac:dyDescent="0.25">
      <c r="C684" s="131" t="s">
        <v>175</v>
      </c>
      <c r="D684" s="132" t="s">
        <v>588</v>
      </c>
      <c r="E684" s="147">
        <v>13055</v>
      </c>
      <c r="F684" s="1">
        <v>25190</v>
      </c>
      <c r="G684" s="30">
        <v>40</v>
      </c>
      <c r="H684" s="150" t="str">
        <f t="shared" si="6"/>
        <v>506694CWestern Family 3ct Romaine</v>
      </c>
    </row>
    <row r="685" spans="3:8" x14ac:dyDescent="0.25">
      <c r="C685" s="131" t="s">
        <v>792</v>
      </c>
      <c r="D685" s="132" t="s">
        <v>793</v>
      </c>
      <c r="E685" s="147">
        <v>13117</v>
      </c>
      <c r="F685" s="1">
        <v>25263</v>
      </c>
      <c r="G685" s="30">
        <v>138.11000000000001</v>
      </c>
      <c r="H685" s="150" t="str">
        <f t="shared" si="6"/>
        <v>P150POLY CLEAR ZIP LOCK 8# 12X18</v>
      </c>
    </row>
    <row r="686" spans="3:8" x14ac:dyDescent="0.25">
      <c r="C686" s="131" t="s">
        <v>824</v>
      </c>
      <c r="D686" s="132" t="s">
        <v>825</v>
      </c>
      <c r="E686" s="146">
        <v>12961</v>
      </c>
      <c r="F686" s="1">
        <v>24938</v>
      </c>
      <c r="G686" s="131">
        <v>44.3</v>
      </c>
      <c r="H686" s="150" t="str">
        <f t="shared" si="6"/>
        <v>9801857EBF Org Rom Hrt 6Ct USA</v>
      </c>
    </row>
    <row r="687" spans="3:8" x14ac:dyDescent="0.25">
      <c r="C687" s="131" t="s">
        <v>797</v>
      </c>
      <c r="D687" s="132" t="s">
        <v>798</v>
      </c>
      <c r="E687" s="146">
        <v>13070</v>
      </c>
      <c r="F687" s="131">
        <v>25267</v>
      </c>
      <c r="G687" s="131">
        <v>40</v>
      </c>
      <c r="H687" s="150" t="str">
        <f t="shared" si="6"/>
        <v>9801890EBF Org Rom Hrt 3ct - USA</v>
      </c>
    </row>
    <row r="688" spans="3:8" x14ac:dyDescent="0.25">
      <c r="C688" s="131" t="s">
        <v>618</v>
      </c>
      <c r="D688" s="132" t="s">
        <v>619</v>
      </c>
      <c r="E688" s="163">
        <v>13011</v>
      </c>
      <c r="F688" s="131">
        <v>25153</v>
      </c>
      <c r="G688" s="30">
        <v>48.26</v>
      </c>
      <c r="H688" s="150" t="str">
        <f t="shared" si="6"/>
        <v>9801906TFR 6ct Romaine USA PURPLE</v>
      </c>
    </row>
    <row r="689" spans="3:8" x14ac:dyDescent="0.25">
      <c r="C689" s="131" t="s">
        <v>618</v>
      </c>
      <c r="D689" s="132" t="s">
        <v>619</v>
      </c>
      <c r="E689" s="163">
        <v>13011</v>
      </c>
      <c r="F689" s="30">
        <v>25153</v>
      </c>
      <c r="G689" s="30">
        <v>48.26</v>
      </c>
      <c r="H689" s="150" t="str">
        <f t="shared" si="6"/>
        <v>9801906TFR 6ct Romaine USA PURPLE</v>
      </c>
    </row>
    <row r="690" spans="3:8" x14ac:dyDescent="0.25">
      <c r="C690" s="131" t="s">
        <v>824</v>
      </c>
      <c r="D690" s="132" t="s">
        <v>825</v>
      </c>
      <c r="E690" s="146">
        <v>12961</v>
      </c>
      <c r="F690" s="30">
        <v>24938</v>
      </c>
      <c r="G690" s="30">
        <v>44.3</v>
      </c>
      <c r="H690" s="150" t="str">
        <f t="shared" si="6"/>
        <v>9801857EBF Org Rom Hrt 6Ct USA</v>
      </c>
    </row>
    <row r="691" spans="3:8" x14ac:dyDescent="0.25">
      <c r="C691" s="131" t="s">
        <v>797</v>
      </c>
      <c r="D691" s="132" t="s">
        <v>798</v>
      </c>
      <c r="E691" s="146">
        <v>13070</v>
      </c>
      <c r="F691" s="131">
        <v>25267</v>
      </c>
      <c r="G691" s="131">
        <v>40</v>
      </c>
      <c r="H691" s="150" t="str">
        <f t="shared" si="6"/>
        <v>9801890EBF Org Rom Hrt 3ct - USA</v>
      </c>
    </row>
    <row r="692" spans="3:8" x14ac:dyDescent="0.25">
      <c r="C692" s="131" t="s">
        <v>566</v>
      </c>
      <c r="D692" s="133" t="s">
        <v>235</v>
      </c>
      <c r="E692" s="146">
        <v>13019</v>
      </c>
      <c r="F692" s="30">
        <v>25088</v>
      </c>
      <c r="G692" s="30">
        <v>19.239999999999998</v>
      </c>
      <c r="H692" s="150" t="str">
        <f t="shared" si="6"/>
        <v>1314Church Bros Cauliflower</v>
      </c>
    </row>
    <row r="693" spans="3:8" x14ac:dyDescent="0.25">
      <c r="C693" s="131" t="s">
        <v>787</v>
      </c>
      <c r="D693" s="133" t="s">
        <v>788</v>
      </c>
      <c r="E693" s="163">
        <v>13016</v>
      </c>
      <c r="F693" s="30">
        <v>25094</v>
      </c>
      <c r="G693" s="30">
        <v>27.74</v>
      </c>
      <c r="H693" s="150" t="str">
        <f t="shared" si="6"/>
        <v>61270-12TJ's Cauliflower</v>
      </c>
    </row>
    <row r="694" spans="3:8" x14ac:dyDescent="0.25">
      <c r="C694" s="131" t="s">
        <v>159</v>
      </c>
      <c r="D694" s="133" t="s">
        <v>246</v>
      </c>
      <c r="E694" s="30">
        <v>12952</v>
      </c>
      <c r="F694" s="30">
        <v>24935</v>
      </c>
      <c r="G694" s="30">
        <v>19.25</v>
      </c>
      <c r="H694" s="150" t="str">
        <f t="shared" si="6"/>
        <v>002-00-53350-00Lidl 13.5: Iceberg Lettuce</v>
      </c>
    </row>
    <row r="695" spans="3:8" x14ac:dyDescent="0.25">
      <c r="C695" s="131" t="s">
        <v>178</v>
      </c>
      <c r="D695" s="132" t="s">
        <v>273</v>
      </c>
      <c r="E695" s="188">
        <v>13064</v>
      </c>
      <c r="F695" s="30">
        <v>25333</v>
      </c>
      <c r="G695" s="30">
        <v>166.06</v>
      </c>
      <c r="H695" s="150" t="str">
        <f t="shared" si="6"/>
        <v>35020900-00TUTTI FRUTTI PARSNIP 20LB</v>
      </c>
    </row>
    <row r="696" spans="3:8" x14ac:dyDescent="0.25">
      <c r="C696" s="131" t="s">
        <v>493</v>
      </c>
      <c r="D696" s="132" t="s">
        <v>501</v>
      </c>
      <c r="E696" s="188">
        <v>13000</v>
      </c>
      <c r="F696" s="30">
        <v>24948</v>
      </c>
      <c r="G696" s="30">
        <v>18.7</v>
      </c>
      <c r="H696" s="150" t="str">
        <f t="shared" si="6"/>
        <v>121799BAG 12OZ TARGET MW PERF'D</v>
      </c>
    </row>
    <row r="697" spans="3:8" x14ac:dyDescent="0.25">
      <c r="C697" s="131" t="s">
        <v>459</v>
      </c>
      <c r="D697" s="132" t="s">
        <v>504</v>
      </c>
      <c r="E697" s="146">
        <v>12956</v>
      </c>
      <c r="F697" s="30">
        <v>24951</v>
      </c>
      <c r="G697" s="30">
        <v>17.149999999999999</v>
      </c>
      <c r="H697" s="150" t="str">
        <f t="shared" si="6"/>
        <v>4962NOceanmist 13" Lettuce Bag</v>
      </c>
    </row>
    <row r="698" spans="3:8" x14ac:dyDescent="0.25">
      <c r="C698" s="131" t="s">
        <v>832</v>
      </c>
      <c r="D698" s="133" t="s">
        <v>833</v>
      </c>
      <c r="E698" s="189">
        <v>13018</v>
      </c>
      <c r="F698" s="30">
        <v>25365</v>
      </c>
      <c r="G698" s="30">
        <v>39.200000000000003</v>
      </c>
      <c r="H698" s="150" t="str">
        <f t="shared" si="6"/>
        <v>9801993TFR COSTCO 5ct Petite Romaine</v>
      </c>
    </row>
    <row r="699" spans="3:8" x14ac:dyDescent="0.25">
      <c r="C699" s="131" t="s">
        <v>618</v>
      </c>
      <c r="D699" s="132" t="s">
        <v>619</v>
      </c>
      <c r="E699" s="163">
        <v>13011</v>
      </c>
      <c r="F699" s="1">
        <v>25153</v>
      </c>
      <c r="G699" s="30">
        <v>48.26</v>
      </c>
      <c r="H699" s="150" t="str">
        <f t="shared" si="6"/>
        <v>9801906TFR 6ct Romaine USA PURPLE</v>
      </c>
    </row>
    <row r="700" spans="3:8" x14ac:dyDescent="0.25">
      <c r="C700" s="131" t="s">
        <v>813</v>
      </c>
      <c r="D700" s="133" t="s">
        <v>814</v>
      </c>
      <c r="E700" s="163">
        <v>12949</v>
      </c>
      <c r="F700" s="30">
        <v>25043</v>
      </c>
      <c r="G700" s="30">
        <v>26.99</v>
      </c>
      <c r="H700" s="150" t="str">
        <f t="shared" si="6"/>
        <v>B-86FRBosko Bilingual Green Onion</v>
      </c>
    </row>
    <row r="701" spans="3:8" x14ac:dyDescent="0.25">
      <c r="C701" s="131" t="s">
        <v>535</v>
      </c>
      <c r="D701" s="132" t="s">
        <v>536</v>
      </c>
      <c r="E701" s="163">
        <v>13067</v>
      </c>
      <c r="F701" s="30">
        <v>25272</v>
      </c>
      <c r="G701" s="30">
        <v>18.5</v>
      </c>
      <c r="H701" s="150" t="str">
        <f t="shared" si="6"/>
        <v>002-10-50130-05Dole Cauliflower-Canada</v>
      </c>
    </row>
    <row r="702" spans="3:8" x14ac:dyDescent="0.25">
      <c r="C702" s="131" t="s">
        <v>610</v>
      </c>
      <c r="D702" s="132" t="s">
        <v>611</v>
      </c>
      <c r="E702" s="163">
        <v>13049</v>
      </c>
      <c r="F702" s="30">
        <v>25185</v>
      </c>
      <c r="G702" s="30">
        <v>27.53</v>
      </c>
      <c r="H702" s="150" t="str">
        <f t="shared" si="6"/>
        <v>C2BFCNOALG-A12LB BOLTHOUSE FRESH ORG FS CAN</v>
      </c>
    </row>
    <row r="703" spans="3:8" x14ac:dyDescent="0.25">
      <c r="C703" s="131" t="s">
        <v>834</v>
      </c>
      <c r="D703" s="132" t="s">
        <v>835</v>
      </c>
      <c r="E703" s="146">
        <v>12944</v>
      </c>
      <c r="F703" s="30">
        <v>25072</v>
      </c>
      <c r="G703" s="30">
        <v>31.72</v>
      </c>
      <c r="H703" s="150" t="str">
        <f t="shared" si="6"/>
        <v>C3MEALGMI-A13LB MEIJR WHOLE CRT MI LONG</v>
      </c>
    </row>
    <row r="704" spans="3:8" x14ac:dyDescent="0.25">
      <c r="C704" s="131" t="s">
        <v>486</v>
      </c>
      <c r="D704" s="132" t="s">
        <v>826</v>
      </c>
      <c r="E704" s="146">
        <v>12862</v>
      </c>
      <c r="F704" s="131">
        <v>24435</v>
      </c>
      <c r="G704" s="30">
        <v>62.44</v>
      </c>
      <c r="H704" s="150" t="str">
        <f t="shared" si="6"/>
        <v>3000015815LB CR DICED STRAWBERRIES DOLE</v>
      </c>
    </row>
    <row r="705" spans="3:8" x14ac:dyDescent="0.25">
      <c r="C705" s="186" t="s">
        <v>537</v>
      </c>
      <c r="D705" s="187" t="s">
        <v>538</v>
      </c>
      <c r="E705" s="146">
        <v>12877</v>
      </c>
      <c r="F705" s="30">
        <v>24368</v>
      </c>
      <c r="G705" s="30">
        <v>16.46</v>
      </c>
      <c r="H705" s="150" t="str">
        <f t="shared" si="6"/>
        <v>002-00-53348-02Dole Canadian 13.5" Lettuce</v>
      </c>
    </row>
    <row r="706" spans="3:8" x14ac:dyDescent="0.25">
      <c r="C706" s="131" t="s">
        <v>211</v>
      </c>
      <c r="D706" s="132" t="s">
        <v>360</v>
      </c>
      <c r="E706" s="163">
        <v>12880</v>
      </c>
      <c r="F706" s="30">
        <v>24469</v>
      </c>
      <c r="G706" s="30">
        <v>50.66</v>
      </c>
      <c r="H706" s="150" t="str">
        <f t="shared" si="6"/>
        <v>002-40-55010-06Dole 6ct Romaine Hrts 40oz USA</v>
      </c>
    </row>
    <row r="707" spans="3:8" x14ac:dyDescent="0.25">
      <c r="C707" s="131" t="s">
        <v>836</v>
      </c>
      <c r="D707" s="132" t="s">
        <v>837</v>
      </c>
      <c r="E707" s="146">
        <v>12893</v>
      </c>
      <c r="F707" s="30">
        <v>24804</v>
      </c>
      <c r="G707" s="30">
        <v>11.54</v>
      </c>
      <c r="H707" s="150" t="str">
        <f t="shared" si="6"/>
        <v>3000007288OZ DOLE SLICED STRWBRY/BANANA</v>
      </c>
    </row>
    <row r="708" spans="3:8" x14ac:dyDescent="0.25">
      <c r="C708" s="131" t="s">
        <v>159</v>
      </c>
      <c r="D708" s="133" t="s">
        <v>246</v>
      </c>
      <c r="E708" s="146">
        <v>12952</v>
      </c>
      <c r="F708" s="30">
        <v>24935</v>
      </c>
      <c r="G708" s="30">
        <v>19.25</v>
      </c>
      <c r="H708" s="150" t="str">
        <f t="shared" si="6"/>
        <v>002-00-53350-00Lidl 13.5: Iceberg Lettuce</v>
      </c>
    </row>
    <row r="709" spans="3:8" x14ac:dyDescent="0.25">
      <c r="C709" s="131" t="s">
        <v>468</v>
      </c>
      <c r="D709" s="133" t="s">
        <v>469</v>
      </c>
      <c r="E709" s="146">
        <v>13043</v>
      </c>
      <c r="F709" s="30">
        <v>25189</v>
      </c>
      <c r="G709" s="30">
        <v>31.54</v>
      </c>
      <c r="H709" s="150" t="str">
        <f t="shared" si="6"/>
        <v>F2103Field Frsh Farm Cauli Wrap</v>
      </c>
    </row>
    <row r="710" spans="3:8" x14ac:dyDescent="0.25">
      <c r="C710" s="131" t="s">
        <v>838</v>
      </c>
      <c r="D710" s="132" t="s">
        <v>839</v>
      </c>
      <c r="E710" s="146">
        <v>13062</v>
      </c>
      <c r="F710" s="30">
        <v>25265</v>
      </c>
      <c r="G710" s="30">
        <v>40</v>
      </c>
      <c r="H710" s="150" t="str">
        <f t="shared" si="6"/>
        <v>002-40-55022-01DOLE 18oz Org Rom. Hrt Zip USA</v>
      </c>
    </row>
    <row r="711" spans="3:8" x14ac:dyDescent="0.25">
      <c r="C711" s="131" t="s">
        <v>211</v>
      </c>
      <c r="D711" s="132" t="s">
        <v>360</v>
      </c>
      <c r="E711" s="163">
        <v>12880</v>
      </c>
      <c r="F711" s="30">
        <v>24469</v>
      </c>
      <c r="G711" s="30">
        <v>50.66</v>
      </c>
      <c r="H711" s="150" t="str">
        <f t="shared" si="6"/>
        <v>002-40-55010-06Dole 6ct Romaine Hrts 40oz USA</v>
      </c>
    </row>
    <row r="712" spans="3:8" x14ac:dyDescent="0.25">
      <c r="C712" s="131" t="s">
        <v>690</v>
      </c>
      <c r="D712" s="133" t="s">
        <v>770</v>
      </c>
      <c r="E712" s="163">
        <v>12832</v>
      </c>
      <c r="F712" s="30">
        <v>25638</v>
      </c>
      <c r="G712" s="30">
        <v>23.26</v>
      </c>
      <c r="H712" s="150" t="str">
        <f t="shared" si="6"/>
        <v>9801921Simple Truth Cauliflower USA</v>
      </c>
    </row>
    <row r="713" spans="3:8" x14ac:dyDescent="0.25">
      <c r="C713" s="131" t="s">
        <v>154</v>
      </c>
      <c r="D713" s="133" t="s">
        <v>232</v>
      </c>
      <c r="E713" s="163">
        <v>12951</v>
      </c>
      <c r="F713" s="131">
        <v>24806</v>
      </c>
      <c r="G713" s="30">
        <v>58.5</v>
      </c>
      <c r="H713" s="150" t="str">
        <f t="shared" si="6"/>
        <v>002-00-30000-04Markon 6ct Lettuce</v>
      </c>
    </row>
    <row r="714" spans="3:8" x14ac:dyDescent="0.25">
      <c r="C714" s="131" t="s">
        <v>459</v>
      </c>
      <c r="D714" s="133" t="s">
        <v>504</v>
      </c>
      <c r="E714" s="163">
        <v>12956</v>
      </c>
      <c r="F714" s="30">
        <v>24951</v>
      </c>
      <c r="G714" s="30">
        <v>17.149999999999999</v>
      </c>
      <c r="H714" s="150" t="str">
        <f t="shared" si="6"/>
        <v>4962NOceanmist 13" Lettuce Bag</v>
      </c>
    </row>
    <row r="715" spans="3:8" x14ac:dyDescent="0.25">
      <c r="C715" s="131" t="s">
        <v>828</v>
      </c>
      <c r="D715" s="133" t="s">
        <v>819</v>
      </c>
      <c r="E715" s="163">
        <v>13072</v>
      </c>
      <c r="F715" s="30">
        <v>25639</v>
      </c>
      <c r="G715" s="30">
        <v>27.65</v>
      </c>
      <c r="H715" s="150" t="str">
        <f t="shared" si="6"/>
        <v>62036-11TA 3ct Jmbo Rom Long USA No Zp</v>
      </c>
    </row>
    <row r="716" spans="3:8" x14ac:dyDescent="0.25">
      <c r="C716" s="131" t="s">
        <v>792</v>
      </c>
      <c r="D716" s="132" t="s">
        <v>793</v>
      </c>
      <c r="E716" s="163">
        <v>13117</v>
      </c>
      <c r="F716" s="30">
        <v>25263</v>
      </c>
      <c r="G716" s="30">
        <v>138.11000000000001</v>
      </c>
      <c r="H716" s="150" t="str">
        <f t="shared" si="6"/>
        <v>P150POLY CLEAR ZIP LOCK 8# 12X18</v>
      </c>
    </row>
    <row r="717" spans="3:8" x14ac:dyDescent="0.25">
      <c r="C717" s="131" t="s">
        <v>484</v>
      </c>
      <c r="D717" s="132" t="s">
        <v>500</v>
      </c>
      <c r="E717" s="163">
        <v>12907</v>
      </c>
      <c r="F717" s="30">
        <v>24786</v>
      </c>
      <c r="G717" s="30">
        <v>18.7</v>
      </c>
      <c r="H717" s="150" t="str">
        <f t="shared" si="6"/>
        <v>121807BAG, 12OZ, TARGET, MW ORG PERF</v>
      </c>
    </row>
    <row r="718" spans="3:8" x14ac:dyDescent="0.25">
      <c r="C718" s="131" t="s">
        <v>495</v>
      </c>
      <c r="D718" s="132" t="s">
        <v>503</v>
      </c>
      <c r="E718" s="163">
        <v>12857</v>
      </c>
      <c r="F718" s="30">
        <v>24465</v>
      </c>
      <c r="G718" s="30">
        <v>18.7</v>
      </c>
      <c r="H718" s="150" t="str">
        <f t="shared" si="6"/>
        <v>92194BAG, 12OZ SAFEWAY SIGN MW PERF</v>
      </c>
    </row>
    <row r="719" spans="3:8" x14ac:dyDescent="0.25">
      <c r="C719" s="131" t="s">
        <v>657</v>
      </c>
      <c r="D719" s="132" t="s">
        <v>658</v>
      </c>
      <c r="E719" s="163">
        <v>13012</v>
      </c>
      <c r="F719" s="30">
        <v>25033</v>
      </c>
      <c r="G719" s="1">
        <v>18.7</v>
      </c>
      <c r="H719" s="150" t="str">
        <f t="shared" si="6"/>
        <v>86881-1BAG, 12OZ WEGMANS PETITE MW OR</v>
      </c>
    </row>
    <row r="720" spans="3:8" x14ac:dyDescent="0.25">
      <c r="C720" s="131" t="s">
        <v>840</v>
      </c>
      <c r="D720" s="133" t="s">
        <v>841</v>
      </c>
      <c r="E720" s="163">
        <v>13014</v>
      </c>
      <c r="F720" s="30">
        <v>25259</v>
      </c>
      <c r="G720" s="30">
        <v>20.59</v>
      </c>
      <c r="H720" s="150" t="str">
        <f t="shared" si="6"/>
        <v>159180BAG, CAULIFLOWER, MARKETSIDE</v>
      </c>
    </row>
    <row r="721" spans="3:8" x14ac:dyDescent="0.25">
      <c r="C721" s="131" t="s">
        <v>512</v>
      </c>
      <c r="D721" s="132" t="s">
        <v>300</v>
      </c>
      <c r="E721" s="146">
        <v>13099</v>
      </c>
      <c r="F721" s="30">
        <v>25437</v>
      </c>
      <c r="G721" s="30">
        <v>22.5</v>
      </c>
      <c r="H721" s="150" t="str">
        <f t="shared" si="6"/>
        <v>0930NOM 3ct Rom Hrt BI - NO ZIP</v>
      </c>
    </row>
    <row r="722" spans="3:8" x14ac:dyDescent="0.25">
      <c r="C722" s="131" t="s">
        <v>535</v>
      </c>
      <c r="D722" s="133" t="s">
        <v>536</v>
      </c>
      <c r="E722" s="163">
        <v>13067</v>
      </c>
      <c r="F722" s="131">
        <v>25272</v>
      </c>
      <c r="G722" s="30">
        <v>18.5</v>
      </c>
      <c r="H722" s="150" t="str">
        <f t="shared" si="6"/>
        <v>002-10-50130-05Dole Cauliflower-Canada</v>
      </c>
    </row>
    <row r="723" spans="3:8" x14ac:dyDescent="0.25">
      <c r="C723" s="131" t="s">
        <v>834</v>
      </c>
      <c r="D723" s="133" t="s">
        <v>835</v>
      </c>
      <c r="E723" s="163">
        <v>12944</v>
      </c>
      <c r="F723" s="131">
        <v>25072</v>
      </c>
      <c r="G723" s="30">
        <v>31.72</v>
      </c>
      <c r="H723" s="150" t="str">
        <f t="shared" si="6"/>
        <v>C3MEALGMI-A13LB MEIJR WHOLE CRT MI LONG</v>
      </c>
    </row>
    <row r="724" spans="3:8" x14ac:dyDescent="0.25">
      <c r="C724" s="131" t="s">
        <v>842</v>
      </c>
      <c r="D724" s="133" t="s">
        <v>843</v>
      </c>
      <c r="E724" s="163">
        <v>13009</v>
      </c>
      <c r="F724" s="131">
        <v>25160</v>
      </c>
      <c r="G724" s="30">
        <v>48.88</v>
      </c>
      <c r="H724" s="150" t="str">
        <f t="shared" si="6"/>
        <v>100909BAG, 5#, DOLE, WKT</v>
      </c>
    </row>
    <row r="725" spans="3:8" x14ac:dyDescent="0.25">
      <c r="C725" s="131" t="s">
        <v>493</v>
      </c>
      <c r="D725" s="132" t="s">
        <v>501</v>
      </c>
      <c r="E725" s="163">
        <v>13000</v>
      </c>
      <c r="F725" s="131">
        <v>24948</v>
      </c>
      <c r="G725" s="30">
        <v>18.7</v>
      </c>
      <c r="H725" s="150" t="str">
        <f t="shared" si="6"/>
        <v>121799BAG 12OZ TARGET MW PERF'D</v>
      </c>
    </row>
    <row r="726" spans="3:8" x14ac:dyDescent="0.25">
      <c r="C726" s="131" t="s">
        <v>495</v>
      </c>
      <c r="D726" s="132" t="s">
        <v>503</v>
      </c>
      <c r="E726" s="163">
        <v>12857</v>
      </c>
      <c r="F726" s="131">
        <v>24465</v>
      </c>
      <c r="G726" s="30">
        <v>18.7</v>
      </c>
      <c r="H726" s="150" t="str">
        <f t="shared" si="6"/>
        <v>92194BAG, 12OZ SAFEWAY SIGN MW PERF</v>
      </c>
    </row>
    <row r="727" spans="3:8" x14ac:dyDescent="0.25">
      <c r="C727" s="131" t="s">
        <v>484</v>
      </c>
      <c r="D727" s="132" t="s">
        <v>500</v>
      </c>
      <c r="E727" s="163">
        <v>12907</v>
      </c>
      <c r="F727" s="131">
        <v>24786</v>
      </c>
      <c r="G727" s="30">
        <v>18.7</v>
      </c>
      <c r="H727" s="150" t="str">
        <f t="shared" si="6"/>
        <v>121807BAG, 12OZ, TARGET, MW ORG PERF</v>
      </c>
    </row>
    <row r="728" spans="3:8" x14ac:dyDescent="0.25">
      <c r="C728" s="131" t="s">
        <v>543</v>
      </c>
      <c r="D728" s="132" t="s">
        <v>242</v>
      </c>
      <c r="E728" s="163">
        <v>13025</v>
      </c>
      <c r="F728" s="30">
        <v>25089</v>
      </c>
      <c r="G728" s="30">
        <v>40</v>
      </c>
      <c r="H728" s="150" t="str">
        <f t="shared" si="6"/>
        <v>1351Church Bros 3ct Rom Hrts - BI</v>
      </c>
    </row>
    <row r="729" spans="3:8" x14ac:dyDescent="0.25">
      <c r="C729" s="131" t="s">
        <v>178</v>
      </c>
      <c r="D729" s="133" t="s">
        <v>273</v>
      </c>
      <c r="E729" s="190">
        <v>13064</v>
      </c>
      <c r="F729" s="131">
        <v>25333</v>
      </c>
      <c r="G729" s="30">
        <v>166.06</v>
      </c>
      <c r="H729" s="150" t="str">
        <f t="shared" si="6"/>
        <v>35020900-00TUTTI FRUTTI PARSNIP 20LB</v>
      </c>
    </row>
    <row r="730" spans="3:8" x14ac:dyDescent="0.25">
      <c r="C730" s="131">
        <v>1579</v>
      </c>
      <c r="D730" s="133" t="s">
        <v>145</v>
      </c>
      <c r="E730" s="190" t="s">
        <v>844</v>
      </c>
      <c r="F730" s="131">
        <v>25093</v>
      </c>
      <c r="G730" s="30">
        <v>70.099999999999994</v>
      </c>
      <c r="H730" s="150" t="str">
        <f t="shared" si="6"/>
        <v>1579CB 2ct Baby Romaine</v>
      </c>
    </row>
    <row r="731" spans="3:8" x14ac:dyDescent="0.25">
      <c r="C731" s="131">
        <v>9801857</v>
      </c>
      <c r="D731" s="132" t="s">
        <v>825</v>
      </c>
      <c r="E731" s="190" t="s">
        <v>845</v>
      </c>
      <c r="F731" s="131">
        <v>24938</v>
      </c>
      <c r="G731" s="30">
        <v>44.3</v>
      </c>
      <c r="H731" s="150" t="str">
        <f t="shared" si="6"/>
        <v>9801857EBF Org Rom Hrt 6Ct USA</v>
      </c>
    </row>
    <row r="732" spans="3:8" x14ac:dyDescent="0.25">
      <c r="C732" s="131" t="s">
        <v>858</v>
      </c>
      <c r="D732" s="132" t="s">
        <v>270</v>
      </c>
      <c r="E732" s="190" t="s">
        <v>846</v>
      </c>
      <c r="F732" s="131">
        <v>25335</v>
      </c>
      <c r="G732" s="30">
        <v>68.540000000000006</v>
      </c>
      <c r="H732" s="150" t="str">
        <f t="shared" si="6"/>
        <v>9501808TFR 6ct Rom Hrts-COSTCO-BILIN</v>
      </c>
    </row>
    <row r="733" spans="3:8" x14ac:dyDescent="0.25">
      <c r="C733" s="131" t="s">
        <v>801</v>
      </c>
      <c r="D733" s="132" t="s">
        <v>802</v>
      </c>
      <c r="E733" s="190" t="s">
        <v>847</v>
      </c>
      <c r="F733" s="131" t="s">
        <v>848</v>
      </c>
      <c r="G733" s="30">
        <v>18.32</v>
      </c>
      <c r="H733" s="150" t="str">
        <f t="shared" si="6"/>
        <v>61933-11TJ's Org 2ct Celery Hrt</v>
      </c>
    </row>
    <row r="734" spans="3:8" x14ac:dyDescent="0.25">
      <c r="C734" s="131" t="s">
        <v>459</v>
      </c>
      <c r="D734" s="133" t="s">
        <v>504</v>
      </c>
      <c r="E734" s="190" t="s">
        <v>849</v>
      </c>
      <c r="F734" s="131">
        <v>24951</v>
      </c>
      <c r="G734" s="30">
        <v>17.149999999999999</v>
      </c>
      <c r="H734" s="150" t="str">
        <f t="shared" si="6"/>
        <v>4962NOceanmist 13" Lettuce Bag</v>
      </c>
    </row>
    <row r="735" spans="3:8" x14ac:dyDescent="0.25">
      <c r="C735" s="131">
        <v>159180</v>
      </c>
      <c r="D735" s="133" t="s">
        <v>841</v>
      </c>
      <c r="E735" s="190" t="s">
        <v>850</v>
      </c>
      <c r="F735" s="131">
        <v>25259</v>
      </c>
      <c r="G735" s="30">
        <v>20.59</v>
      </c>
      <c r="H735" s="150" t="str">
        <f t="shared" si="6"/>
        <v>159180BAG, CAULIFLOWER, MARKETSIDE</v>
      </c>
    </row>
    <row r="736" spans="3:8" x14ac:dyDescent="0.25">
      <c r="C736" s="131" t="s">
        <v>828</v>
      </c>
      <c r="D736" s="132" t="s">
        <v>819</v>
      </c>
      <c r="E736" s="190" t="s">
        <v>851</v>
      </c>
      <c r="F736" s="131">
        <v>25266</v>
      </c>
      <c r="G736" s="30">
        <v>27.65</v>
      </c>
      <c r="H736" s="150" t="str">
        <f t="shared" si="6"/>
        <v>62036-11TA 3ct Jmbo Rom Long USA No Zp</v>
      </c>
    </row>
    <row r="737" spans="3:8" x14ac:dyDescent="0.25">
      <c r="C737" s="131" t="s">
        <v>400</v>
      </c>
      <c r="D737" s="132" t="s">
        <v>563</v>
      </c>
      <c r="E737" s="190" t="s">
        <v>852</v>
      </c>
      <c r="F737" s="131">
        <v>25375</v>
      </c>
      <c r="G737" s="30">
        <v>40.98</v>
      </c>
      <c r="H737" s="150" t="str">
        <f t="shared" si="6"/>
        <v>62021-11T&amp;A 6Ct Rom Hrts Nt Wt St</v>
      </c>
    </row>
    <row r="738" spans="3:8" x14ac:dyDescent="0.25">
      <c r="C738" s="131" t="s">
        <v>859</v>
      </c>
      <c r="D738" s="132" t="s">
        <v>860</v>
      </c>
      <c r="E738" s="190" t="s">
        <v>853</v>
      </c>
      <c r="F738" s="131">
        <v>25326</v>
      </c>
      <c r="G738" s="30">
        <v>21.11</v>
      </c>
      <c r="H738" s="150" t="str">
        <f t="shared" si="6"/>
        <v>4963NOcean Mist 14" Lettuce USA</v>
      </c>
    </row>
    <row r="739" spans="3:8" x14ac:dyDescent="0.25">
      <c r="C739" s="131" t="s">
        <v>610</v>
      </c>
      <c r="D739" s="133" t="s">
        <v>611</v>
      </c>
      <c r="E739" s="190" t="s">
        <v>854</v>
      </c>
      <c r="F739" s="131">
        <v>25185</v>
      </c>
      <c r="G739" s="30">
        <v>27.53</v>
      </c>
      <c r="H739" s="150" t="str">
        <f t="shared" si="6"/>
        <v>C2BFCNOALG-A12LB BOLTHOUSE FRESH ORG FS CAN</v>
      </c>
    </row>
    <row r="740" spans="3:8" x14ac:dyDescent="0.25">
      <c r="C740" s="131" t="s">
        <v>653</v>
      </c>
      <c r="D740" s="133" t="s">
        <v>654</v>
      </c>
      <c r="E740" s="190" t="s">
        <v>855</v>
      </c>
      <c r="F740" s="131">
        <v>25436</v>
      </c>
      <c r="G740" s="30">
        <v>20.25</v>
      </c>
      <c r="H740" s="150" t="str">
        <f t="shared" si="6"/>
        <v>0921NOcean Mist Cauliflower USA</v>
      </c>
    </row>
    <row r="741" spans="3:8" x14ac:dyDescent="0.25">
      <c r="C741" s="131">
        <v>1586</v>
      </c>
      <c r="D741" s="132" t="s">
        <v>635</v>
      </c>
      <c r="E741" s="190" t="s">
        <v>856</v>
      </c>
      <c r="F741" s="131" t="s">
        <v>857</v>
      </c>
      <c r="G741" s="30">
        <v>49.15</v>
      </c>
      <c r="H741" s="150" t="str">
        <f t="shared" si="6"/>
        <v>1586Cheney Bros Romaine Hrts 3Ct</v>
      </c>
    </row>
    <row r="742" spans="3:8" x14ac:dyDescent="0.25">
      <c r="C742" s="131" t="s">
        <v>557</v>
      </c>
      <c r="D742" s="132" t="s">
        <v>338</v>
      </c>
      <c r="E742" s="146">
        <v>13134</v>
      </c>
      <c r="F742" s="131" t="s">
        <v>861</v>
      </c>
      <c r="G742" s="30">
        <v>48.32</v>
      </c>
      <c r="H742" s="150" t="str">
        <f t="shared" si="6"/>
        <v>1318Markon 6ct Romaine Hearts</v>
      </c>
    </row>
    <row r="743" spans="3:8" x14ac:dyDescent="0.25">
      <c r="C743" s="131" t="s">
        <v>159</v>
      </c>
      <c r="D743" s="133" t="s">
        <v>246</v>
      </c>
      <c r="E743" s="146">
        <v>12952</v>
      </c>
      <c r="F743" s="131">
        <v>24935</v>
      </c>
      <c r="G743" s="30">
        <v>19.25</v>
      </c>
      <c r="H743" s="150" t="str">
        <f t="shared" si="6"/>
        <v>002-00-53350-00Lidl 13.5: Iceberg Lettuce</v>
      </c>
    </row>
    <row r="744" spans="3:8" x14ac:dyDescent="0.25">
      <c r="C744" s="131" t="s">
        <v>400</v>
      </c>
      <c r="D744" s="133" t="s">
        <v>563</v>
      </c>
      <c r="E744" s="163">
        <v>13085</v>
      </c>
      <c r="F744" s="131">
        <v>25375</v>
      </c>
      <c r="G744" s="30">
        <v>40.98</v>
      </c>
      <c r="H744" s="150" t="str">
        <f t="shared" si="6"/>
        <v>62021-11T&amp;A 6Ct Rom Hrts Nt Wt St</v>
      </c>
    </row>
    <row r="745" spans="3:8" x14ac:dyDescent="0.25">
      <c r="C745" s="131" t="s">
        <v>199</v>
      </c>
      <c r="D745" s="133" t="s">
        <v>330</v>
      </c>
      <c r="E745" s="146">
        <v>13145</v>
      </c>
      <c r="F745" s="131" t="s">
        <v>862</v>
      </c>
      <c r="G745" s="30">
        <v>44.83</v>
      </c>
      <c r="H745" s="150" t="str">
        <f t="shared" si="6"/>
        <v>19800952-01Queen Vic 6ct Rom w/Heat Seal</v>
      </c>
    </row>
    <row r="746" spans="3:8" x14ac:dyDescent="0.25">
      <c r="C746" s="131" t="s">
        <v>858</v>
      </c>
      <c r="D746" s="132" t="s">
        <v>270</v>
      </c>
      <c r="E746" s="163">
        <v>13090</v>
      </c>
      <c r="F746" s="131">
        <v>25335</v>
      </c>
      <c r="G746" s="30">
        <v>68.540000000000006</v>
      </c>
      <c r="H746" s="150" t="str">
        <f t="shared" si="6"/>
        <v>9501808TFR 6ct Rom Hrts-COSTCO-BILIN</v>
      </c>
    </row>
    <row r="747" spans="3:8" x14ac:dyDescent="0.25">
      <c r="C747" s="131" t="s">
        <v>213</v>
      </c>
      <c r="D747" s="132" t="s">
        <v>582</v>
      </c>
      <c r="E747" s="163">
        <v>13073</v>
      </c>
      <c r="F747" s="131" t="s">
        <v>863</v>
      </c>
      <c r="G747" s="30">
        <v>99.79</v>
      </c>
      <c r="H747" s="150" t="str">
        <f t="shared" si="6"/>
        <v>61953-11KROGER 2Ct Artsn Rom SUP</v>
      </c>
    </row>
    <row r="748" spans="3:8" x14ac:dyDescent="0.25">
      <c r="C748" s="131" t="s">
        <v>864</v>
      </c>
      <c r="D748" s="133" t="s">
        <v>865</v>
      </c>
      <c r="E748" s="167">
        <v>13092</v>
      </c>
      <c r="F748" s="131">
        <v>25472</v>
      </c>
      <c r="G748" s="30">
        <v>28.84</v>
      </c>
      <c r="H748" s="150" t="str">
        <f t="shared" si="6"/>
        <v>61791-11NZTA 3ct Jmbo Rom No Zp</v>
      </c>
    </row>
    <row r="749" spans="3:8" x14ac:dyDescent="0.25">
      <c r="C749" s="131" t="s">
        <v>824</v>
      </c>
      <c r="D749" s="132" t="s">
        <v>825</v>
      </c>
      <c r="E749" s="146">
        <v>12961</v>
      </c>
      <c r="F749" s="131">
        <v>24938</v>
      </c>
      <c r="G749" s="30">
        <v>44.3</v>
      </c>
      <c r="H749" s="150" t="str">
        <f t="shared" si="6"/>
        <v>9801857EBF Org Rom Hrt 6Ct USA</v>
      </c>
    </row>
    <row r="750" spans="3:8" x14ac:dyDescent="0.25">
      <c r="C750" s="131" t="s">
        <v>690</v>
      </c>
      <c r="D750" s="133" t="s">
        <v>770</v>
      </c>
      <c r="E750" s="146">
        <v>12832</v>
      </c>
      <c r="F750" s="131">
        <v>24429</v>
      </c>
      <c r="G750" s="30">
        <v>23.26</v>
      </c>
      <c r="H750" s="150" t="str">
        <f t="shared" si="6"/>
        <v>9801921Simple Truth Cauliflower USA</v>
      </c>
    </row>
    <row r="751" spans="3:8" x14ac:dyDescent="0.25">
      <c r="C751" s="131" t="s">
        <v>554</v>
      </c>
      <c r="D751" s="133" t="s">
        <v>524</v>
      </c>
      <c r="E751" s="146">
        <v>12957</v>
      </c>
      <c r="F751" s="131">
        <v>24958</v>
      </c>
      <c r="G751" s="30">
        <v>17.05</v>
      </c>
      <c r="H751" s="150" t="str">
        <f t="shared" si="6"/>
        <v>496013" UPC/PLU CLR IcebergLett OM</v>
      </c>
    </row>
    <row r="752" spans="3:8" x14ac:dyDescent="0.25">
      <c r="C752" s="131" t="s">
        <v>459</v>
      </c>
      <c r="D752" s="133" t="s">
        <v>504</v>
      </c>
      <c r="E752" s="146">
        <v>12956</v>
      </c>
      <c r="F752" s="131">
        <v>24951</v>
      </c>
      <c r="G752" s="30">
        <v>17.149999999999999</v>
      </c>
      <c r="H752" s="150" t="str">
        <f t="shared" si="6"/>
        <v>4962NOceanmist 13" Lettuce Bag</v>
      </c>
    </row>
    <row r="753" spans="3:8" x14ac:dyDescent="0.25">
      <c r="C753" s="131" t="s">
        <v>828</v>
      </c>
      <c r="D753" s="133" t="s">
        <v>819</v>
      </c>
      <c r="E753" s="146">
        <v>13072</v>
      </c>
      <c r="F753" s="131">
        <v>25266</v>
      </c>
      <c r="G753" s="30">
        <v>27.65</v>
      </c>
      <c r="H753" s="150" t="str">
        <f t="shared" si="6"/>
        <v>62036-11TA 3ct Jmbo Rom Long USA No Zp</v>
      </c>
    </row>
    <row r="754" spans="3:8" x14ac:dyDescent="0.25">
      <c r="C754" s="131" t="s">
        <v>866</v>
      </c>
      <c r="D754" s="133" t="s">
        <v>867</v>
      </c>
      <c r="E754" s="146">
        <v>13050</v>
      </c>
      <c r="F754" s="131">
        <v>25188</v>
      </c>
      <c r="G754" s="30">
        <v>46.85</v>
      </c>
      <c r="H754" s="150" t="str">
        <f t="shared" si="6"/>
        <v>C5BFCNOLA-A15LB BOLTHOUSE FRESH FS BILING</v>
      </c>
    </row>
    <row r="755" spans="3:8" x14ac:dyDescent="0.25">
      <c r="C755" s="131" t="s">
        <v>653</v>
      </c>
      <c r="D755" s="133" t="s">
        <v>654</v>
      </c>
      <c r="E755" s="146">
        <v>13097</v>
      </c>
      <c r="F755" s="131">
        <v>25436</v>
      </c>
      <c r="G755" s="30">
        <v>20.25</v>
      </c>
      <c r="H755" s="150" t="str">
        <f t="shared" si="6"/>
        <v>0921NOcean Mist Cauliflower USA</v>
      </c>
    </row>
    <row r="756" spans="3:8" x14ac:dyDescent="0.25">
      <c r="C756" s="131" t="s">
        <v>868</v>
      </c>
      <c r="D756" s="132" t="s">
        <v>869</v>
      </c>
      <c r="E756" s="146">
        <v>13034</v>
      </c>
      <c r="F756" s="131">
        <v>25104</v>
      </c>
      <c r="G756" s="30">
        <v>68.52</v>
      </c>
      <c r="H756" s="150" t="str">
        <f t="shared" si="6"/>
        <v>3000015845LB DICED APPLES DOLE</v>
      </c>
    </row>
    <row r="757" spans="3:8" x14ac:dyDescent="0.25">
      <c r="C757" s="131" t="s">
        <v>870</v>
      </c>
      <c r="D757" s="132" t="s">
        <v>871</v>
      </c>
      <c r="E757" s="146">
        <v>13036</v>
      </c>
      <c r="F757" s="131">
        <v>25096</v>
      </c>
      <c r="G757" s="30">
        <v>66.09</v>
      </c>
      <c r="H757" s="150" t="str">
        <f t="shared" si="6"/>
        <v>3000017845LB Dole Diced Peaches</v>
      </c>
    </row>
    <row r="758" spans="3:8" x14ac:dyDescent="0.25">
      <c r="C758" s="131" t="s">
        <v>872</v>
      </c>
      <c r="D758" s="132" t="s">
        <v>873</v>
      </c>
      <c r="E758" s="146">
        <v>13039</v>
      </c>
      <c r="F758" s="131">
        <v>25102</v>
      </c>
      <c r="G758" s="30">
        <v>10.61</v>
      </c>
      <c r="H758" s="150" t="str">
        <f t="shared" si="6"/>
        <v>3000022697oz Dream w/ Dragon FRT INNER</v>
      </c>
    </row>
    <row r="759" spans="3:8" x14ac:dyDescent="0.25">
      <c r="C759" s="134" t="s">
        <v>724</v>
      </c>
      <c r="D759" s="125" t="s">
        <v>145</v>
      </c>
      <c r="E759" s="147">
        <v>13024</v>
      </c>
      <c r="F759" s="134">
        <v>25093</v>
      </c>
      <c r="G759" s="1">
        <v>70.099999999999994</v>
      </c>
      <c r="H759" s="150" t="str">
        <f t="shared" si="6"/>
        <v>1579CB 2ct Baby Romaine</v>
      </c>
    </row>
    <row r="760" spans="3:8" x14ac:dyDescent="0.25">
      <c r="C760" s="134" t="s">
        <v>690</v>
      </c>
      <c r="D760" s="125" t="s">
        <v>770</v>
      </c>
      <c r="E760" s="147">
        <v>12832</v>
      </c>
      <c r="F760" s="134">
        <v>24429</v>
      </c>
      <c r="G760" s="1">
        <v>23.26</v>
      </c>
      <c r="H760" s="150" t="str">
        <f t="shared" si="6"/>
        <v>9801921Simple Truth Cauliflower USA</v>
      </c>
    </row>
    <row r="761" spans="3:8" x14ac:dyDescent="0.25">
      <c r="C761" s="134" t="s">
        <v>554</v>
      </c>
      <c r="D761" s="125" t="s">
        <v>524</v>
      </c>
      <c r="E761" s="147">
        <v>12957</v>
      </c>
      <c r="F761" s="134">
        <v>24958</v>
      </c>
      <c r="G761" s="1">
        <v>17.05</v>
      </c>
      <c r="H761" s="150" t="str">
        <f t="shared" si="6"/>
        <v>496013" UPC/PLU CLR IcebergLett OM</v>
      </c>
    </row>
    <row r="762" spans="3:8" x14ac:dyDescent="0.25">
      <c r="C762" s="134" t="s">
        <v>736</v>
      </c>
      <c r="D762" s="125" t="s">
        <v>737</v>
      </c>
      <c r="E762" s="147">
        <v>13027</v>
      </c>
      <c r="F762" s="134">
        <v>25090</v>
      </c>
      <c r="G762" s="1">
        <v>22.38</v>
      </c>
      <c r="H762" s="150" t="str">
        <f t="shared" si="6"/>
        <v>4150Trader Joes Broccoli Crown USA</v>
      </c>
    </row>
    <row r="763" spans="3:8" x14ac:dyDescent="0.25">
      <c r="C763" s="134" t="s">
        <v>864</v>
      </c>
      <c r="D763" s="125" t="s">
        <v>865</v>
      </c>
      <c r="E763" s="147">
        <v>13092</v>
      </c>
      <c r="F763" s="134">
        <v>25472</v>
      </c>
      <c r="G763" s="1">
        <v>28.84</v>
      </c>
      <c r="H763" s="150" t="str">
        <f t="shared" si="6"/>
        <v>61791-11NZTA 3ct Jmbo Rom No Zp</v>
      </c>
    </row>
    <row r="764" spans="3:8" x14ac:dyDescent="0.25">
      <c r="C764" s="134" t="s">
        <v>618</v>
      </c>
      <c r="D764" s="125" t="s">
        <v>619</v>
      </c>
      <c r="E764" s="147">
        <v>13115</v>
      </c>
      <c r="F764" s="134" t="s">
        <v>874</v>
      </c>
      <c r="G764" s="1">
        <v>48.26</v>
      </c>
      <c r="H764" s="150" t="str">
        <f t="shared" si="6"/>
        <v>9801906TFR 6ct Romaine USA PURPLE</v>
      </c>
    </row>
    <row r="765" spans="3:8" x14ac:dyDescent="0.25">
      <c r="C765" s="134" t="s">
        <v>199</v>
      </c>
      <c r="D765" s="125" t="s">
        <v>330</v>
      </c>
      <c r="E765" s="147">
        <v>13145</v>
      </c>
      <c r="F765" s="134" t="s">
        <v>862</v>
      </c>
      <c r="G765" s="1">
        <v>44.83</v>
      </c>
      <c r="H765" s="150" t="str">
        <f t="shared" si="6"/>
        <v>19800952-01Queen Vic 6ct Rom w/Heat Seal</v>
      </c>
    </row>
    <row r="766" spans="3:8" x14ac:dyDescent="0.25">
      <c r="C766" s="134" t="s">
        <v>604</v>
      </c>
      <c r="D766" s="125" t="s">
        <v>605</v>
      </c>
      <c r="E766" s="147">
        <v>13136</v>
      </c>
      <c r="F766" s="134" t="s">
        <v>875</v>
      </c>
      <c r="G766" s="1">
        <v>24.55</v>
      </c>
      <c r="H766" s="150" t="str">
        <f t="shared" si="6"/>
        <v>506967AMann Broccoli w/Vents-Anti-fog</v>
      </c>
    </row>
    <row r="767" spans="3:8" x14ac:dyDescent="0.25">
      <c r="C767" s="134" t="s">
        <v>792</v>
      </c>
      <c r="D767" s="125" t="s">
        <v>793</v>
      </c>
      <c r="E767" s="147">
        <v>13117</v>
      </c>
      <c r="F767" s="134" t="s">
        <v>876</v>
      </c>
      <c r="G767" s="1">
        <v>13.8</v>
      </c>
      <c r="H767" s="150" t="str">
        <f t="shared" si="6"/>
        <v>P150POLY CLEAR ZIP LOCK 8# 12X18</v>
      </c>
    </row>
    <row r="768" spans="3:8" x14ac:dyDescent="0.25">
      <c r="C768" s="134" t="s">
        <v>797</v>
      </c>
      <c r="D768" s="125" t="s">
        <v>798</v>
      </c>
      <c r="E768" s="147">
        <v>13070</v>
      </c>
      <c r="F768" s="134">
        <v>25267</v>
      </c>
      <c r="G768" s="1">
        <v>40</v>
      </c>
      <c r="H768" s="150" t="str">
        <f t="shared" si="6"/>
        <v>9801890EBF Org Rom Hrt 3ct - USA</v>
      </c>
    </row>
    <row r="769" spans="3:8" x14ac:dyDescent="0.25">
      <c r="C769" s="134" t="s">
        <v>877</v>
      </c>
      <c r="D769" s="125" t="s">
        <v>878</v>
      </c>
      <c r="E769" s="147">
        <v>13071</v>
      </c>
      <c r="F769" s="134">
        <v>25323</v>
      </c>
      <c r="G769" s="1">
        <v>40</v>
      </c>
      <c r="H769" s="150" t="str">
        <f t="shared" si="6"/>
        <v>002-40-55032-02Dole 23oz Rom USA Zip Grwn CA</v>
      </c>
    </row>
    <row r="770" spans="3:8" x14ac:dyDescent="0.25">
      <c r="C770" s="134" t="s">
        <v>566</v>
      </c>
      <c r="D770" s="125" t="s">
        <v>235</v>
      </c>
      <c r="E770" s="147">
        <v>13019</v>
      </c>
      <c r="F770" s="134">
        <v>25088</v>
      </c>
      <c r="G770" s="1">
        <v>19.239999999999998</v>
      </c>
      <c r="H770" s="150" t="str">
        <f t="shared" si="6"/>
        <v>1314Church Bros Cauliflower</v>
      </c>
    </row>
    <row r="771" spans="3:8" x14ac:dyDescent="0.25">
      <c r="C771" s="134" t="s">
        <v>158</v>
      </c>
      <c r="D771" s="125" t="s">
        <v>639</v>
      </c>
      <c r="E771" s="147">
        <v>13132</v>
      </c>
      <c r="F771" s="134" t="s">
        <v>879</v>
      </c>
      <c r="G771" s="1">
        <v>40</v>
      </c>
      <c r="H771" s="150" t="str">
        <f t="shared" si="6"/>
        <v>19800900-01Peak 3ct Rom Zip 22oz (624g)</v>
      </c>
    </row>
    <row r="772" spans="3:8" x14ac:dyDescent="0.25">
      <c r="C772" s="134" t="s">
        <v>213</v>
      </c>
      <c r="D772" s="125" t="s">
        <v>582</v>
      </c>
      <c r="E772" s="147">
        <v>13073</v>
      </c>
      <c r="F772" s="134" t="s">
        <v>880</v>
      </c>
      <c r="G772" s="1">
        <v>99.79</v>
      </c>
      <c r="H772" s="150" t="str">
        <f t="shared" si="6"/>
        <v>61953-11KROGER 2Ct Artsn Rom SUP</v>
      </c>
    </row>
    <row r="773" spans="3:8" x14ac:dyDescent="0.25">
      <c r="C773" s="134" t="s">
        <v>881</v>
      </c>
      <c r="D773" s="125" t="s">
        <v>882</v>
      </c>
      <c r="E773" s="147">
        <v>13030</v>
      </c>
      <c r="F773" s="134">
        <v>25110</v>
      </c>
      <c r="G773" s="1">
        <v>69.180000000000007</v>
      </c>
      <c r="H773" s="150" t="str">
        <f t="shared" si="6"/>
        <v>3000009005LB DARK SWEET CHERRIES DOLE</v>
      </c>
    </row>
    <row r="774" spans="3:8" x14ac:dyDescent="0.25">
      <c r="C774" s="134" t="s">
        <v>883</v>
      </c>
      <c r="D774" s="125" t="s">
        <v>884</v>
      </c>
      <c r="E774" s="147">
        <v>13031</v>
      </c>
      <c r="F774" s="134">
        <v>25109</v>
      </c>
      <c r="G774" s="1">
        <v>66.56</v>
      </c>
      <c r="H774" s="150" t="str">
        <f t="shared" si="6"/>
        <v>3000009065lb PINEAPPLE CHUCKS</v>
      </c>
    </row>
    <row r="775" spans="3:8" x14ac:dyDescent="0.25">
      <c r="C775" s="134" t="s">
        <v>558</v>
      </c>
      <c r="D775" s="125" t="s">
        <v>559</v>
      </c>
      <c r="E775" s="147">
        <v>13032</v>
      </c>
      <c r="F775" s="134">
        <v>25154</v>
      </c>
      <c r="G775" s="1">
        <v>74.2</v>
      </c>
      <c r="H775" s="150" t="str">
        <f t="shared" si="6"/>
        <v>3000009085LB SLICED APPLES DOLE</v>
      </c>
    </row>
    <row r="776" spans="3:8" x14ac:dyDescent="0.25">
      <c r="C776" s="134" t="s">
        <v>885</v>
      </c>
      <c r="D776" s="125" t="s">
        <v>886</v>
      </c>
      <c r="E776" s="147">
        <v>13033</v>
      </c>
      <c r="F776" s="134">
        <v>25095</v>
      </c>
      <c r="G776" s="1">
        <v>66.56</v>
      </c>
      <c r="H776" s="150" t="str">
        <f t="shared" si="6"/>
        <v>3000009105LB WH STRAWBERRIES DOLE</v>
      </c>
    </row>
    <row r="777" spans="3:8" x14ac:dyDescent="0.25">
      <c r="C777" s="134" t="s">
        <v>887</v>
      </c>
      <c r="D777" s="125" t="s">
        <v>888</v>
      </c>
      <c r="E777" s="147">
        <v>13038</v>
      </c>
      <c r="F777" s="134">
        <v>25101</v>
      </c>
      <c r="G777" s="1">
        <v>58.58</v>
      </c>
      <c r="H777" s="150" t="str">
        <f t="shared" si="6"/>
        <v>3000023054/7oz Banana, Mango, Berry Outer</v>
      </c>
    </row>
    <row r="778" spans="3:8" x14ac:dyDescent="0.25">
      <c r="C778" s="134" t="s">
        <v>889</v>
      </c>
      <c r="D778" s="125" t="s">
        <v>890</v>
      </c>
      <c r="E778" s="147">
        <v>13040</v>
      </c>
      <c r="F778" s="134">
        <v>25106</v>
      </c>
      <c r="G778" s="1">
        <v>11.54</v>
      </c>
      <c r="H778" s="150" t="str">
        <f t="shared" si="6"/>
        <v>3000007958OZ DOLE MIXED BERRIES - INNER</v>
      </c>
    </row>
    <row r="779" spans="3:8" x14ac:dyDescent="0.25">
      <c r="C779" s="134" t="s">
        <v>432</v>
      </c>
      <c r="D779" s="125" t="s">
        <v>660</v>
      </c>
      <c r="E779" s="1">
        <v>13202</v>
      </c>
      <c r="F779" s="1">
        <v>25989</v>
      </c>
      <c r="G779" s="1">
        <v>26.99</v>
      </c>
      <c r="H779" s="150" t="str">
        <f t="shared" si="6"/>
        <v>B-85BBoskovich 2lb Grn Onion 350OTR</v>
      </c>
    </row>
    <row r="780" spans="3:8" x14ac:dyDescent="0.25">
      <c r="C780" s="134" t="s">
        <v>801</v>
      </c>
      <c r="D780" s="125" t="s">
        <v>802</v>
      </c>
      <c r="E780" s="1">
        <v>12854</v>
      </c>
      <c r="F780" s="1">
        <v>25634</v>
      </c>
      <c r="G780" s="1">
        <v>18.32</v>
      </c>
      <c r="H780" s="150" t="str">
        <f t="shared" si="6"/>
        <v>61933-11TJ's Org 2ct Celery Hrt</v>
      </c>
    </row>
    <row r="781" spans="3:8" x14ac:dyDescent="0.25">
      <c r="C781" s="134" t="s">
        <v>566</v>
      </c>
      <c r="D781" s="125" t="s">
        <v>235</v>
      </c>
      <c r="E781" s="1">
        <v>13019</v>
      </c>
      <c r="F781" s="1">
        <v>25088</v>
      </c>
      <c r="G781" s="1">
        <v>19.239999999999998</v>
      </c>
      <c r="H781" s="150" t="str">
        <f t="shared" si="6"/>
        <v>1314Church Bros Cauliflower</v>
      </c>
    </row>
    <row r="782" spans="3:8" x14ac:dyDescent="0.25">
      <c r="C782" s="134" t="s">
        <v>632</v>
      </c>
      <c r="D782" s="125" t="s">
        <v>633</v>
      </c>
      <c r="E782" s="1">
        <v>12922</v>
      </c>
      <c r="F782" s="1">
        <v>24791</v>
      </c>
      <c r="G782" s="1">
        <v>19.440000000000001</v>
      </c>
      <c r="H782" s="150" t="str">
        <f t="shared" si="6"/>
        <v>9801864EBF Org Cauliflower Bag USA</v>
      </c>
    </row>
    <row r="783" spans="3:8" x14ac:dyDescent="0.25">
      <c r="C783" s="134" t="s">
        <v>653</v>
      </c>
      <c r="D783" s="125" t="s">
        <v>654</v>
      </c>
      <c r="E783" s="1">
        <v>13097</v>
      </c>
      <c r="F783" s="1">
        <v>25436</v>
      </c>
      <c r="G783" s="1">
        <v>20.25</v>
      </c>
      <c r="H783" s="150" t="str">
        <f t="shared" si="6"/>
        <v>0921NOcean Mist Cauliflower USA</v>
      </c>
    </row>
    <row r="784" spans="3:8" x14ac:dyDescent="0.25">
      <c r="C784" s="134" t="s">
        <v>891</v>
      </c>
      <c r="D784" s="125" t="s">
        <v>892</v>
      </c>
      <c r="E784" s="1">
        <v>13091</v>
      </c>
      <c r="F784" s="1">
        <v>25376</v>
      </c>
      <c r="G784" s="1">
        <v>48.28</v>
      </c>
      <c r="H784" s="150" t="str">
        <f t="shared" si="6"/>
        <v>97910BAG, 5# NATURE'S PROMISE, WKT</v>
      </c>
    </row>
    <row r="785" spans="3:8" x14ac:dyDescent="0.25">
      <c r="C785" s="134" t="s">
        <v>158</v>
      </c>
      <c r="D785" s="125" t="s">
        <v>639</v>
      </c>
      <c r="E785" s="1">
        <v>13132</v>
      </c>
      <c r="F785" s="1">
        <v>25723</v>
      </c>
      <c r="G785" s="1">
        <v>40</v>
      </c>
      <c r="H785" s="150" t="str">
        <f t="shared" si="6"/>
        <v>19800900-01Peak 3ct Rom Zip 22oz (624g)</v>
      </c>
    </row>
    <row r="786" spans="3:8" x14ac:dyDescent="0.25">
      <c r="C786" s="134" t="s">
        <v>213</v>
      </c>
      <c r="D786" s="125" t="s">
        <v>582</v>
      </c>
      <c r="E786" s="1">
        <v>13073</v>
      </c>
      <c r="F786" s="1">
        <v>25669</v>
      </c>
      <c r="G786" s="1">
        <v>99.79</v>
      </c>
      <c r="H786" s="150" t="str">
        <f t="shared" si="6"/>
        <v>61953-11KROGER 2Ct Artsn Rom SUP</v>
      </c>
    </row>
    <row r="787" spans="3:8" x14ac:dyDescent="0.25">
      <c r="C787" s="134" t="s">
        <v>820</v>
      </c>
      <c r="D787" s="125" t="s">
        <v>821</v>
      </c>
      <c r="E787" s="1">
        <v>12719</v>
      </c>
      <c r="F787" s="1">
        <v>24336</v>
      </c>
      <c r="G787" s="1">
        <v>11.06</v>
      </c>
      <c r="H787" s="150" t="str">
        <f t="shared" si="6"/>
        <v>S1BFX-A11LB BOLTHOUSE FRESH BBY CRTS RS</v>
      </c>
    </row>
    <row r="788" spans="3:8" x14ac:dyDescent="0.25">
      <c r="C788" s="134" t="s">
        <v>494</v>
      </c>
      <c r="D788" s="125" t="s">
        <v>502</v>
      </c>
      <c r="E788" s="1">
        <v>12908</v>
      </c>
      <c r="F788" s="1">
        <v>24785</v>
      </c>
      <c r="G788" s="1">
        <v>17.43</v>
      </c>
      <c r="H788" s="150" t="str">
        <f t="shared" si="6"/>
        <v>55112BAG, 12OZ, GF, MW, TRI PERF'D</v>
      </c>
    </row>
    <row r="789" spans="3:8" x14ac:dyDescent="0.25">
      <c r="C789" s="134" t="s">
        <v>893</v>
      </c>
      <c r="D789" s="125" t="s">
        <v>894</v>
      </c>
      <c r="E789" s="1">
        <v>13120</v>
      </c>
      <c r="F789" s="1">
        <v>25681</v>
      </c>
      <c r="G789" s="1">
        <v>14.59</v>
      </c>
      <c r="H789" s="150" t="str">
        <f t="shared" si="6"/>
        <v>1292591LB WHOLESOME PANTRY ORG RS CF</v>
      </c>
    </row>
    <row r="790" spans="3:8" x14ac:dyDescent="0.25">
      <c r="C790" s="134" t="s">
        <v>783</v>
      </c>
      <c r="D790" s="125" t="s">
        <v>784</v>
      </c>
      <c r="E790" s="1">
        <v>13083</v>
      </c>
      <c r="F790" s="1">
        <v>25336</v>
      </c>
      <c r="G790" s="1">
        <v>62.79</v>
      </c>
      <c r="H790" s="150" t="str">
        <f t="shared" si="6"/>
        <v>3000023034/7oz Protein Kick Outer</v>
      </c>
    </row>
    <row r="791" spans="3:8" x14ac:dyDescent="0.25">
      <c r="C791" s="131" t="s">
        <v>618</v>
      </c>
      <c r="D791" s="133" t="s">
        <v>619</v>
      </c>
      <c r="E791" s="1">
        <v>13115</v>
      </c>
      <c r="F791" s="1" t="s">
        <v>874</v>
      </c>
      <c r="G791" s="30">
        <v>48.26</v>
      </c>
      <c r="H791" s="150" t="str">
        <f t="shared" si="6"/>
        <v>9801906TFR 6ct Romaine USA PURPLE</v>
      </c>
    </row>
    <row r="792" spans="3:8" x14ac:dyDescent="0.25">
      <c r="C792" s="131" t="s">
        <v>877</v>
      </c>
      <c r="D792" s="132" t="s">
        <v>878</v>
      </c>
      <c r="E792" s="1">
        <v>13071</v>
      </c>
      <c r="F792" s="1" t="s">
        <v>895</v>
      </c>
      <c r="G792" s="30">
        <v>40</v>
      </c>
      <c r="H792" s="150" t="str">
        <f t="shared" si="6"/>
        <v>002-40-55032-02Dole 23oz Rom USA Zip Grwn CA</v>
      </c>
    </row>
    <row r="793" spans="3:8" x14ac:dyDescent="0.25">
      <c r="C793" s="134" t="s">
        <v>199</v>
      </c>
      <c r="D793" s="125" t="s">
        <v>330</v>
      </c>
      <c r="E793" s="1">
        <v>13199</v>
      </c>
      <c r="F793" s="1">
        <v>25980</v>
      </c>
      <c r="G793" s="1">
        <v>44.83</v>
      </c>
      <c r="H793" s="150" t="str">
        <f t="shared" si="6"/>
        <v>19800952-01Queen Vic 6ct Rom w/Heat Seal</v>
      </c>
    </row>
    <row r="794" spans="3:8" x14ac:dyDescent="0.25">
      <c r="C794" s="134" t="s">
        <v>432</v>
      </c>
      <c r="D794" s="125" t="s">
        <v>660</v>
      </c>
      <c r="E794" s="1">
        <v>13202</v>
      </c>
      <c r="F794" s="1">
        <v>25989</v>
      </c>
      <c r="G794" s="1">
        <v>26.99</v>
      </c>
      <c r="H794" s="150" t="str">
        <f t="shared" si="6"/>
        <v>B-85BBoskovich 2lb Grn Onion 350OTR</v>
      </c>
    </row>
    <row r="795" spans="3:8" x14ac:dyDescent="0.25">
      <c r="C795" s="134" t="s">
        <v>736</v>
      </c>
      <c r="D795" s="125" t="s">
        <v>737</v>
      </c>
      <c r="E795" s="1">
        <v>13027</v>
      </c>
      <c r="F795" s="1">
        <v>25090</v>
      </c>
      <c r="G795" s="1">
        <v>22.38</v>
      </c>
      <c r="H795" s="150" t="str">
        <f t="shared" si="6"/>
        <v>4150Trader Joes Broccoli Crown USA</v>
      </c>
    </row>
    <row r="796" spans="3:8" x14ac:dyDescent="0.25">
      <c r="C796" s="134" t="s">
        <v>891</v>
      </c>
      <c r="D796" s="125" t="s">
        <v>892</v>
      </c>
      <c r="E796" s="1">
        <v>13091</v>
      </c>
      <c r="F796" s="1">
        <v>25376</v>
      </c>
      <c r="G796" s="1">
        <v>48.28</v>
      </c>
      <c r="H796" s="150" t="str">
        <f t="shared" si="6"/>
        <v>97910BAG, 5# NATURE'S PROMISE, WKT</v>
      </c>
    </row>
    <row r="797" spans="3:8" x14ac:dyDescent="0.25">
      <c r="C797" s="134" t="s">
        <v>543</v>
      </c>
      <c r="D797" s="125" t="s">
        <v>242</v>
      </c>
      <c r="E797" s="1">
        <v>13025</v>
      </c>
      <c r="F797" s="1">
        <v>25089</v>
      </c>
      <c r="G797" s="1">
        <v>40</v>
      </c>
      <c r="H797" s="150" t="str">
        <f t="shared" si="6"/>
        <v>1351Church Bros 3ct Rom Hrts - BI</v>
      </c>
    </row>
    <row r="798" spans="3:8" x14ac:dyDescent="0.25">
      <c r="C798" s="134" t="s">
        <v>158</v>
      </c>
      <c r="D798" s="125" t="s">
        <v>639</v>
      </c>
      <c r="E798" s="1">
        <v>13132</v>
      </c>
      <c r="F798" s="1">
        <v>25723</v>
      </c>
      <c r="G798" s="1">
        <v>40</v>
      </c>
      <c r="H798" s="150" t="str">
        <f t="shared" si="6"/>
        <v>19800900-01Peak 3ct Rom Zip 22oz (624g)</v>
      </c>
    </row>
    <row r="799" spans="3:8" x14ac:dyDescent="0.25">
      <c r="C799" s="134" t="s">
        <v>859</v>
      </c>
      <c r="D799" s="125" t="s">
        <v>860</v>
      </c>
      <c r="E799" s="1">
        <v>13081</v>
      </c>
      <c r="F799" s="1">
        <v>25326</v>
      </c>
      <c r="G799" s="1">
        <v>21.11</v>
      </c>
      <c r="H799" s="150" t="str">
        <f t="shared" si="6"/>
        <v>4963NOcean Mist 14" Lettuce USA</v>
      </c>
    </row>
    <row r="800" spans="3:8" x14ac:dyDescent="0.25">
      <c r="C800" s="134" t="s">
        <v>897</v>
      </c>
      <c r="D800" s="125" t="s">
        <v>898</v>
      </c>
      <c r="E800" s="1">
        <v>13285</v>
      </c>
      <c r="F800" s="1" t="s">
        <v>896</v>
      </c>
      <c r="G800" s="1">
        <v>24.2</v>
      </c>
      <c r="H800" s="150" t="str">
        <f t="shared" si="6"/>
        <v>C1BFCNOALG-A11lb Bolthouse Fresh Org FS CAN</v>
      </c>
    </row>
    <row r="801" spans="3:8" x14ac:dyDescent="0.25">
      <c r="C801" s="134" t="s">
        <v>824</v>
      </c>
      <c r="D801" s="125" t="s">
        <v>825</v>
      </c>
      <c r="E801" s="1">
        <v>12961</v>
      </c>
      <c r="F801" s="1" t="s">
        <v>899</v>
      </c>
      <c r="G801" s="1">
        <v>44.3</v>
      </c>
      <c r="H801" s="150" t="str">
        <f t="shared" ref="H801:H1031" si="7">_xlfn.CONCAT(C801,D801)</f>
        <v>9801857EBF Org Rom Hrt 6Ct USA</v>
      </c>
    </row>
    <row r="802" spans="3:8" x14ac:dyDescent="0.25">
      <c r="C802" s="131" t="s">
        <v>172</v>
      </c>
      <c r="D802" s="133" t="s">
        <v>760</v>
      </c>
      <c r="E802" s="146">
        <v>12727</v>
      </c>
      <c r="F802" s="131">
        <v>24230</v>
      </c>
      <c r="G802" s="30">
        <v>35.549999999999997</v>
      </c>
      <c r="H802" s="150" t="str">
        <f t="shared" si="7"/>
        <v>5TSSAMSPP5lb TS Sams Perfect Pair Wkt</v>
      </c>
    </row>
    <row r="803" spans="3:8" x14ac:dyDescent="0.25">
      <c r="C803" s="186" t="s">
        <v>897</v>
      </c>
      <c r="D803" s="187" t="s">
        <v>900</v>
      </c>
      <c r="E803" s="163">
        <v>13285</v>
      </c>
      <c r="F803" s="131">
        <v>26133</v>
      </c>
      <c r="G803" s="30">
        <v>24.2</v>
      </c>
      <c r="H803" s="150" t="str">
        <f t="shared" si="7"/>
        <v>C1BFCNOALG-A11LB BOLTHOUSE FRESH ORG FS CAN</v>
      </c>
    </row>
    <row r="804" spans="3:8" x14ac:dyDescent="0.25">
      <c r="C804" s="131" t="s">
        <v>901</v>
      </c>
      <c r="D804" s="133" t="s">
        <v>902</v>
      </c>
      <c r="E804" s="146">
        <v>13256</v>
      </c>
      <c r="F804" s="131">
        <v>26052</v>
      </c>
      <c r="G804" s="30">
        <v>20.27</v>
      </c>
      <c r="H804" s="150" t="str">
        <f t="shared" si="7"/>
        <v>9801866EBF Org Celery Sleeve USA</v>
      </c>
    </row>
    <row r="805" spans="3:8" x14ac:dyDescent="0.25">
      <c r="C805" s="131" t="s">
        <v>543</v>
      </c>
      <c r="D805" s="132" t="s">
        <v>242</v>
      </c>
      <c r="E805" s="163">
        <v>13025</v>
      </c>
      <c r="F805" s="131">
        <v>25089</v>
      </c>
      <c r="G805" s="30">
        <v>40</v>
      </c>
      <c r="H805" s="150" t="str">
        <f t="shared" si="7"/>
        <v>1351Church Bros 3ct Rom Hrts - BI</v>
      </c>
    </row>
    <row r="806" spans="3:8" x14ac:dyDescent="0.25">
      <c r="C806" s="131" t="s">
        <v>606</v>
      </c>
      <c r="D806" s="132" t="s">
        <v>624</v>
      </c>
      <c r="E806" s="146">
        <v>13114</v>
      </c>
      <c r="F806" s="131">
        <v>25526</v>
      </c>
      <c r="G806" s="30">
        <v>72.73</v>
      </c>
      <c r="H806" s="150" t="str">
        <f t="shared" si="7"/>
        <v>9801902TFR COSTCO 6Ct Rom Hrts USA</v>
      </c>
    </row>
    <row r="807" spans="3:8" x14ac:dyDescent="0.25">
      <c r="C807" s="131" t="s">
        <v>494</v>
      </c>
      <c r="D807" s="132" t="s">
        <v>502</v>
      </c>
      <c r="E807" s="146">
        <v>12908</v>
      </c>
      <c r="F807" s="131">
        <v>24785</v>
      </c>
      <c r="G807" s="30">
        <v>17.43</v>
      </c>
      <c r="H807" s="150" t="str">
        <f t="shared" si="7"/>
        <v>55112BAG, 12OZ, GF, MW, TRI PERF'D</v>
      </c>
    </row>
    <row r="808" spans="3:8" x14ac:dyDescent="0.25">
      <c r="C808" s="131" t="s">
        <v>428</v>
      </c>
      <c r="D808" s="132" t="s">
        <v>406</v>
      </c>
      <c r="E808" s="146">
        <v>13144</v>
      </c>
      <c r="F808" s="131">
        <v>25724</v>
      </c>
      <c r="G808" s="30">
        <v>16.5</v>
      </c>
      <c r="H808" s="150" t="str">
        <f t="shared" si="7"/>
        <v>97886-12LB PRESIDENTS CHOICE ORG CAN</v>
      </c>
    </row>
    <row r="809" spans="3:8" x14ac:dyDescent="0.25">
      <c r="C809" s="186" t="s">
        <v>566</v>
      </c>
      <c r="D809" s="187" t="s">
        <v>235</v>
      </c>
      <c r="E809" s="163">
        <v>13019</v>
      </c>
      <c r="F809" s="131">
        <v>25088</v>
      </c>
      <c r="G809" s="30">
        <v>19.239999999999998</v>
      </c>
      <c r="H809" s="150" t="str">
        <f t="shared" si="7"/>
        <v>1314Church Bros Cauliflower</v>
      </c>
    </row>
    <row r="810" spans="3:8" x14ac:dyDescent="0.25">
      <c r="C810" s="186" t="s">
        <v>653</v>
      </c>
      <c r="D810" s="187" t="s">
        <v>654</v>
      </c>
      <c r="E810" s="163">
        <v>13097</v>
      </c>
      <c r="F810" s="131">
        <v>25436</v>
      </c>
      <c r="G810" s="30">
        <v>20.25</v>
      </c>
      <c r="H810" s="150" t="str">
        <f t="shared" si="7"/>
        <v>0921NOcean Mist Cauliflower USA</v>
      </c>
    </row>
    <row r="811" spans="3:8" x14ac:dyDescent="0.25">
      <c r="C811" s="131" t="s">
        <v>901</v>
      </c>
      <c r="D811" s="133" t="s">
        <v>902</v>
      </c>
      <c r="E811" s="146">
        <v>13256</v>
      </c>
      <c r="F811" s="131">
        <v>26052</v>
      </c>
      <c r="G811" s="30">
        <v>20.27</v>
      </c>
      <c r="H811" s="150" t="str">
        <f t="shared" si="7"/>
        <v>9801866EBF Org Celery Sleeve USA</v>
      </c>
    </row>
    <row r="812" spans="3:8" x14ac:dyDescent="0.25">
      <c r="C812" s="131" t="s">
        <v>543</v>
      </c>
      <c r="D812" s="132" t="s">
        <v>242</v>
      </c>
      <c r="E812" s="163">
        <v>13025</v>
      </c>
      <c r="F812" s="131">
        <v>25089</v>
      </c>
      <c r="G812" s="30">
        <v>40</v>
      </c>
      <c r="H812" s="150" t="str">
        <f t="shared" si="7"/>
        <v>1351Church Bros 3ct Rom Hrts - BI</v>
      </c>
    </row>
    <row r="813" spans="3:8" x14ac:dyDescent="0.25">
      <c r="C813" s="131" t="s">
        <v>606</v>
      </c>
      <c r="D813" s="132" t="s">
        <v>624</v>
      </c>
      <c r="E813" s="146">
        <v>13114</v>
      </c>
      <c r="F813" s="131">
        <v>25526</v>
      </c>
      <c r="G813" s="30">
        <v>72.73</v>
      </c>
      <c r="H813" s="150" t="str">
        <f t="shared" si="7"/>
        <v>9801902TFR COSTCO 6Ct Rom Hrts USA</v>
      </c>
    </row>
    <row r="814" spans="3:8" x14ac:dyDescent="0.25">
      <c r="C814" s="131" t="s">
        <v>553</v>
      </c>
      <c r="D814" s="132" t="s">
        <v>251</v>
      </c>
      <c r="E814" s="146">
        <v>13203</v>
      </c>
      <c r="F814" s="131" t="s">
        <v>903</v>
      </c>
      <c r="G814" s="30">
        <v>40</v>
      </c>
      <c r="H814" s="150" t="str">
        <f t="shared" si="7"/>
        <v>4090Wegmans 3ct Romaine Hearts</v>
      </c>
    </row>
    <row r="815" spans="3:8" x14ac:dyDescent="0.25">
      <c r="C815" s="131" t="s">
        <v>832</v>
      </c>
      <c r="D815" s="132" t="s">
        <v>833</v>
      </c>
      <c r="E815" s="146">
        <v>13252</v>
      </c>
      <c r="F815" s="131">
        <v>26050</v>
      </c>
      <c r="G815" s="30">
        <v>38.85</v>
      </c>
      <c r="H815" s="150" t="str">
        <f t="shared" si="7"/>
        <v>9801993TFR COSTCO 5ct Petite Romaine</v>
      </c>
    </row>
    <row r="816" spans="3:8" x14ac:dyDescent="0.25">
      <c r="C816" s="131" t="s">
        <v>512</v>
      </c>
      <c r="D816" s="132" t="s">
        <v>905</v>
      </c>
      <c r="E816" s="146">
        <v>13204</v>
      </c>
      <c r="F816" s="131">
        <v>25984</v>
      </c>
      <c r="G816" s="30">
        <v>22.5</v>
      </c>
      <c r="H816" s="150" t="str">
        <f t="shared" si="7"/>
        <v>0930NOM 3ct Rom Hrt BI - NO ZIP USA</v>
      </c>
    </row>
    <row r="817" spans="3:8" x14ac:dyDescent="0.25">
      <c r="C817" s="131" t="s">
        <v>864</v>
      </c>
      <c r="D817" s="133" t="s">
        <v>906</v>
      </c>
      <c r="E817" s="146">
        <v>13246</v>
      </c>
      <c r="F817" s="131" t="s">
        <v>904</v>
      </c>
      <c r="G817" s="30">
        <v>28.84</v>
      </c>
      <c r="H817" s="150" t="str">
        <f t="shared" si="7"/>
        <v>61791-11NZT&amp;A 3ct Rom Bilin Jumbo NO-ZIP</v>
      </c>
    </row>
    <row r="818" spans="3:8" x14ac:dyDescent="0.25">
      <c r="C818" s="131" t="s">
        <v>606</v>
      </c>
      <c r="D818" s="132" t="s">
        <v>624</v>
      </c>
      <c r="E818" s="146">
        <v>13114</v>
      </c>
      <c r="F818" s="131">
        <v>25526</v>
      </c>
      <c r="G818" s="30">
        <v>72.73</v>
      </c>
      <c r="H818" s="150" t="str">
        <f t="shared" si="7"/>
        <v>9801902TFR COSTCO 6Ct Rom Hrts USA</v>
      </c>
    </row>
    <row r="819" spans="3:8" x14ac:dyDescent="0.25">
      <c r="C819" s="131" t="s">
        <v>553</v>
      </c>
      <c r="D819" s="132" t="s">
        <v>251</v>
      </c>
      <c r="E819" s="146">
        <v>13203</v>
      </c>
      <c r="F819" s="131" t="s">
        <v>903</v>
      </c>
      <c r="G819" s="30">
        <v>40</v>
      </c>
      <c r="H819" s="150" t="str">
        <f t="shared" si="7"/>
        <v>4090Wegmans 3ct Romaine Hearts</v>
      </c>
    </row>
    <row r="820" spans="3:8" x14ac:dyDescent="0.25">
      <c r="C820" s="131" t="s">
        <v>139</v>
      </c>
      <c r="D820" s="132" t="s">
        <v>140</v>
      </c>
      <c r="E820" s="146">
        <v>13228</v>
      </c>
      <c r="F820" s="131">
        <v>25990</v>
      </c>
      <c r="G820" s="30">
        <v>40</v>
      </c>
      <c r="H820" s="150" t="str">
        <f t="shared" si="7"/>
        <v>28370944-01Josie's Rm Hrt 3ct 22oz Bil US</v>
      </c>
    </row>
    <row r="821" spans="3:8" x14ac:dyDescent="0.25">
      <c r="C821" s="131" t="s">
        <v>478</v>
      </c>
      <c r="D821" s="132" t="s">
        <v>479</v>
      </c>
      <c r="E821" s="146">
        <v>13248</v>
      </c>
      <c r="F821" s="131">
        <v>25991</v>
      </c>
      <c r="G821" s="30">
        <v>50.56</v>
      </c>
      <c r="H821" s="150" t="str">
        <f t="shared" si="7"/>
        <v>DMF-01GE ROMAINE HRTS 3CT</v>
      </c>
    </row>
    <row r="822" spans="3:8" x14ac:dyDescent="0.25">
      <c r="C822" s="131" t="s">
        <v>653</v>
      </c>
      <c r="D822" s="132" t="s">
        <v>654</v>
      </c>
      <c r="E822" s="146">
        <v>13097</v>
      </c>
      <c r="F822" s="131">
        <v>25436</v>
      </c>
      <c r="G822" s="30">
        <v>20.25</v>
      </c>
      <c r="H822" s="150" t="str">
        <f t="shared" si="7"/>
        <v>0921NOcean Mist Cauliflower USA</v>
      </c>
    </row>
    <row r="823" spans="3:8" x14ac:dyDescent="0.25">
      <c r="C823" s="131" t="s">
        <v>810</v>
      </c>
      <c r="D823" s="132" t="s">
        <v>811</v>
      </c>
      <c r="E823" s="146">
        <v>13208</v>
      </c>
      <c r="F823" s="131">
        <v>25977</v>
      </c>
      <c r="G823" s="30">
        <v>48.5</v>
      </c>
      <c r="H823" s="150" t="str">
        <f t="shared" si="7"/>
        <v>62033-11Meijer 3ct Artisan Romaine-Zip</v>
      </c>
    </row>
    <row r="824" spans="3:8" x14ac:dyDescent="0.25">
      <c r="C824" s="131" t="s">
        <v>211</v>
      </c>
      <c r="D824" s="132" t="s">
        <v>360</v>
      </c>
      <c r="E824" s="146">
        <v>12880</v>
      </c>
      <c r="F824" s="131">
        <v>24469</v>
      </c>
      <c r="G824" s="30">
        <v>50.66</v>
      </c>
      <c r="H824" s="150" t="str">
        <f t="shared" si="7"/>
        <v>002-40-55010-06Dole 6ct Romaine Hrts 40oz USA</v>
      </c>
    </row>
    <row r="825" spans="3:8" x14ac:dyDescent="0.25">
      <c r="C825" s="131" t="s">
        <v>512</v>
      </c>
      <c r="D825" s="132" t="s">
        <v>905</v>
      </c>
      <c r="E825" s="146">
        <v>13204</v>
      </c>
      <c r="F825" s="131">
        <v>25984</v>
      </c>
      <c r="G825" s="30">
        <v>22.5</v>
      </c>
      <c r="H825" s="150" t="str">
        <f t="shared" si="7"/>
        <v>0930NOM 3ct Rom Hrt BI - NO ZIP USA</v>
      </c>
    </row>
    <row r="826" spans="3:8" x14ac:dyDescent="0.25">
      <c r="C826" s="131" t="s">
        <v>726</v>
      </c>
      <c r="D826" s="133" t="s">
        <v>77</v>
      </c>
      <c r="E826" s="146">
        <v>13276</v>
      </c>
      <c r="F826" s="131">
        <v>26180</v>
      </c>
      <c r="G826" s="30">
        <v>38.5</v>
      </c>
      <c r="H826" s="150" t="str">
        <f t="shared" si="7"/>
        <v>5022Church Bros 2ct Lett-Sams Club</v>
      </c>
    </row>
    <row r="827" spans="3:8" x14ac:dyDescent="0.25">
      <c r="C827" s="131" t="s">
        <v>907</v>
      </c>
      <c r="D827" s="132" t="s">
        <v>908</v>
      </c>
      <c r="E827" s="146">
        <v>13175</v>
      </c>
      <c r="F827" s="131">
        <v>26118</v>
      </c>
      <c r="G827" s="30">
        <v>114.17</v>
      </c>
      <c r="H827" s="150" t="str">
        <f t="shared" si="7"/>
        <v>61579-15T&amp;A 3ct ArtsnSwt Gem-Zp w/Hdl</v>
      </c>
    </row>
    <row r="828" spans="3:8" x14ac:dyDescent="0.25">
      <c r="C828" s="131" t="s">
        <v>139</v>
      </c>
      <c r="D828" s="132" t="s">
        <v>140</v>
      </c>
      <c r="E828" s="146">
        <v>13228</v>
      </c>
      <c r="F828" s="131">
        <v>25990</v>
      </c>
      <c r="G828" s="30">
        <v>40</v>
      </c>
      <c r="H828" s="150" t="str">
        <f t="shared" si="7"/>
        <v>28370944-01Josie's Rm Hrt 3ct 22oz Bil US</v>
      </c>
    </row>
    <row r="829" spans="3:8" x14ac:dyDescent="0.25">
      <c r="C829" s="131" t="s">
        <v>512</v>
      </c>
      <c r="D829" s="132" t="s">
        <v>905</v>
      </c>
      <c r="E829" s="146">
        <v>13204</v>
      </c>
      <c r="F829" s="131">
        <v>25984</v>
      </c>
      <c r="G829" s="30">
        <v>22.5</v>
      </c>
      <c r="H829" s="150" t="str">
        <f t="shared" si="7"/>
        <v>0930NOM 3ct Rom Hrt BI - NO ZIP USA</v>
      </c>
    </row>
    <row r="830" spans="3:8" x14ac:dyDescent="0.25">
      <c r="C830" s="131" t="s">
        <v>531</v>
      </c>
      <c r="D830" s="132" t="s">
        <v>532</v>
      </c>
      <c r="E830" s="146">
        <v>13304</v>
      </c>
      <c r="F830" s="131">
        <v>26269</v>
      </c>
      <c r="G830" s="30">
        <v>58.43</v>
      </c>
      <c r="H830" s="150" t="str">
        <f t="shared" si="7"/>
        <v>40040956SYSCO ROMAINE HEART BAG CLEAR</v>
      </c>
    </row>
    <row r="831" spans="3:8" x14ac:dyDescent="0.25">
      <c r="C831" s="131" t="s">
        <v>910</v>
      </c>
      <c r="D831" s="133" t="s">
        <v>294</v>
      </c>
      <c r="E831" s="146">
        <v>13236</v>
      </c>
      <c r="F831" s="131">
        <v>25996</v>
      </c>
      <c r="G831" s="30">
        <v>21.76</v>
      </c>
      <c r="H831" s="150" t="str">
        <f t="shared" si="7"/>
        <v>9801865 - 783092EBF Org Broccoli Bg USA</v>
      </c>
    </row>
    <row r="832" spans="3:8" x14ac:dyDescent="0.25">
      <c r="C832" s="131" t="s">
        <v>911</v>
      </c>
      <c r="D832" s="133" t="s">
        <v>912</v>
      </c>
      <c r="E832" s="146">
        <v>13234</v>
      </c>
      <c r="F832" s="131">
        <v>25996</v>
      </c>
      <c r="G832" s="1">
        <v>48.28</v>
      </c>
      <c r="H832" s="150" t="str">
        <f t="shared" si="7"/>
        <v>941735LB SAFEWAY O ORG WKT</v>
      </c>
    </row>
    <row r="833" spans="3:8" x14ac:dyDescent="0.25">
      <c r="C833" s="131" t="s">
        <v>606</v>
      </c>
      <c r="D833" s="132" t="s">
        <v>624</v>
      </c>
      <c r="E833" s="146">
        <v>13114</v>
      </c>
      <c r="F833" s="191">
        <v>25526</v>
      </c>
      <c r="G833" s="30">
        <v>72.73</v>
      </c>
      <c r="H833" s="150" t="str">
        <f t="shared" si="7"/>
        <v>9801902TFR COSTCO 6Ct Rom Hrts USA</v>
      </c>
    </row>
    <row r="834" spans="3:8" x14ac:dyDescent="0.25">
      <c r="C834" s="131" t="s">
        <v>162</v>
      </c>
      <c r="D834" s="132" t="s">
        <v>249</v>
      </c>
      <c r="E834" s="146">
        <v>13310</v>
      </c>
      <c r="F834" s="131">
        <v>26327</v>
      </c>
      <c r="G834" s="30">
        <v>40</v>
      </c>
      <c r="H834" s="150" t="str">
        <f t="shared" si="7"/>
        <v>002-40-55045-00LIDL 3CT ROMAINE HEARTS USA</v>
      </c>
    </row>
    <row r="835" spans="3:8" x14ac:dyDescent="0.25">
      <c r="C835" s="131" t="s">
        <v>543</v>
      </c>
      <c r="D835" s="132" t="s">
        <v>242</v>
      </c>
      <c r="E835" s="146">
        <v>13272</v>
      </c>
      <c r="F835" s="131" t="s">
        <v>909</v>
      </c>
      <c r="G835" s="30">
        <v>40</v>
      </c>
      <c r="H835" s="150" t="str">
        <f t="shared" si="7"/>
        <v>1351Church Bros 3ct Rom Hrts - BI</v>
      </c>
    </row>
    <row r="836" spans="3:8" x14ac:dyDescent="0.25">
      <c r="C836" s="131" t="s">
        <v>480</v>
      </c>
      <c r="D836" s="132" t="s">
        <v>744</v>
      </c>
      <c r="E836" s="163">
        <v>13196</v>
      </c>
      <c r="F836" s="192">
        <v>25976</v>
      </c>
      <c r="G836" s="192">
        <v>70.08</v>
      </c>
      <c r="H836" s="150" t="str">
        <f t="shared" si="7"/>
        <v>59953BAG, 10#, GF, HP</v>
      </c>
    </row>
    <row r="837" spans="3:8" x14ac:dyDescent="0.25">
      <c r="C837" s="131" t="s">
        <v>172</v>
      </c>
      <c r="D837" s="133" t="s">
        <v>760</v>
      </c>
      <c r="E837" s="193">
        <v>12727</v>
      </c>
      <c r="F837" s="192">
        <v>24230</v>
      </c>
      <c r="G837" s="192">
        <v>35.549999999999997</v>
      </c>
      <c r="H837" s="150" t="str">
        <f t="shared" si="7"/>
        <v>5TSSAMSPP5lb TS Sams Perfect Pair Wkt</v>
      </c>
    </row>
    <row r="838" spans="3:8" x14ac:dyDescent="0.25">
      <c r="C838" s="131" t="s">
        <v>214</v>
      </c>
      <c r="D838" s="133" t="s">
        <v>913</v>
      </c>
      <c r="E838" s="163">
        <v>13298</v>
      </c>
      <c r="F838" s="192">
        <v>26314</v>
      </c>
      <c r="G838" s="192">
        <v>31.71</v>
      </c>
      <c r="H838" s="150" t="str">
        <f t="shared" si="7"/>
        <v>5ANWKT5lb ALL Natural Organic Carrot</v>
      </c>
    </row>
    <row r="839" spans="3:8" x14ac:dyDescent="0.25">
      <c r="C839" s="131" t="s">
        <v>914</v>
      </c>
      <c r="D839" s="132" t="s">
        <v>915</v>
      </c>
      <c r="E839" s="163">
        <v>13162</v>
      </c>
      <c r="F839" s="192">
        <v>25831</v>
      </c>
      <c r="G839" s="192">
        <v>68.52</v>
      </c>
      <c r="H839" s="150" t="str">
        <f t="shared" si="7"/>
        <v>3000008695LB MIXED BERRIES DOLE</v>
      </c>
    </row>
    <row r="840" spans="3:8" x14ac:dyDescent="0.25">
      <c r="C840" s="131" t="s">
        <v>785</v>
      </c>
      <c r="D840" s="132" t="s">
        <v>786</v>
      </c>
      <c r="E840" s="163">
        <v>13163</v>
      </c>
      <c r="F840" s="192">
        <v>25972</v>
      </c>
      <c r="G840" s="192">
        <v>64.819999999999993</v>
      </c>
      <c r="H840" s="150" t="str">
        <f t="shared" si="7"/>
        <v>3000015805LB SL STRAWBERRIES DOLE</v>
      </c>
    </row>
    <row r="841" spans="3:8" x14ac:dyDescent="0.25">
      <c r="C841" s="131" t="s">
        <v>916</v>
      </c>
      <c r="D841" s="132" t="s">
        <v>917</v>
      </c>
      <c r="E841" s="163">
        <v>13164</v>
      </c>
      <c r="F841" s="192">
        <v>25973</v>
      </c>
      <c r="G841" s="192">
        <v>66.09</v>
      </c>
      <c r="H841" s="150" t="str">
        <f t="shared" si="7"/>
        <v>3000017545lb CR DOLE PINEAPPLE CUBED</v>
      </c>
    </row>
    <row r="842" spans="3:8" x14ac:dyDescent="0.25">
      <c r="C842" s="131" t="s">
        <v>505</v>
      </c>
      <c r="D842" s="132" t="s">
        <v>506</v>
      </c>
      <c r="E842" s="163">
        <v>13165</v>
      </c>
      <c r="F842" s="192">
        <v>25982</v>
      </c>
      <c r="G842" s="192">
        <v>62.71</v>
      </c>
      <c r="H842" s="150" t="str">
        <f t="shared" si="7"/>
        <v>3000017835LB SLICED PEACHES FROZEN</v>
      </c>
    </row>
    <row r="843" spans="3:8" x14ac:dyDescent="0.25">
      <c r="C843" s="131" t="s">
        <v>918</v>
      </c>
      <c r="D843" s="132" t="s">
        <v>919</v>
      </c>
      <c r="E843" s="163">
        <v>13172</v>
      </c>
      <c r="F843" s="194">
        <v>25975</v>
      </c>
      <c r="G843" s="192">
        <v>10.77</v>
      </c>
      <c r="H843" s="150" t="str">
        <f t="shared" si="7"/>
        <v>3000022687oz Protein Kick Inner Inner</v>
      </c>
    </row>
    <row r="844" spans="3:8" x14ac:dyDescent="0.25">
      <c r="C844" s="131" t="s">
        <v>627</v>
      </c>
      <c r="D844" s="132" t="s">
        <v>628</v>
      </c>
      <c r="E844" s="163">
        <v>13229</v>
      </c>
      <c r="F844" s="194">
        <v>26051</v>
      </c>
      <c r="G844" s="192">
        <v>15.04</v>
      </c>
      <c r="H844" s="150" t="str">
        <f t="shared" si="7"/>
        <v>150267BAG, 1#, OUR FAMILY, RS</v>
      </c>
    </row>
    <row r="845" spans="3:8" x14ac:dyDescent="0.25">
      <c r="C845" s="131" t="s">
        <v>885</v>
      </c>
      <c r="D845" s="132" t="s">
        <v>886</v>
      </c>
      <c r="E845" s="163">
        <v>13284</v>
      </c>
      <c r="F845" s="131">
        <v>26199</v>
      </c>
      <c r="G845" s="30">
        <v>62.27</v>
      </c>
      <c r="H845" s="150" t="str">
        <f t="shared" si="7"/>
        <v>3000009105LB WH STRAWBERRIES DOLE</v>
      </c>
    </row>
    <row r="846" spans="3:8" x14ac:dyDescent="0.25">
      <c r="C846" s="131" t="s">
        <v>911</v>
      </c>
      <c r="D846" s="133" t="s">
        <v>912</v>
      </c>
      <c r="E846" s="163">
        <v>13234</v>
      </c>
      <c r="F846" s="131">
        <v>26054</v>
      </c>
      <c r="G846" s="30">
        <v>48.28</v>
      </c>
      <c r="H846" s="150" t="str">
        <f t="shared" si="7"/>
        <v>941735LB SAFEWAY O ORG WKT</v>
      </c>
    </row>
    <row r="847" spans="3:8" x14ac:dyDescent="0.25">
      <c r="C847" s="134" t="s">
        <v>920</v>
      </c>
      <c r="D847" s="149" t="s">
        <v>825</v>
      </c>
      <c r="E847" s="146">
        <v>13294</v>
      </c>
      <c r="F847" s="131">
        <v>26183</v>
      </c>
      <c r="G847" s="30">
        <v>44.3</v>
      </c>
      <c r="H847" s="150" t="str">
        <f t="shared" si="7"/>
        <v>9801857 - 783084EBF Org Rom Hrt 6Ct USA</v>
      </c>
    </row>
    <row r="848" spans="3:8" x14ac:dyDescent="0.25">
      <c r="C848" s="134" t="s">
        <v>531</v>
      </c>
      <c r="D848" s="149" t="s">
        <v>532</v>
      </c>
      <c r="E848" s="146">
        <v>13304</v>
      </c>
      <c r="F848" s="131">
        <v>26269</v>
      </c>
      <c r="G848" s="30">
        <v>58.43</v>
      </c>
      <c r="H848" s="150" t="str">
        <f t="shared" si="7"/>
        <v>40040956SYSCO ROMAINE HEART BAG CLEAR</v>
      </c>
    </row>
    <row r="849" spans="3:8" x14ac:dyDescent="0.25">
      <c r="C849" s="134" t="s">
        <v>135</v>
      </c>
      <c r="D849" s="149" t="s">
        <v>831</v>
      </c>
      <c r="E849" s="146">
        <v>13250</v>
      </c>
      <c r="F849" s="131">
        <v>26048</v>
      </c>
      <c r="G849" s="30">
        <v>75.25</v>
      </c>
      <c r="H849" s="150" t="str">
        <f t="shared" si="7"/>
        <v>61977-12KROGER Artisan Baby Iceberg</v>
      </c>
    </row>
    <row r="850" spans="3:8" x14ac:dyDescent="0.25">
      <c r="C850" s="131" t="s">
        <v>813</v>
      </c>
      <c r="D850" s="132" t="s">
        <v>814</v>
      </c>
      <c r="E850" s="163">
        <v>13306</v>
      </c>
      <c r="F850" s="131">
        <v>26436</v>
      </c>
      <c r="G850" s="30">
        <v>26.99</v>
      </c>
      <c r="H850" s="150" t="str">
        <f t="shared" si="7"/>
        <v>B-86FRBosko Bilingual Green Onion</v>
      </c>
    </row>
    <row r="851" spans="3:8" x14ac:dyDescent="0.25">
      <c r="C851" s="131" t="s">
        <v>897</v>
      </c>
      <c r="D851" s="133" t="s">
        <v>900</v>
      </c>
      <c r="E851" s="193">
        <v>13285</v>
      </c>
      <c r="F851" s="131">
        <v>26133</v>
      </c>
      <c r="G851" s="30">
        <v>24.2</v>
      </c>
      <c r="H851" s="150" t="str">
        <f t="shared" si="7"/>
        <v>C1BFCNOALG-A11LB BOLTHOUSE FRESH ORG FS CAN</v>
      </c>
    </row>
    <row r="852" spans="3:8" x14ac:dyDescent="0.25">
      <c r="C852" s="131">
        <v>300002360</v>
      </c>
      <c r="D852" s="133" t="s">
        <v>717</v>
      </c>
      <c r="E852" s="163">
        <v>13160</v>
      </c>
      <c r="F852" s="131">
        <v>25825</v>
      </c>
      <c r="G852" s="30">
        <v>48.64</v>
      </c>
      <c r="H852" s="150" t="str">
        <f t="shared" si="7"/>
        <v>300002360POLY 48OZ GIANT EAGLE TRIPLE B</v>
      </c>
    </row>
    <row r="853" spans="3:8" x14ac:dyDescent="0.25">
      <c r="C853" s="131">
        <v>300001783</v>
      </c>
      <c r="D853" s="132" t="s">
        <v>506</v>
      </c>
      <c r="E853" s="163">
        <v>13165</v>
      </c>
      <c r="F853" s="131">
        <v>25982</v>
      </c>
      <c r="G853" s="30">
        <v>62.71</v>
      </c>
      <c r="H853" s="150" t="str">
        <f t="shared" si="7"/>
        <v>3000017835LB SLICED PEACHES FROZEN</v>
      </c>
    </row>
    <row r="854" spans="3:8" x14ac:dyDescent="0.25">
      <c r="C854" s="131">
        <v>300002358</v>
      </c>
      <c r="D854" s="132" t="s">
        <v>695</v>
      </c>
      <c r="E854" s="163">
        <v>13282</v>
      </c>
      <c r="F854" s="131">
        <v>26326</v>
      </c>
      <c r="G854" s="30">
        <v>48.64</v>
      </c>
      <c r="H854" s="150" t="str">
        <f t="shared" si="7"/>
        <v>300002358POLY 48OZ GIANT EAGLE SL STRAW</v>
      </c>
    </row>
    <row r="855" spans="3:8" x14ac:dyDescent="0.25">
      <c r="C855" s="131">
        <v>300002357</v>
      </c>
      <c r="D855" s="132" t="s">
        <v>921</v>
      </c>
      <c r="E855" s="163">
        <v>13283</v>
      </c>
      <c r="F855" s="131">
        <v>26196</v>
      </c>
      <c r="G855" s="30">
        <v>48.64</v>
      </c>
      <c r="H855" s="150" t="str">
        <f t="shared" si="7"/>
        <v>300002357POLY 48OZ GIANT EAGLE MIXED FR</v>
      </c>
    </row>
    <row r="856" spans="3:8" x14ac:dyDescent="0.25">
      <c r="C856" s="131">
        <v>300002271</v>
      </c>
      <c r="D856" s="132" t="s">
        <v>922</v>
      </c>
      <c r="E856" s="163">
        <v>13292</v>
      </c>
      <c r="F856" s="131">
        <v>26322</v>
      </c>
      <c r="G856" s="30">
        <v>10.44</v>
      </c>
      <c r="H856" s="150" t="str">
        <f t="shared" si="7"/>
        <v>3000022717oz Banana,MangoBerry Inner</v>
      </c>
    </row>
    <row r="857" spans="3:8" x14ac:dyDescent="0.25">
      <c r="C857" s="131">
        <v>300000728</v>
      </c>
      <c r="D857" s="132" t="s">
        <v>837</v>
      </c>
      <c r="E857" s="163">
        <v>13281</v>
      </c>
      <c r="F857" s="131">
        <v>26198</v>
      </c>
      <c r="G857" s="30">
        <v>10.32</v>
      </c>
      <c r="H857" s="150" t="str">
        <f t="shared" si="7"/>
        <v>3000007288OZ DOLE SLICED STRWBRY/BANANA</v>
      </c>
    </row>
    <row r="858" spans="3:8" x14ac:dyDescent="0.25">
      <c r="C858" s="131" t="s">
        <v>923</v>
      </c>
      <c r="D858" s="132" t="s">
        <v>924</v>
      </c>
      <c r="E858" s="163">
        <v>13266</v>
      </c>
      <c r="F858" s="131">
        <v>26368</v>
      </c>
      <c r="G858" s="30">
        <v>26.18</v>
      </c>
      <c r="H858" s="150" t="str">
        <f t="shared" si="7"/>
        <v>002-40-55046-00DOLE 3CT ROM HEART USA NO-ZIP</v>
      </c>
    </row>
    <row r="859" spans="3:8" x14ac:dyDescent="0.25">
      <c r="C859" s="131" t="s">
        <v>925</v>
      </c>
      <c r="D859" s="133" t="s">
        <v>743</v>
      </c>
      <c r="E859" s="193">
        <v>13287</v>
      </c>
      <c r="F859" s="131">
        <v>26182</v>
      </c>
      <c r="G859" s="30">
        <v>33.42</v>
      </c>
      <c r="H859" s="150" t="str">
        <f t="shared" si="7"/>
        <v>9801905 - 783916TFR 2ct Iceberg Lett USA GREEN</v>
      </c>
    </row>
    <row r="860" spans="3:8" x14ac:dyDescent="0.25">
      <c r="C860" s="131" t="s">
        <v>139</v>
      </c>
      <c r="D860" s="133" t="s">
        <v>140</v>
      </c>
      <c r="E860" s="163">
        <v>13228</v>
      </c>
      <c r="F860" s="131">
        <v>25990</v>
      </c>
      <c r="G860" s="30">
        <v>40</v>
      </c>
      <c r="H860" s="150" t="str">
        <f t="shared" si="7"/>
        <v>28370944-01Josie's Rm Hrt 3ct 22oz Bil US</v>
      </c>
    </row>
    <row r="861" spans="3:8" x14ac:dyDescent="0.25">
      <c r="C861" s="131" t="s">
        <v>907</v>
      </c>
      <c r="D861" s="132" t="s">
        <v>908</v>
      </c>
      <c r="E861" s="163">
        <v>13175</v>
      </c>
      <c r="F861" s="131">
        <v>26118</v>
      </c>
      <c r="G861" s="30">
        <v>114.17</v>
      </c>
      <c r="H861" s="150" t="str">
        <f t="shared" si="7"/>
        <v>61579-15T&amp;A 3ct ArtsnSwt Gem-Zp w/Hdl</v>
      </c>
    </row>
    <row r="862" spans="3:8" x14ac:dyDescent="0.25">
      <c r="C862" s="131">
        <v>1351</v>
      </c>
      <c r="D862" s="132" t="s">
        <v>242</v>
      </c>
      <c r="E862" s="163">
        <v>13272</v>
      </c>
      <c r="F862" s="131">
        <v>26179</v>
      </c>
      <c r="G862" s="30">
        <v>40</v>
      </c>
      <c r="H862" s="150" t="str">
        <f t="shared" si="7"/>
        <v>1351Church Bros 3ct Rom Hrts - BI</v>
      </c>
    </row>
    <row r="863" spans="3:8" x14ac:dyDescent="0.25">
      <c r="C863" s="131" t="s">
        <v>211</v>
      </c>
      <c r="D863" s="132" t="s">
        <v>360</v>
      </c>
      <c r="E863" s="163">
        <v>12880</v>
      </c>
      <c r="F863" s="131">
        <v>24469</v>
      </c>
      <c r="G863" s="30">
        <v>50.66</v>
      </c>
      <c r="H863" s="150" t="str">
        <f t="shared" si="7"/>
        <v>002-40-55010-06Dole 6ct Romaine Hrts 40oz USA</v>
      </c>
    </row>
    <row r="864" spans="3:8" x14ac:dyDescent="0.25">
      <c r="C864" s="131" t="s">
        <v>158</v>
      </c>
      <c r="D864" s="132" t="s">
        <v>639</v>
      </c>
      <c r="E864" s="163">
        <v>13360</v>
      </c>
      <c r="F864" s="131">
        <v>26462</v>
      </c>
      <c r="G864" s="30">
        <v>40</v>
      </c>
      <c r="H864" s="150" t="str">
        <f t="shared" si="7"/>
        <v>19800900-01Peak 3ct Rom Zip 22oz (624g)</v>
      </c>
    </row>
    <row r="865" spans="3:8" x14ac:dyDescent="0.25">
      <c r="C865" s="131" t="s">
        <v>84</v>
      </c>
      <c r="D865" s="133" t="s">
        <v>144</v>
      </c>
      <c r="E865" s="163">
        <v>12697</v>
      </c>
      <c r="F865" s="131" t="s">
        <v>680</v>
      </c>
      <c r="G865" s="30">
        <v>31.41</v>
      </c>
      <c r="H865" s="150" t="str">
        <f t="shared" si="7"/>
        <v>61245-12TJ's 2ct Celery HRTS-ZIP</v>
      </c>
    </row>
    <row r="866" spans="3:8" x14ac:dyDescent="0.25">
      <c r="C866" s="131" t="s">
        <v>543</v>
      </c>
      <c r="D866" s="132" t="s">
        <v>242</v>
      </c>
      <c r="E866" s="163">
        <v>13272</v>
      </c>
      <c r="F866" s="131">
        <v>26179</v>
      </c>
      <c r="G866" s="30">
        <v>40</v>
      </c>
      <c r="H866" s="150" t="str">
        <f t="shared" si="7"/>
        <v>1351Church Bros 3ct Rom Hrts - BI</v>
      </c>
    </row>
    <row r="867" spans="3:8" x14ac:dyDescent="0.25">
      <c r="C867" s="131" t="s">
        <v>866</v>
      </c>
      <c r="D867" s="133" t="s">
        <v>867</v>
      </c>
      <c r="E867" s="163">
        <v>13381</v>
      </c>
      <c r="F867" s="131" t="s">
        <v>926</v>
      </c>
      <c r="G867" s="30">
        <v>46.85</v>
      </c>
      <c r="H867" s="150" t="str">
        <f t="shared" si="7"/>
        <v>C5BFCNOLA-A15LB BOLTHOUSE FRESH FS BILING</v>
      </c>
    </row>
    <row r="868" spans="3:8" x14ac:dyDescent="0.25">
      <c r="C868" s="131" t="s">
        <v>925</v>
      </c>
      <c r="D868" s="133" t="s">
        <v>743</v>
      </c>
      <c r="E868" s="163">
        <v>13287</v>
      </c>
      <c r="F868" s="131">
        <v>26182</v>
      </c>
      <c r="G868" s="30">
        <v>33.42</v>
      </c>
      <c r="H868" s="150" t="str">
        <f t="shared" si="7"/>
        <v>9801905 - 783916TFR 2ct Iceberg Lett USA GREEN</v>
      </c>
    </row>
    <row r="869" spans="3:8" x14ac:dyDescent="0.25">
      <c r="C869" s="131" t="s">
        <v>813</v>
      </c>
      <c r="D869" s="132" t="s">
        <v>814</v>
      </c>
      <c r="E869" s="146">
        <v>13306</v>
      </c>
      <c r="F869" s="131">
        <v>26436</v>
      </c>
      <c r="G869" s="30">
        <v>26.99</v>
      </c>
      <c r="H869" s="150" t="str">
        <f t="shared" si="7"/>
        <v>B-86FRBosko Bilingual Green Onion</v>
      </c>
    </row>
    <row r="870" spans="3:8" x14ac:dyDescent="0.25">
      <c r="C870" s="131" t="s">
        <v>929</v>
      </c>
      <c r="D870" s="132" t="s">
        <v>619</v>
      </c>
      <c r="E870" s="146">
        <v>13364</v>
      </c>
      <c r="F870" s="131" t="s">
        <v>927</v>
      </c>
      <c r="G870" s="30">
        <v>48.26</v>
      </c>
      <c r="H870" s="150" t="str">
        <f t="shared" si="7"/>
        <v>9801906 - 783917TFR 6ct Romaine USA PURPLE</v>
      </c>
    </row>
    <row r="871" spans="3:8" x14ac:dyDescent="0.25">
      <c r="C871" s="131" t="s">
        <v>910</v>
      </c>
      <c r="D871" s="133" t="s">
        <v>294</v>
      </c>
      <c r="E871" s="146">
        <v>13236</v>
      </c>
      <c r="F871" s="131">
        <v>25996</v>
      </c>
      <c r="G871" s="30">
        <v>21.76</v>
      </c>
      <c r="H871" s="150" t="str">
        <f t="shared" si="7"/>
        <v>9801865 - 783092EBF Org Broccoli Bg USA</v>
      </c>
    </row>
    <row r="872" spans="3:8" x14ac:dyDescent="0.25">
      <c r="C872" s="131" t="s">
        <v>864</v>
      </c>
      <c r="D872" s="133" t="s">
        <v>906</v>
      </c>
      <c r="E872" s="146">
        <v>13359</v>
      </c>
      <c r="F872" s="131">
        <v>26460</v>
      </c>
      <c r="G872" s="30">
        <v>28.84</v>
      </c>
      <c r="H872" s="150" t="str">
        <f t="shared" si="7"/>
        <v>61791-11NZT&amp;A 3ct Rom Bilin Jumbo NO-ZIP</v>
      </c>
    </row>
    <row r="873" spans="3:8" x14ac:dyDescent="0.25">
      <c r="C873" s="131" t="s">
        <v>907</v>
      </c>
      <c r="D873" s="132" t="s">
        <v>908</v>
      </c>
      <c r="E873" s="146">
        <v>13175</v>
      </c>
      <c r="F873" s="131">
        <v>26118</v>
      </c>
      <c r="G873" s="30">
        <v>114.17</v>
      </c>
      <c r="H873" s="150" t="str">
        <f t="shared" si="7"/>
        <v>61579-15T&amp;A 3ct ArtsnSwt Gem-Zp w/Hdl</v>
      </c>
    </row>
    <row r="874" spans="3:8" x14ac:dyDescent="0.25">
      <c r="C874" s="131" t="s">
        <v>438</v>
      </c>
      <c r="D874" s="132" t="s">
        <v>498</v>
      </c>
      <c r="E874" s="146">
        <v>13369</v>
      </c>
      <c r="F874" s="131" t="s">
        <v>928</v>
      </c>
      <c r="G874" s="30">
        <v>40</v>
      </c>
      <c r="H874" s="150" t="str">
        <f t="shared" si="7"/>
        <v>0932OM Good&amp;Gather 3ct Rom Hrts US</v>
      </c>
    </row>
    <row r="875" spans="3:8" x14ac:dyDescent="0.25">
      <c r="C875" s="131" t="s">
        <v>929</v>
      </c>
      <c r="D875" s="132" t="s">
        <v>619</v>
      </c>
      <c r="E875" s="146">
        <v>13364</v>
      </c>
      <c r="F875" s="131">
        <v>26555</v>
      </c>
      <c r="G875" s="30">
        <v>48.26</v>
      </c>
      <c r="H875" s="150" t="str">
        <f t="shared" si="7"/>
        <v>9801906 - 783917TFR 6ct Romaine USA PURPLE</v>
      </c>
    </row>
    <row r="876" spans="3:8" x14ac:dyDescent="0.25">
      <c r="C876" s="131" t="s">
        <v>602</v>
      </c>
      <c r="D876" s="133" t="s">
        <v>603</v>
      </c>
      <c r="E876" s="146">
        <v>13390</v>
      </c>
      <c r="F876" s="131">
        <v>26629</v>
      </c>
      <c r="G876" s="30">
        <v>35.549999999999997</v>
      </c>
      <c r="H876" s="150" t="str">
        <f t="shared" si="7"/>
        <v>5CALOSBPW-15lb Cal O Sunburst Poly Wicket</v>
      </c>
    </row>
    <row r="877" spans="3:8" x14ac:dyDescent="0.25">
      <c r="C877" s="131" t="s">
        <v>866</v>
      </c>
      <c r="D877" s="133" t="s">
        <v>867</v>
      </c>
      <c r="E877" s="146">
        <v>13381</v>
      </c>
      <c r="F877" s="131">
        <v>26628</v>
      </c>
      <c r="G877" s="30">
        <v>46.85</v>
      </c>
      <c r="H877" s="150" t="str">
        <f t="shared" si="7"/>
        <v>C5BFCNOLA-A15LB BOLTHOUSE FRESH FS BILING</v>
      </c>
    </row>
    <row r="878" spans="3:8" x14ac:dyDescent="0.25">
      <c r="C878" s="131" t="s">
        <v>543</v>
      </c>
      <c r="D878" s="132" t="s">
        <v>242</v>
      </c>
      <c r="E878" s="146">
        <v>13272</v>
      </c>
      <c r="F878" s="131">
        <v>26179</v>
      </c>
      <c r="G878" s="30">
        <v>40</v>
      </c>
      <c r="H878" s="150" t="str">
        <f t="shared" si="7"/>
        <v>1351Church Bros 3ct Rom Hrts - BI</v>
      </c>
    </row>
    <row r="879" spans="3:8" x14ac:dyDescent="0.25">
      <c r="C879" s="131" t="s">
        <v>158</v>
      </c>
      <c r="D879" s="132" t="s">
        <v>639</v>
      </c>
      <c r="E879" s="146">
        <v>13360</v>
      </c>
      <c r="F879" s="131">
        <v>26462</v>
      </c>
      <c r="G879" s="30">
        <v>40</v>
      </c>
      <c r="H879" s="150" t="str">
        <f t="shared" si="7"/>
        <v>19800900-01Peak 3ct Rom Zip 22oz (624g)</v>
      </c>
    </row>
    <row r="880" spans="3:8" x14ac:dyDescent="0.25">
      <c r="C880" s="131" t="s">
        <v>438</v>
      </c>
      <c r="D880" s="132" t="s">
        <v>498</v>
      </c>
      <c r="E880" s="146">
        <v>13369</v>
      </c>
      <c r="F880" s="131">
        <v>26554</v>
      </c>
      <c r="G880" s="30">
        <v>40</v>
      </c>
      <c r="H880" s="150" t="str">
        <f t="shared" si="7"/>
        <v>0932OM Good&amp;Gather 3ct Rom Hrts US</v>
      </c>
    </row>
    <row r="881" spans="3:8" x14ac:dyDescent="0.25">
      <c r="C881" s="131" t="s">
        <v>473</v>
      </c>
      <c r="D881" s="133" t="s">
        <v>474</v>
      </c>
      <c r="E881" s="195">
        <v>13348</v>
      </c>
      <c r="F881" s="131">
        <v>26552</v>
      </c>
      <c r="G881" s="30">
        <v>20.67</v>
      </c>
      <c r="H881" s="150" t="str">
        <f t="shared" si="7"/>
        <v>61559-16ALDIS Broccoli Crowns-ANTIFOG</v>
      </c>
    </row>
    <row r="882" spans="3:8" x14ac:dyDescent="0.25">
      <c r="C882" s="131" t="s">
        <v>426</v>
      </c>
      <c r="D882" s="132" t="s">
        <v>403</v>
      </c>
      <c r="E882" s="195">
        <v>13339</v>
      </c>
      <c r="F882" s="131">
        <v>26551</v>
      </c>
      <c r="G882" s="30">
        <v>94.77</v>
      </c>
      <c r="H882" s="150" t="str">
        <f t="shared" si="7"/>
        <v>61955-11GIANT EAGLE 2Ct Atsn Rom SUP</v>
      </c>
    </row>
    <row r="883" spans="3:8" x14ac:dyDescent="0.25">
      <c r="C883" s="131" t="s">
        <v>930</v>
      </c>
      <c r="D883" s="132" t="s">
        <v>931</v>
      </c>
      <c r="E883" s="195">
        <v>12955</v>
      </c>
      <c r="F883" s="131">
        <v>25073</v>
      </c>
      <c r="G883" s="30">
        <v>17.36</v>
      </c>
      <c r="H883" s="150" t="str">
        <f t="shared" si="7"/>
        <v>S2BFT-A12LB BOLTHOUSE FRESH TZIP RS</v>
      </c>
    </row>
    <row r="884" spans="3:8" x14ac:dyDescent="0.25">
      <c r="C884" s="131" t="s">
        <v>779</v>
      </c>
      <c r="D884" s="132" t="s">
        <v>780</v>
      </c>
      <c r="E884" s="195">
        <v>13356</v>
      </c>
      <c r="F884" s="131">
        <v>26458</v>
      </c>
      <c r="G884" s="30">
        <v>19.260000000000002</v>
      </c>
      <c r="H884" s="150" t="str">
        <f t="shared" si="7"/>
        <v>S0110HEBOFLW-A25-2.25oz HEB ORG SNACK FLW WRP</v>
      </c>
    </row>
    <row r="885" spans="3:8" x14ac:dyDescent="0.25">
      <c r="C885" s="131" t="s">
        <v>932</v>
      </c>
      <c r="D885" s="132" t="s">
        <v>624</v>
      </c>
      <c r="E885" s="195">
        <v>13317</v>
      </c>
      <c r="F885" s="131">
        <v>26437</v>
      </c>
      <c r="G885" s="30">
        <v>72.73</v>
      </c>
      <c r="H885" s="150" t="str">
        <f t="shared" si="7"/>
        <v>9801902 - 783913TFR COSTCO 6Ct Rom Hrts USA</v>
      </c>
    </row>
    <row r="886" spans="3:8" x14ac:dyDescent="0.25">
      <c r="C886" s="131" t="s">
        <v>137</v>
      </c>
      <c r="D886" s="132" t="s">
        <v>410</v>
      </c>
      <c r="E886" s="146">
        <v>13460</v>
      </c>
      <c r="F886" s="131">
        <v>26837</v>
      </c>
      <c r="G886" s="30">
        <v>40</v>
      </c>
      <c r="H886" s="150" t="str">
        <f t="shared" si="7"/>
        <v>61370-17T&amp;A 3CT JUMBO ROMAINE SHORT</v>
      </c>
    </row>
    <row r="887" spans="3:8" x14ac:dyDescent="0.25">
      <c r="C887" s="131" t="s">
        <v>934</v>
      </c>
      <c r="D887" s="132" t="s">
        <v>935</v>
      </c>
      <c r="E887" s="146">
        <v>13365</v>
      </c>
      <c r="F887" s="131" t="s">
        <v>933</v>
      </c>
      <c r="G887" s="30">
        <v>40</v>
      </c>
      <c r="H887" s="150" t="str">
        <f t="shared" si="7"/>
        <v>14010912-00WEIS 3Ct Romaine Hearts</v>
      </c>
    </row>
    <row r="888" spans="3:8" x14ac:dyDescent="0.25">
      <c r="C888" s="131" t="s">
        <v>929</v>
      </c>
      <c r="D888" s="132" t="s">
        <v>619</v>
      </c>
      <c r="E888" s="163">
        <v>13364</v>
      </c>
      <c r="F888" s="131">
        <v>26555</v>
      </c>
      <c r="G888" s="30">
        <v>48.26</v>
      </c>
      <c r="H888" s="150" t="str">
        <f t="shared" si="7"/>
        <v>9801906 - 783917TFR 6ct Romaine USA PURPLE</v>
      </c>
    </row>
    <row r="889" spans="3:8" x14ac:dyDescent="0.25">
      <c r="C889" s="131" t="s">
        <v>936</v>
      </c>
      <c r="D889" s="133" t="s">
        <v>819</v>
      </c>
      <c r="E889" s="146">
        <v>13435</v>
      </c>
      <c r="F889" s="131">
        <v>26780</v>
      </c>
      <c r="G889" s="30">
        <v>27.35</v>
      </c>
      <c r="H889" s="150" t="str">
        <f t="shared" si="7"/>
        <v>62036 / 61494-16NZTA 3ct Jmbo Rom Long USA No Zp</v>
      </c>
    </row>
    <row r="890" spans="3:8" x14ac:dyDescent="0.25">
      <c r="C890" s="131" t="s">
        <v>937</v>
      </c>
      <c r="D890" s="132" t="s">
        <v>138</v>
      </c>
      <c r="E890" s="163">
        <v>13460</v>
      </c>
      <c r="F890" s="131">
        <v>26837</v>
      </c>
      <c r="G890" s="30">
        <v>40</v>
      </c>
      <c r="H890" s="150" t="str">
        <f t="shared" si="7"/>
        <v>61370-17_OT&amp;A 3Ct Jumbo Romaine SHORT</v>
      </c>
    </row>
    <row r="891" spans="3:8" x14ac:dyDescent="0.25">
      <c r="C891" s="131" t="s">
        <v>938</v>
      </c>
      <c r="D891" s="132" t="s">
        <v>704</v>
      </c>
      <c r="E891" s="163">
        <v>13361</v>
      </c>
      <c r="F891" s="131">
        <v>26627</v>
      </c>
      <c r="G891" s="30">
        <v>40</v>
      </c>
      <c r="H891" s="150" t="str">
        <f t="shared" si="7"/>
        <v>9801900 - 783911TJ 3ct Org Rom Heart Bag - USA</v>
      </c>
    </row>
    <row r="892" spans="3:8" x14ac:dyDescent="0.25">
      <c r="C892" s="131" t="s">
        <v>936</v>
      </c>
      <c r="D892" s="133" t="s">
        <v>819</v>
      </c>
      <c r="E892" s="146">
        <v>13435</v>
      </c>
      <c r="F892" s="131">
        <v>26780</v>
      </c>
      <c r="G892" s="30">
        <v>27.35</v>
      </c>
      <c r="H892" s="150" t="str">
        <f t="shared" si="7"/>
        <v>62036 / 61494-16NZTA 3ct Jmbo Rom Long USA No Zp</v>
      </c>
    </row>
    <row r="893" spans="3:8" x14ac:dyDescent="0.25">
      <c r="C893" s="131" t="s">
        <v>932</v>
      </c>
      <c r="D893" s="132" t="s">
        <v>624</v>
      </c>
      <c r="E893" s="163">
        <v>13317</v>
      </c>
      <c r="F893" s="131">
        <v>26437</v>
      </c>
      <c r="G893" s="30">
        <v>72.73</v>
      </c>
      <c r="H893" s="150" t="str">
        <f t="shared" si="7"/>
        <v>9801902 - 783913TFR COSTCO 6Ct Rom Hrts USA</v>
      </c>
    </row>
    <row r="894" spans="3:8" x14ac:dyDescent="0.25">
      <c r="C894" s="131" t="s">
        <v>155</v>
      </c>
      <c r="D894" s="132" t="s">
        <v>233</v>
      </c>
      <c r="E894" s="146">
        <v>13427</v>
      </c>
      <c r="F894" s="131">
        <v>26775</v>
      </c>
      <c r="G894" s="30">
        <v>40</v>
      </c>
      <c r="H894" s="150" t="str">
        <f t="shared" si="7"/>
        <v>61822-12T&amp;A Org 3ct Rom Hrts - BI</v>
      </c>
    </row>
    <row r="895" spans="3:8" x14ac:dyDescent="0.25">
      <c r="C895" s="131" t="s">
        <v>473</v>
      </c>
      <c r="D895" s="133" t="s">
        <v>474</v>
      </c>
      <c r="E895" s="147">
        <v>13348</v>
      </c>
      <c r="F895" s="134">
        <v>26552</v>
      </c>
      <c r="G895" s="1">
        <v>20.67</v>
      </c>
      <c r="H895" s="150" t="str">
        <f t="shared" si="7"/>
        <v>61559-16ALDIS Broccoli Crowns-ANTIFOG</v>
      </c>
    </row>
    <row r="896" spans="3:8" x14ac:dyDescent="0.25">
      <c r="C896" s="131" t="s">
        <v>936</v>
      </c>
      <c r="D896" s="133" t="s">
        <v>819</v>
      </c>
      <c r="E896" s="147">
        <v>13435</v>
      </c>
      <c r="F896" s="134">
        <v>26780</v>
      </c>
      <c r="G896" s="1">
        <v>27.35</v>
      </c>
      <c r="H896" s="150" t="str">
        <f t="shared" si="7"/>
        <v>62036 / 61494-16NZTA 3ct Jmbo Rom Long USA No Zp</v>
      </c>
    </row>
    <row r="897" spans="3:8" x14ac:dyDescent="0.25">
      <c r="C897" s="131" t="s">
        <v>932</v>
      </c>
      <c r="D897" s="132" t="s">
        <v>624</v>
      </c>
      <c r="E897" s="147">
        <v>13317</v>
      </c>
      <c r="F897" s="134">
        <v>26437</v>
      </c>
      <c r="G897" s="1">
        <v>72.73</v>
      </c>
      <c r="H897" s="150" t="str">
        <f t="shared" si="7"/>
        <v>9801902 - 783913TFR COSTCO 6Ct Rom Hrts USA</v>
      </c>
    </row>
    <row r="898" spans="3:8" x14ac:dyDescent="0.25">
      <c r="C898" s="131" t="s">
        <v>155</v>
      </c>
      <c r="D898" s="132" t="s">
        <v>233</v>
      </c>
      <c r="E898" s="147">
        <v>13427</v>
      </c>
      <c r="F898" s="134">
        <v>26775</v>
      </c>
      <c r="G898" s="1">
        <v>40</v>
      </c>
      <c r="H898" s="150" t="str">
        <f t="shared" si="7"/>
        <v>61822-12T&amp;A Org 3ct Rom Hrts - BI</v>
      </c>
    </row>
    <row r="899" spans="3:8" x14ac:dyDescent="0.25">
      <c r="C899" s="131" t="s">
        <v>934</v>
      </c>
      <c r="D899" s="132" t="s">
        <v>935</v>
      </c>
      <c r="E899" s="147">
        <v>13365</v>
      </c>
      <c r="F899" s="134">
        <v>26808</v>
      </c>
      <c r="G899" s="1">
        <v>40</v>
      </c>
      <c r="H899" s="150" t="str">
        <f t="shared" si="7"/>
        <v>14010912-00WEIS 3Ct Romaine Hearts</v>
      </c>
    </row>
    <row r="900" spans="3:8" x14ac:dyDescent="0.25">
      <c r="C900" s="131" t="s">
        <v>808</v>
      </c>
      <c r="D900" s="132" t="s">
        <v>809</v>
      </c>
      <c r="E900" s="147">
        <v>13383</v>
      </c>
      <c r="F900" s="134">
        <v>26835</v>
      </c>
      <c r="G900" s="1">
        <v>46.84</v>
      </c>
      <c r="H900" s="150" t="str">
        <f t="shared" si="7"/>
        <v>002-40-55037-03Signature Frm 18oz Rom Hrt USA</v>
      </c>
    </row>
    <row r="901" spans="3:8" x14ac:dyDescent="0.25">
      <c r="C901" s="131" t="s">
        <v>910</v>
      </c>
      <c r="D901" s="133" t="s">
        <v>294</v>
      </c>
      <c r="E901" s="163">
        <v>13236</v>
      </c>
      <c r="F901" s="131">
        <v>25996</v>
      </c>
      <c r="G901" s="30">
        <v>21.76</v>
      </c>
      <c r="H901" s="150" t="str">
        <f t="shared" si="7"/>
        <v>9801865 - 783092EBF Org Broccoli Bg USA</v>
      </c>
    </row>
    <row r="902" spans="3:8" x14ac:dyDescent="0.25">
      <c r="C902" s="131" t="s">
        <v>131</v>
      </c>
      <c r="D902" s="133" t="s">
        <v>631</v>
      </c>
      <c r="E902" s="163">
        <v>13423</v>
      </c>
      <c r="F902" s="131">
        <v>26777</v>
      </c>
      <c r="G902" s="30">
        <v>17.55</v>
      </c>
      <c r="H902" s="150" t="str">
        <f t="shared" si="7"/>
        <v>61967-12Hello Frsh 1Ct Broc Crown Clr</v>
      </c>
    </row>
    <row r="903" spans="3:8" x14ac:dyDescent="0.25">
      <c r="C903" s="131" t="s">
        <v>932</v>
      </c>
      <c r="D903" s="132" t="s">
        <v>624</v>
      </c>
      <c r="E903" s="163">
        <v>13317</v>
      </c>
      <c r="F903" s="131">
        <v>26437</v>
      </c>
      <c r="G903" s="30">
        <v>72.73</v>
      </c>
      <c r="H903" s="150" t="str">
        <f t="shared" si="7"/>
        <v>9801902 - 783913TFR COSTCO 6Ct Rom Hrts USA</v>
      </c>
    </row>
    <row r="904" spans="3:8" x14ac:dyDescent="0.25">
      <c r="C904" s="131" t="s">
        <v>938</v>
      </c>
      <c r="D904" s="132" t="s">
        <v>704</v>
      </c>
      <c r="E904" s="163">
        <v>13361</v>
      </c>
      <c r="F904" s="131">
        <v>26627</v>
      </c>
      <c r="G904" s="30">
        <v>40</v>
      </c>
      <c r="H904" s="150" t="str">
        <f t="shared" si="7"/>
        <v>9801900 - 783911TJ 3ct Org Rom Heart Bag - USA</v>
      </c>
    </row>
    <row r="905" spans="3:8" x14ac:dyDescent="0.25">
      <c r="C905" s="131" t="s">
        <v>709</v>
      </c>
      <c r="D905" s="133" t="s">
        <v>710</v>
      </c>
      <c r="E905" s="163">
        <v>13428</v>
      </c>
      <c r="F905" s="131">
        <v>26773</v>
      </c>
      <c r="G905" s="30">
        <v>20.5</v>
      </c>
      <c r="H905" s="150" t="str">
        <f t="shared" si="7"/>
        <v>09549007Nature's Reward Purple Cauli</v>
      </c>
    </row>
    <row r="906" spans="3:8" x14ac:dyDescent="0.25">
      <c r="C906" s="131" t="s">
        <v>934</v>
      </c>
      <c r="D906" s="132" t="s">
        <v>935</v>
      </c>
      <c r="E906" s="163">
        <v>13365</v>
      </c>
      <c r="F906" s="131">
        <v>26808</v>
      </c>
      <c r="G906" s="30">
        <v>40</v>
      </c>
      <c r="H906" s="150" t="str">
        <f t="shared" si="7"/>
        <v>14010912-00WEIS 3Ct Romaine Hearts</v>
      </c>
    </row>
    <row r="907" spans="3:8" x14ac:dyDescent="0.25">
      <c r="C907" s="131" t="s">
        <v>438</v>
      </c>
      <c r="D907" s="132" t="s">
        <v>498</v>
      </c>
      <c r="E907" s="163">
        <v>13369</v>
      </c>
      <c r="F907" s="131">
        <v>26554</v>
      </c>
      <c r="G907" s="30">
        <v>40</v>
      </c>
      <c r="H907" s="150" t="str">
        <f t="shared" si="7"/>
        <v>0932OM Good&amp;Gather 3ct Rom Hrts US</v>
      </c>
    </row>
    <row r="908" spans="3:8" x14ac:dyDescent="0.25">
      <c r="C908" s="131" t="s">
        <v>939</v>
      </c>
      <c r="D908" s="132" t="s">
        <v>940</v>
      </c>
      <c r="E908" s="163">
        <v>13397</v>
      </c>
      <c r="F908" s="131">
        <v>26924</v>
      </c>
      <c r="G908" s="30">
        <v>17.72</v>
      </c>
      <c r="H908" s="150" t="str">
        <f t="shared" si="7"/>
        <v>S0120KRFLW-A24-3oz KROGER SNACK FLW WRAP RS</v>
      </c>
    </row>
    <row r="909" spans="3:8" x14ac:dyDescent="0.25">
      <c r="C909" s="131" t="s">
        <v>942</v>
      </c>
      <c r="D909" s="132" t="s">
        <v>609</v>
      </c>
      <c r="E909" s="163">
        <v>13333</v>
      </c>
      <c r="F909" s="131">
        <v>26882</v>
      </c>
      <c r="G909" s="30">
        <v>16.7</v>
      </c>
      <c r="H909" s="150" t="str">
        <f t="shared" si="7"/>
        <v>54972-1BAG, 2#, KROGER, RS</v>
      </c>
    </row>
    <row r="910" spans="3:8" x14ac:dyDescent="0.25">
      <c r="C910" s="131" t="s">
        <v>923</v>
      </c>
      <c r="D910" s="133" t="s">
        <v>924</v>
      </c>
      <c r="E910" s="163">
        <v>13454</v>
      </c>
      <c r="F910" s="131" t="s">
        <v>941</v>
      </c>
      <c r="G910" s="30">
        <v>26.18</v>
      </c>
      <c r="H910" s="150" t="str">
        <f t="shared" si="7"/>
        <v>002-40-55046-00DOLE 3CT ROM HEART USA NO-ZIP</v>
      </c>
    </row>
    <row r="911" spans="3:8" x14ac:dyDescent="0.25">
      <c r="C911" s="131" t="s">
        <v>131</v>
      </c>
      <c r="D911" s="133" t="s">
        <v>631</v>
      </c>
      <c r="E911" s="163">
        <v>13423</v>
      </c>
      <c r="F911" s="131">
        <v>26777</v>
      </c>
      <c r="G911" s="30">
        <v>17.55</v>
      </c>
      <c r="H911" s="150" t="str">
        <f t="shared" si="7"/>
        <v>61967-12Hello Frsh 1Ct Broc Crown Clr</v>
      </c>
    </row>
    <row r="912" spans="3:8" x14ac:dyDescent="0.25">
      <c r="C912" s="131" t="s">
        <v>932</v>
      </c>
      <c r="D912" s="132" t="s">
        <v>624</v>
      </c>
      <c r="E912" s="163">
        <v>13317</v>
      </c>
      <c r="F912" s="131">
        <v>26437</v>
      </c>
      <c r="G912" s="30">
        <v>72.73</v>
      </c>
      <c r="H912" s="150" t="str">
        <f t="shared" si="7"/>
        <v>9801902 - 783913TFR COSTCO 6Ct Rom Hrts USA</v>
      </c>
    </row>
    <row r="913" spans="3:8" x14ac:dyDescent="0.25">
      <c r="C913" s="131" t="s">
        <v>426</v>
      </c>
      <c r="D913" s="132" t="s">
        <v>403</v>
      </c>
      <c r="E913" s="163">
        <v>13385</v>
      </c>
      <c r="F913" s="131" t="s">
        <v>943</v>
      </c>
      <c r="G913" s="30">
        <v>94.77</v>
      </c>
      <c r="H913" s="150" t="str">
        <f t="shared" si="7"/>
        <v>61955-11GIANT EAGLE 2Ct Atsn Rom SUP</v>
      </c>
    </row>
    <row r="914" spans="3:8" x14ac:dyDescent="0.25">
      <c r="C914" s="131" t="s">
        <v>945</v>
      </c>
      <c r="D914" s="132" t="s">
        <v>946</v>
      </c>
      <c r="E914" s="163">
        <v>13354</v>
      </c>
      <c r="F914" s="131">
        <v>26968</v>
      </c>
      <c r="G914" s="30">
        <v>25.13</v>
      </c>
      <c r="H914" s="150" t="str">
        <f t="shared" si="7"/>
        <v>19800956-04QnVic 3Ct Rom Hrt Bg EN/FR US</v>
      </c>
    </row>
    <row r="915" spans="3:8" x14ac:dyDescent="0.25">
      <c r="C915" s="131" t="s">
        <v>923</v>
      </c>
      <c r="D915" s="133" t="s">
        <v>924</v>
      </c>
      <c r="E915" s="163">
        <v>13454</v>
      </c>
      <c r="F915" s="131" t="s">
        <v>944</v>
      </c>
      <c r="G915" s="30">
        <v>26.18</v>
      </c>
      <c r="H915" s="150" t="str">
        <f t="shared" si="7"/>
        <v>002-40-55046-00DOLE 3CT ROM HEART USA NO-ZIP</v>
      </c>
    </row>
    <row r="916" spans="3:8" x14ac:dyDescent="0.25">
      <c r="C916" s="131" t="s">
        <v>937</v>
      </c>
      <c r="D916" s="132" t="s">
        <v>138</v>
      </c>
      <c r="E916" s="163">
        <v>13460</v>
      </c>
      <c r="F916" s="131">
        <v>26837</v>
      </c>
      <c r="G916" s="30">
        <v>40</v>
      </c>
      <c r="H916" s="150" t="str">
        <f t="shared" si="7"/>
        <v>61370-17_OT&amp;A 3Ct Jumbo Romaine SHORT</v>
      </c>
    </row>
    <row r="917" spans="3:8" x14ac:dyDescent="0.25">
      <c r="C917" s="131" t="s">
        <v>709</v>
      </c>
      <c r="D917" s="133" t="s">
        <v>710</v>
      </c>
      <c r="E917" s="163">
        <v>13428</v>
      </c>
      <c r="F917" s="131">
        <v>26773</v>
      </c>
      <c r="G917" s="30">
        <v>20.5</v>
      </c>
      <c r="H917" s="150" t="str">
        <f t="shared" si="7"/>
        <v>09549007Nature's Reward Purple Cauli</v>
      </c>
    </row>
    <row r="918" spans="3:8" x14ac:dyDescent="0.25">
      <c r="C918" s="131" t="s">
        <v>945</v>
      </c>
      <c r="D918" s="132" t="s">
        <v>946</v>
      </c>
      <c r="E918" s="146">
        <v>13354</v>
      </c>
      <c r="F918" s="131">
        <v>26968</v>
      </c>
      <c r="G918" s="30">
        <v>25.13</v>
      </c>
      <c r="H918" s="150" t="str">
        <f t="shared" si="7"/>
        <v>19800956-04QnVic 3Ct Rom Hrt Bg EN/FR US</v>
      </c>
    </row>
    <row r="919" spans="3:8" x14ac:dyDescent="0.25">
      <c r="C919" s="131" t="s">
        <v>480</v>
      </c>
      <c r="D919" s="132" t="s">
        <v>744</v>
      </c>
      <c r="E919" s="146">
        <v>13411</v>
      </c>
      <c r="F919" s="131">
        <v>26771</v>
      </c>
      <c r="G919" s="30">
        <v>70.08</v>
      </c>
      <c r="H919" s="150" t="str">
        <f t="shared" si="7"/>
        <v>59953BAG, 10#, GF, HP</v>
      </c>
    </row>
    <row r="920" spans="3:8" x14ac:dyDescent="0.25">
      <c r="C920" s="131" t="s">
        <v>575</v>
      </c>
      <c r="D920" s="133" t="s">
        <v>576</v>
      </c>
      <c r="E920" s="146">
        <v>13439</v>
      </c>
      <c r="F920" s="131" t="s">
        <v>947</v>
      </c>
      <c r="G920" s="30">
        <v>17.25</v>
      </c>
      <c r="H920" s="150" t="str">
        <f t="shared" si="7"/>
        <v>KER-1FSWKT1LB FIRST STREET CRT WKT</v>
      </c>
    </row>
    <row r="921" spans="3:8" x14ac:dyDescent="0.25">
      <c r="C921" s="131" t="s">
        <v>139</v>
      </c>
      <c r="D921" s="132" t="s">
        <v>140</v>
      </c>
      <c r="E921" s="146">
        <v>13441</v>
      </c>
      <c r="F921" s="131">
        <v>26908</v>
      </c>
      <c r="G921" s="30">
        <v>40</v>
      </c>
      <c r="H921" s="150" t="str">
        <f t="shared" si="7"/>
        <v>28370944-01Josie's Rm Hrt 3ct 22oz Bil US</v>
      </c>
    </row>
    <row r="922" spans="3:8" x14ac:dyDescent="0.25">
      <c r="C922" s="131" t="s">
        <v>428</v>
      </c>
      <c r="D922" s="132" t="s">
        <v>406</v>
      </c>
      <c r="E922" s="146">
        <v>13144</v>
      </c>
      <c r="F922" s="131">
        <v>25724</v>
      </c>
      <c r="G922" s="30">
        <v>16.5</v>
      </c>
      <c r="H922" s="150" t="str">
        <f t="shared" si="7"/>
        <v>97886-12LB PRESIDENTS CHOICE ORG CAN</v>
      </c>
    </row>
    <row r="923" spans="3:8" x14ac:dyDescent="0.25">
      <c r="C923" s="131" t="s">
        <v>939</v>
      </c>
      <c r="D923" s="132" t="s">
        <v>940</v>
      </c>
      <c r="E923" s="146">
        <v>13397</v>
      </c>
      <c r="F923" s="131">
        <v>26924</v>
      </c>
      <c r="G923" s="30">
        <v>17.72</v>
      </c>
      <c r="H923" s="150" t="str">
        <f t="shared" si="7"/>
        <v>S0120KRFLW-A24-3oz KROGER SNACK FLW WRAP RS</v>
      </c>
    </row>
    <row r="924" spans="3:8" x14ac:dyDescent="0.25">
      <c r="C924" s="131" t="s">
        <v>573</v>
      </c>
      <c r="D924" s="132" t="s">
        <v>574</v>
      </c>
      <c r="E924" s="146">
        <v>13413</v>
      </c>
      <c r="F924" s="131">
        <v>26855</v>
      </c>
      <c r="G924" s="30">
        <v>69.12</v>
      </c>
      <c r="H924" s="150" t="str">
        <f t="shared" si="7"/>
        <v>3000009115LB RED TART CHERRIES DOLE</v>
      </c>
    </row>
    <row r="925" spans="3:8" x14ac:dyDescent="0.25">
      <c r="C925" s="131" t="s">
        <v>764</v>
      </c>
      <c r="D925" s="132" t="s">
        <v>765</v>
      </c>
      <c r="E925" s="146">
        <v>13418</v>
      </c>
      <c r="F925" s="131">
        <v>26857</v>
      </c>
      <c r="G925" s="30">
        <v>63.61</v>
      </c>
      <c r="H925" s="150" t="str">
        <f t="shared" si="7"/>
        <v>3000008675LB MANGO CHUNKS DOLE</v>
      </c>
    </row>
    <row r="926" spans="3:8" x14ac:dyDescent="0.25">
      <c r="C926" s="131" t="s">
        <v>945</v>
      </c>
      <c r="D926" s="132" t="s">
        <v>946</v>
      </c>
      <c r="E926" s="146">
        <v>13354</v>
      </c>
      <c r="F926" s="131">
        <v>26968</v>
      </c>
      <c r="G926" s="30">
        <v>25.13</v>
      </c>
      <c r="H926" s="150" t="str">
        <f t="shared" si="7"/>
        <v>19800956-04QnVic 3Ct Rom Hrt Bg EN/FR US</v>
      </c>
    </row>
    <row r="927" spans="3:8" x14ac:dyDescent="0.25">
      <c r="C927" s="131" t="s">
        <v>948</v>
      </c>
      <c r="D927" s="132" t="s">
        <v>949</v>
      </c>
      <c r="E927" s="196">
        <v>13534</v>
      </c>
      <c r="F927" s="131">
        <v>27283</v>
      </c>
      <c r="G927" s="30">
        <v>27.35</v>
      </c>
      <c r="H927" s="150" t="str">
        <f t="shared" si="7"/>
        <v>61494-16T&amp;A 3ct Jumbo Rom Long USA</v>
      </c>
    </row>
    <row r="928" spans="3:8" x14ac:dyDescent="0.25">
      <c r="C928" s="131" t="s">
        <v>740</v>
      </c>
      <c r="D928" s="133" t="s">
        <v>579</v>
      </c>
      <c r="E928" s="196">
        <v>13501</v>
      </c>
      <c r="F928" s="131">
        <v>27165</v>
      </c>
      <c r="G928" s="30">
        <v>28.98</v>
      </c>
      <c r="H928" s="150" t="str">
        <f t="shared" si="7"/>
        <v>1320Markon 3ct Romaine Hearts</v>
      </c>
    </row>
    <row r="929" spans="3:8" x14ac:dyDescent="0.25">
      <c r="C929" s="131" t="s">
        <v>950</v>
      </c>
      <c r="D929" s="132" t="s">
        <v>833</v>
      </c>
      <c r="E929" s="196">
        <v>13366</v>
      </c>
      <c r="F929" s="131">
        <v>26557</v>
      </c>
      <c r="G929" s="30">
        <v>38.5</v>
      </c>
      <c r="H929" s="150" t="str">
        <f t="shared" si="7"/>
        <v>9801993 - 787274TFR COSTCO 5ct Petite Romaine</v>
      </c>
    </row>
    <row r="930" spans="3:8" x14ac:dyDescent="0.25">
      <c r="C930" s="131" t="s">
        <v>951</v>
      </c>
      <c r="D930" s="133" t="s">
        <v>952</v>
      </c>
      <c r="E930" s="146">
        <v>13462</v>
      </c>
      <c r="F930" s="30">
        <v>27367</v>
      </c>
      <c r="G930" s="30">
        <v>23.29</v>
      </c>
      <c r="H930" s="150" t="str">
        <f t="shared" si="7"/>
        <v>4069V1Church Bros Broccoli Crown USA</v>
      </c>
    </row>
    <row r="931" spans="3:8" x14ac:dyDescent="0.25">
      <c r="C931" s="131" t="s">
        <v>512</v>
      </c>
      <c r="D931" s="132" t="s">
        <v>905</v>
      </c>
      <c r="E931" s="146">
        <v>13549</v>
      </c>
      <c r="F931" s="1">
        <v>27364</v>
      </c>
      <c r="G931" s="30">
        <v>22.5</v>
      </c>
      <c r="H931" s="150" t="str">
        <f t="shared" si="7"/>
        <v>0930NOM 3ct Rom Hrt BI - NO ZIP USA</v>
      </c>
    </row>
    <row r="932" spans="3:8" x14ac:dyDescent="0.25">
      <c r="C932" s="131" t="s">
        <v>953</v>
      </c>
      <c r="D932" s="133" t="s">
        <v>819</v>
      </c>
      <c r="E932" s="146">
        <v>13595</v>
      </c>
      <c r="F932" s="131">
        <v>27388</v>
      </c>
      <c r="G932" s="30">
        <v>28.24</v>
      </c>
      <c r="H932" s="150" t="str">
        <f t="shared" si="7"/>
        <v>62036-11 / 61494-16NZTA 3ct Jmbo Rom Long USA No Zp</v>
      </c>
    </row>
    <row r="933" spans="3:8" x14ac:dyDescent="0.25">
      <c r="C933" s="131" t="s">
        <v>557</v>
      </c>
      <c r="D933" s="133" t="s">
        <v>338</v>
      </c>
      <c r="E933" s="163">
        <v>13480</v>
      </c>
      <c r="F933" s="197">
        <v>27071</v>
      </c>
      <c r="G933" s="30">
        <v>48.32</v>
      </c>
      <c r="H933" s="150" t="str">
        <f t="shared" si="7"/>
        <v>1318Markon 6ct Romaine Hearts</v>
      </c>
    </row>
    <row r="934" spans="3:8" x14ac:dyDescent="0.25">
      <c r="C934" s="131" t="s">
        <v>929</v>
      </c>
      <c r="D934" s="132" t="s">
        <v>955</v>
      </c>
      <c r="E934" s="146">
        <v>13601</v>
      </c>
      <c r="F934" s="197">
        <v>27461</v>
      </c>
      <c r="G934" s="30">
        <v>48.26</v>
      </c>
      <c r="H934" s="150" t="str">
        <f t="shared" si="7"/>
        <v>9801906 - 783917TFR 6ct Romaine Usa PURPLE</v>
      </c>
    </row>
    <row r="935" spans="3:8" x14ac:dyDescent="0.25">
      <c r="C935" s="131" t="s">
        <v>651</v>
      </c>
      <c r="D935" s="133" t="s">
        <v>237</v>
      </c>
      <c r="E935" s="163">
        <v>13574</v>
      </c>
      <c r="F935" s="197">
        <v>27366</v>
      </c>
      <c r="G935" s="30">
        <v>20.079999999999998</v>
      </c>
      <c r="H935" s="150" t="str">
        <f t="shared" si="7"/>
        <v>5019Trader Joe's 1ct Green Cabbage</v>
      </c>
    </row>
    <row r="936" spans="3:8" x14ac:dyDescent="0.25">
      <c r="C936" s="131" t="s">
        <v>461</v>
      </c>
      <c r="D936" s="133" t="s">
        <v>247</v>
      </c>
      <c r="E936" s="163">
        <v>13538</v>
      </c>
      <c r="F936" s="197" t="s">
        <v>954</v>
      </c>
      <c r="G936" s="30">
        <v>20.420000000000002</v>
      </c>
      <c r="H936" s="150" t="str">
        <f t="shared" si="7"/>
        <v>002-10-51007-00Lidl Cauliflower USA</v>
      </c>
    </row>
    <row r="937" spans="3:8" x14ac:dyDescent="0.25">
      <c r="C937" s="131" t="s">
        <v>175</v>
      </c>
      <c r="D937" s="132" t="s">
        <v>588</v>
      </c>
      <c r="E937" s="163">
        <v>13483</v>
      </c>
      <c r="F937" s="197">
        <v>27166</v>
      </c>
      <c r="G937" s="30">
        <v>40</v>
      </c>
      <c r="H937" s="150" t="str">
        <f t="shared" si="7"/>
        <v>506694CWestern Family 3ct Romaine</v>
      </c>
    </row>
    <row r="938" spans="3:8" x14ac:dyDescent="0.25">
      <c r="C938" s="131" t="s">
        <v>936</v>
      </c>
      <c r="D938" s="133" t="s">
        <v>819</v>
      </c>
      <c r="E938" s="146">
        <v>13435</v>
      </c>
      <c r="F938" s="131">
        <v>26780</v>
      </c>
      <c r="G938" s="30">
        <v>27.35</v>
      </c>
      <c r="H938" s="150" t="str">
        <f t="shared" si="7"/>
        <v>62036 / 61494-16NZTA 3ct Jmbo Rom Long USA No Zp</v>
      </c>
    </row>
    <row r="939" spans="3:8" x14ac:dyDescent="0.25">
      <c r="C939" s="131" t="s">
        <v>213</v>
      </c>
      <c r="D939" s="132" t="s">
        <v>582</v>
      </c>
      <c r="E939" s="146">
        <v>13301</v>
      </c>
      <c r="F939" s="197">
        <v>27073</v>
      </c>
      <c r="G939" s="30">
        <v>50.24</v>
      </c>
      <c r="H939" s="150" t="str">
        <f t="shared" si="7"/>
        <v>61953-11KROGER 2Ct Artsn Rom SUP</v>
      </c>
    </row>
    <row r="940" spans="3:8" x14ac:dyDescent="0.25">
      <c r="C940" s="131" t="s">
        <v>512</v>
      </c>
      <c r="D940" s="132" t="s">
        <v>905</v>
      </c>
      <c r="E940" s="163">
        <v>13606</v>
      </c>
      <c r="F940" s="197">
        <v>27459</v>
      </c>
      <c r="G940" s="30">
        <v>58.05</v>
      </c>
      <c r="H940" s="150" t="str">
        <f t="shared" si="7"/>
        <v>0930NOM 3ct Rom Hrt BI - NO ZIP USA</v>
      </c>
    </row>
    <row r="941" spans="3:8" x14ac:dyDescent="0.25">
      <c r="C941" s="131" t="s">
        <v>213</v>
      </c>
      <c r="D941" s="132" t="s">
        <v>582</v>
      </c>
      <c r="E941" s="163">
        <v>13461</v>
      </c>
      <c r="F941" s="197">
        <v>27005</v>
      </c>
      <c r="G941" s="30">
        <v>99.79</v>
      </c>
      <c r="H941" s="150" t="str">
        <f t="shared" si="7"/>
        <v>61953-11KROGER 2Ct Artsn Rom SUP</v>
      </c>
    </row>
    <row r="942" spans="3:8" x14ac:dyDescent="0.25">
      <c r="C942" s="131" t="s">
        <v>877</v>
      </c>
      <c r="D942" s="132" t="s">
        <v>878</v>
      </c>
      <c r="E942" s="163">
        <v>13532</v>
      </c>
      <c r="F942" s="197">
        <v>27311</v>
      </c>
      <c r="G942" s="30">
        <v>40</v>
      </c>
      <c r="H942" s="150" t="str">
        <f t="shared" si="7"/>
        <v>002-40-55032-02Dole 23oz Rom USA Zip Grwn CA</v>
      </c>
    </row>
    <row r="943" spans="3:8" x14ac:dyDescent="0.25">
      <c r="C943" s="131" t="s">
        <v>213</v>
      </c>
      <c r="D943" s="132" t="s">
        <v>582</v>
      </c>
      <c r="E943" s="146">
        <v>13301</v>
      </c>
      <c r="F943" s="197">
        <v>27073</v>
      </c>
      <c r="G943" s="110">
        <v>50.24</v>
      </c>
      <c r="H943" s="150" t="str">
        <f t="shared" si="7"/>
        <v>61953-11KROGER 2Ct Artsn Rom SUP</v>
      </c>
    </row>
    <row r="944" spans="3:8" x14ac:dyDescent="0.25">
      <c r="C944" s="131" t="s">
        <v>512</v>
      </c>
      <c r="D944" s="132" t="s">
        <v>905</v>
      </c>
      <c r="E944" s="163">
        <v>13606</v>
      </c>
      <c r="F944" s="197">
        <v>27459</v>
      </c>
      <c r="G944" s="110">
        <v>58.05</v>
      </c>
      <c r="H944" s="150" t="str">
        <f t="shared" si="7"/>
        <v>0930NOM 3ct Rom Hrt BI - NO ZIP USA</v>
      </c>
    </row>
    <row r="945" spans="3:8" x14ac:dyDescent="0.25">
      <c r="C945" s="131" t="s">
        <v>213</v>
      </c>
      <c r="D945" s="132" t="s">
        <v>582</v>
      </c>
      <c r="E945" s="163">
        <v>13461</v>
      </c>
      <c r="F945" s="197">
        <v>27005</v>
      </c>
      <c r="G945" s="110">
        <v>99.79</v>
      </c>
      <c r="H945" s="150" t="str">
        <f t="shared" si="7"/>
        <v>61953-11KROGER 2Ct Artsn Rom SUP</v>
      </c>
    </row>
    <row r="946" spans="3:8" x14ac:dyDescent="0.25">
      <c r="C946" s="131" t="s">
        <v>877</v>
      </c>
      <c r="D946" s="132" t="s">
        <v>878</v>
      </c>
      <c r="E946" s="163">
        <v>13532</v>
      </c>
      <c r="F946" s="197">
        <v>27311</v>
      </c>
      <c r="G946" s="110">
        <v>40</v>
      </c>
      <c r="H946" s="150" t="str">
        <f t="shared" si="7"/>
        <v>002-40-55032-02Dole 23oz Rom USA Zip Grwn CA</v>
      </c>
    </row>
    <row r="947" spans="3:8" x14ac:dyDescent="0.25">
      <c r="C947" s="131" t="s">
        <v>838</v>
      </c>
      <c r="D947" s="132" t="s">
        <v>839</v>
      </c>
      <c r="E947" s="146">
        <v>13657</v>
      </c>
      <c r="F947" s="197">
        <v>27606</v>
      </c>
      <c r="G947" s="110">
        <v>40</v>
      </c>
      <c r="H947" s="150" t="str">
        <f t="shared" si="7"/>
        <v>002-40-55022-01DOLE 18oz Org Rom. Hrt Zip USA</v>
      </c>
    </row>
    <row r="948" spans="3:8" x14ac:dyDescent="0.25">
      <c r="C948" s="131" t="s">
        <v>808</v>
      </c>
      <c r="D948" s="132" t="s">
        <v>809</v>
      </c>
      <c r="E948" s="163">
        <v>13656</v>
      </c>
      <c r="F948" s="197">
        <v>27609</v>
      </c>
      <c r="G948" s="110">
        <v>46.84</v>
      </c>
      <c r="H948" s="150" t="str">
        <f t="shared" si="7"/>
        <v>002-40-55037-03Signature Frm 18oz Rom Hrt USA</v>
      </c>
    </row>
    <row r="949" spans="3:8" x14ac:dyDescent="0.25">
      <c r="C949" s="131" t="s">
        <v>612</v>
      </c>
      <c r="D949" s="132" t="s">
        <v>613</v>
      </c>
      <c r="E949" s="163">
        <v>13642</v>
      </c>
      <c r="F949" s="197">
        <v>27469</v>
      </c>
      <c r="G949" s="110">
        <v>15.06</v>
      </c>
      <c r="H949" s="150" t="str">
        <f t="shared" si="7"/>
        <v>C1NPROALG-B41LB NATURES PROMISE ORGANIC</v>
      </c>
    </row>
    <row r="950" spans="3:8" x14ac:dyDescent="0.25">
      <c r="C950" s="131" t="s">
        <v>651</v>
      </c>
      <c r="D950" s="132" t="s">
        <v>237</v>
      </c>
      <c r="E950" s="163">
        <v>13574</v>
      </c>
      <c r="F950" s="197">
        <v>27366</v>
      </c>
      <c r="G950" s="110">
        <v>20.079999999999998</v>
      </c>
      <c r="H950" s="150" t="str">
        <f t="shared" si="7"/>
        <v>5019Trader Joe's 1ct Green Cabbage</v>
      </c>
    </row>
    <row r="951" spans="3:8" x14ac:dyDescent="0.25">
      <c r="C951" s="131" t="s">
        <v>877</v>
      </c>
      <c r="D951" s="132" t="s">
        <v>878</v>
      </c>
      <c r="E951" s="146">
        <v>13532</v>
      </c>
      <c r="F951" s="197">
        <v>27311</v>
      </c>
      <c r="G951" s="110">
        <v>40</v>
      </c>
      <c r="H951" s="150" t="str">
        <f t="shared" si="7"/>
        <v>002-40-55032-02Dole 23oz Rom USA Zip Grwn CA</v>
      </c>
    </row>
    <row r="952" spans="3:8" x14ac:dyDescent="0.25">
      <c r="C952" s="131" t="s">
        <v>752</v>
      </c>
      <c r="D952" s="132" t="s">
        <v>753</v>
      </c>
      <c r="E952" s="163">
        <v>13526</v>
      </c>
      <c r="F952" s="197">
        <v>27313</v>
      </c>
      <c r="G952" s="110">
        <v>40.01</v>
      </c>
      <c r="H952" s="150" t="str">
        <f t="shared" si="7"/>
        <v>C2GEALG-A32LB GIANT EAGLE CRT CELLO AUTO</v>
      </c>
    </row>
    <row r="953" spans="3:8" x14ac:dyDescent="0.25">
      <c r="C953" s="131" t="s">
        <v>211</v>
      </c>
      <c r="D953" s="132" t="s">
        <v>360</v>
      </c>
      <c r="E953" s="163">
        <v>13517</v>
      </c>
      <c r="F953" s="197">
        <v>27078</v>
      </c>
      <c r="G953" s="110">
        <v>50.66</v>
      </c>
      <c r="H953" s="150" t="str">
        <f t="shared" si="7"/>
        <v>002-40-55010-06Dole 6ct Romaine Hrts 40oz USA</v>
      </c>
    </row>
    <row r="954" spans="3:8" x14ac:dyDescent="0.25">
      <c r="C954" s="131" t="s">
        <v>732</v>
      </c>
      <c r="D954" s="132" t="s">
        <v>733</v>
      </c>
      <c r="E954" s="163">
        <v>13468</v>
      </c>
      <c r="F954" s="197">
        <v>27008</v>
      </c>
      <c r="G954" s="110">
        <v>22.24</v>
      </c>
      <c r="H954" s="150" t="str">
        <f t="shared" si="7"/>
        <v>C2NPROALG-A22LB NATURE'S PROMISE ORG CRTS</v>
      </c>
    </row>
    <row r="955" spans="3:8" x14ac:dyDescent="0.25">
      <c r="C955" s="131" t="s">
        <v>213</v>
      </c>
      <c r="D955" s="132" t="s">
        <v>582</v>
      </c>
      <c r="E955" s="163">
        <v>13461</v>
      </c>
      <c r="F955" s="197">
        <v>27005</v>
      </c>
      <c r="G955" s="110">
        <v>99.79</v>
      </c>
      <c r="H955" s="150" t="str">
        <f t="shared" si="7"/>
        <v>61953-11KROGER 2Ct Artsn Rom SUP</v>
      </c>
    </row>
    <row r="956" spans="3:8" x14ac:dyDescent="0.25">
      <c r="C956" s="131" t="s">
        <v>473</v>
      </c>
      <c r="D956" s="132" t="s">
        <v>474</v>
      </c>
      <c r="E956" s="163">
        <v>13348</v>
      </c>
      <c r="F956" s="197">
        <v>26552</v>
      </c>
      <c r="G956" s="110">
        <v>20.67</v>
      </c>
      <c r="H956" s="150" t="str">
        <f t="shared" si="7"/>
        <v>61559-16ALDIS Broccoli Crowns-ANTIFOG</v>
      </c>
    </row>
    <row r="957" spans="3:8" x14ac:dyDescent="0.25">
      <c r="C957" s="131" t="s">
        <v>956</v>
      </c>
      <c r="D957" s="132" t="s">
        <v>957</v>
      </c>
      <c r="E957" s="163">
        <v>13618</v>
      </c>
      <c r="F957" s="197">
        <v>27468</v>
      </c>
      <c r="G957" s="110">
        <v>52.35</v>
      </c>
      <c r="H957" s="150" t="str">
        <f t="shared" si="7"/>
        <v>1587CB Trdr Joe 3ct Little Gem Ltt</v>
      </c>
    </row>
    <row r="958" spans="3:8" x14ac:dyDescent="0.25">
      <c r="C958" s="131" t="s">
        <v>211</v>
      </c>
      <c r="D958" s="132" t="s">
        <v>360</v>
      </c>
      <c r="E958" s="163">
        <v>13517</v>
      </c>
      <c r="F958" s="197">
        <v>27078</v>
      </c>
      <c r="G958" s="110">
        <v>50.66</v>
      </c>
      <c r="H958" s="150" t="str">
        <f t="shared" si="7"/>
        <v>002-40-55010-06Dole 6ct Romaine Hrts 40oz USA</v>
      </c>
    </row>
    <row r="959" spans="3:8" x14ac:dyDescent="0.25">
      <c r="C959" s="131" t="s">
        <v>787</v>
      </c>
      <c r="D959" s="133" t="s">
        <v>788</v>
      </c>
      <c r="E959" s="146">
        <v>13643</v>
      </c>
      <c r="F959" s="197">
        <v>27486</v>
      </c>
      <c r="G959" s="110">
        <v>21.74</v>
      </c>
      <c r="H959" s="150" t="str">
        <f t="shared" si="7"/>
        <v>61270-12TJ's Cauliflower</v>
      </c>
    </row>
    <row r="960" spans="3:8" x14ac:dyDescent="0.25">
      <c r="C960" s="131" t="s">
        <v>877</v>
      </c>
      <c r="D960" s="132" t="s">
        <v>878</v>
      </c>
      <c r="E960" s="146">
        <v>13532</v>
      </c>
      <c r="F960" s="197">
        <v>27311</v>
      </c>
      <c r="G960" s="110">
        <v>40</v>
      </c>
      <c r="H960" s="150" t="str">
        <f t="shared" si="7"/>
        <v>002-40-55032-02Dole 23oz Rom USA Zip Grwn CA</v>
      </c>
    </row>
    <row r="961" spans="3:8" x14ac:dyDescent="0.25">
      <c r="C961" s="131" t="s">
        <v>810</v>
      </c>
      <c r="D961" s="132" t="s">
        <v>811</v>
      </c>
      <c r="E961" s="146">
        <v>13577</v>
      </c>
      <c r="F961" s="197">
        <v>27365</v>
      </c>
      <c r="G961" s="110">
        <v>48.5</v>
      </c>
      <c r="H961" s="150" t="str">
        <f t="shared" si="7"/>
        <v>62033-11Meijer 3ct Artisan Romaine-Zip</v>
      </c>
    </row>
    <row r="962" spans="3:8" x14ac:dyDescent="0.25">
      <c r="C962" s="131" t="s">
        <v>925</v>
      </c>
      <c r="D962" s="132" t="s">
        <v>743</v>
      </c>
      <c r="E962" s="146">
        <v>13599</v>
      </c>
      <c r="F962" s="197">
        <v>27744</v>
      </c>
      <c r="G962" s="110">
        <v>33.42</v>
      </c>
      <c r="H962" s="150" t="str">
        <f t="shared" si="7"/>
        <v>9801905 - 783916TFR 2ct Iceberg Lett USA GREEN</v>
      </c>
    </row>
    <row r="963" spans="3:8" x14ac:dyDescent="0.25">
      <c r="C963" s="131" t="s">
        <v>929</v>
      </c>
      <c r="D963" s="132" t="s">
        <v>955</v>
      </c>
      <c r="E963" s="146">
        <v>13601</v>
      </c>
      <c r="F963" s="197">
        <v>27461</v>
      </c>
      <c r="G963" s="110">
        <v>48.26</v>
      </c>
      <c r="H963" s="150" t="str">
        <f t="shared" si="7"/>
        <v>9801906 - 783917TFR 6ct Romaine Usa PURPLE</v>
      </c>
    </row>
    <row r="964" spans="3:8" x14ac:dyDescent="0.25">
      <c r="C964" s="131" t="s">
        <v>942</v>
      </c>
      <c r="D964" s="132" t="s">
        <v>609</v>
      </c>
      <c r="E964" s="163">
        <v>13333</v>
      </c>
      <c r="F964" s="197">
        <v>26882</v>
      </c>
      <c r="G964" s="110">
        <v>16.7</v>
      </c>
      <c r="H964" s="150" t="str">
        <f t="shared" si="7"/>
        <v>54972-1BAG, 2#, KROGER, RS</v>
      </c>
    </row>
    <row r="965" spans="3:8" x14ac:dyDescent="0.25">
      <c r="C965" s="131" t="s">
        <v>872</v>
      </c>
      <c r="D965" s="132" t="s">
        <v>873</v>
      </c>
      <c r="E965" s="146">
        <v>13488</v>
      </c>
      <c r="F965" s="197">
        <v>27063</v>
      </c>
      <c r="G965" s="110">
        <v>10.61</v>
      </c>
      <c r="H965" s="150" t="str">
        <f t="shared" si="7"/>
        <v>3000022697oz Dream w/ Dragon FRT INNER</v>
      </c>
    </row>
    <row r="966" spans="3:8" x14ac:dyDescent="0.25">
      <c r="C966" s="131" t="s">
        <v>914</v>
      </c>
      <c r="D966" s="132" t="s">
        <v>915</v>
      </c>
      <c r="E966" s="163">
        <v>13588</v>
      </c>
      <c r="F966" s="197">
        <v>27383</v>
      </c>
      <c r="G966" s="110">
        <v>66.09</v>
      </c>
      <c r="H966" s="150" t="str">
        <f t="shared" si="7"/>
        <v>3000008695LB MIXED BERRIES DOLE</v>
      </c>
    </row>
    <row r="967" spans="3:8" x14ac:dyDescent="0.25">
      <c r="C967" s="131" t="s">
        <v>494</v>
      </c>
      <c r="D967" s="132" t="s">
        <v>502</v>
      </c>
      <c r="E967" s="146">
        <v>13432</v>
      </c>
      <c r="F967" s="197">
        <v>26778</v>
      </c>
      <c r="G967" s="110">
        <v>17.43</v>
      </c>
      <c r="H967" s="150" t="str">
        <f t="shared" si="7"/>
        <v>55112BAG, 12OZ, GF, MW, TRI PERF'D</v>
      </c>
    </row>
    <row r="968" spans="3:8" x14ac:dyDescent="0.25">
      <c r="C968" s="131" t="s">
        <v>891</v>
      </c>
      <c r="D968" s="133" t="s">
        <v>892</v>
      </c>
      <c r="E968" s="146">
        <v>13653</v>
      </c>
      <c r="F968" s="197">
        <v>27604</v>
      </c>
      <c r="G968" s="110">
        <v>48.28</v>
      </c>
      <c r="H968" s="150" t="str">
        <f t="shared" si="7"/>
        <v>97910BAG, 5# NATURE'S PROMISE, WKT</v>
      </c>
    </row>
    <row r="969" spans="3:8" x14ac:dyDescent="0.25">
      <c r="C969" s="131" t="s">
        <v>942</v>
      </c>
      <c r="D969" s="132" t="s">
        <v>609</v>
      </c>
      <c r="E969" s="163">
        <v>13333</v>
      </c>
      <c r="F969" s="197">
        <v>26882</v>
      </c>
      <c r="G969" s="110">
        <v>16.7</v>
      </c>
      <c r="H969" s="150" t="str">
        <f t="shared" si="7"/>
        <v>54972-1BAG, 2#, KROGER, RS</v>
      </c>
    </row>
    <row r="970" spans="3:8" x14ac:dyDescent="0.25">
      <c r="C970" s="131" t="s">
        <v>872</v>
      </c>
      <c r="D970" s="132" t="s">
        <v>873</v>
      </c>
      <c r="E970" s="146">
        <v>13488</v>
      </c>
      <c r="F970" s="197">
        <v>27063</v>
      </c>
      <c r="G970" s="110">
        <v>10.61</v>
      </c>
      <c r="H970" s="150" t="str">
        <f t="shared" si="7"/>
        <v>3000022697oz Dream w/ Dragon FRT INNER</v>
      </c>
    </row>
    <row r="971" spans="3:8" x14ac:dyDescent="0.25">
      <c r="C971" s="131" t="s">
        <v>914</v>
      </c>
      <c r="D971" s="132" t="s">
        <v>915</v>
      </c>
      <c r="E971" s="163">
        <v>13588</v>
      </c>
      <c r="F971" s="197">
        <v>27383</v>
      </c>
      <c r="G971" s="110">
        <v>66.09</v>
      </c>
      <c r="H971" s="150" t="str">
        <f t="shared" si="7"/>
        <v>3000008695LB MIXED BERRIES DOLE</v>
      </c>
    </row>
    <row r="972" spans="3:8" x14ac:dyDescent="0.25">
      <c r="C972" s="131" t="s">
        <v>494</v>
      </c>
      <c r="D972" s="132" t="s">
        <v>502</v>
      </c>
      <c r="E972" s="146">
        <v>13432</v>
      </c>
      <c r="F972" s="197">
        <v>26778</v>
      </c>
      <c r="G972" s="110">
        <v>17.43</v>
      </c>
      <c r="H972" s="150" t="str">
        <f t="shared" si="7"/>
        <v>55112BAG, 12OZ, GF, MW, TRI PERF'D</v>
      </c>
    </row>
    <row r="973" spans="3:8" x14ac:dyDescent="0.25">
      <c r="C973" s="131" t="s">
        <v>891</v>
      </c>
      <c r="D973" s="133" t="s">
        <v>892</v>
      </c>
      <c r="E973" s="146">
        <v>13653</v>
      </c>
      <c r="F973" s="197">
        <v>27604</v>
      </c>
      <c r="G973" s="110">
        <v>48.28</v>
      </c>
      <c r="H973" s="150" t="str">
        <f t="shared" si="7"/>
        <v>97910BAG, 5# NATURE'S PROMISE, WKT</v>
      </c>
    </row>
    <row r="974" spans="3:8" x14ac:dyDescent="0.25">
      <c r="C974" s="131" t="s">
        <v>925</v>
      </c>
      <c r="D974" s="132" t="s">
        <v>743</v>
      </c>
      <c r="E974" s="146">
        <v>13599</v>
      </c>
      <c r="F974" s="197">
        <v>27744</v>
      </c>
      <c r="G974" s="110">
        <v>33.42</v>
      </c>
      <c r="H974" s="150" t="str">
        <f t="shared" si="7"/>
        <v>9801905 - 783916TFR 2ct Iceberg Lett USA GREEN</v>
      </c>
    </row>
    <row r="975" spans="3:8" x14ac:dyDescent="0.25">
      <c r="C975" s="131" t="s">
        <v>958</v>
      </c>
      <c r="D975" s="132" t="s">
        <v>959</v>
      </c>
      <c r="E975" s="163">
        <v>13545</v>
      </c>
      <c r="F975" s="197">
        <v>27503</v>
      </c>
      <c r="G975" s="110">
        <v>157.72</v>
      </c>
      <c r="H975" s="150" t="str">
        <f t="shared" si="7"/>
        <v>19800940-00QUEEN VIC CHOKES 4CT BAG</v>
      </c>
    </row>
    <row r="976" spans="3:8" x14ac:dyDescent="0.25">
      <c r="C976" s="131" t="s">
        <v>476</v>
      </c>
      <c r="D976" s="132" t="s">
        <v>477</v>
      </c>
      <c r="E976" s="163">
        <v>13680</v>
      </c>
      <c r="F976" s="197">
        <v>27743</v>
      </c>
      <c r="G976" s="110">
        <v>40</v>
      </c>
      <c r="H976" s="150" t="str">
        <f t="shared" si="7"/>
        <v>01749036Foxy 3ct Org Rom Biling. POM</v>
      </c>
    </row>
    <row r="977" spans="3:8" x14ac:dyDescent="0.25">
      <c r="C977" s="131" t="s">
        <v>942</v>
      </c>
      <c r="D977" s="132" t="s">
        <v>609</v>
      </c>
      <c r="E977" s="146">
        <v>13333</v>
      </c>
      <c r="F977" s="197">
        <v>26882</v>
      </c>
      <c r="G977" s="110">
        <v>16.7</v>
      </c>
      <c r="H977" s="150" t="str">
        <f t="shared" si="7"/>
        <v>54972-1BAG, 2#, KROGER, RS</v>
      </c>
    </row>
    <row r="978" spans="3:8" x14ac:dyDescent="0.25">
      <c r="C978" s="131" t="s">
        <v>519</v>
      </c>
      <c r="D978" s="132" t="s">
        <v>812</v>
      </c>
      <c r="E978" s="146">
        <v>13606</v>
      </c>
      <c r="F978" s="131">
        <v>27459</v>
      </c>
      <c r="G978" s="131">
        <v>58.05</v>
      </c>
      <c r="H978" s="150" t="str">
        <f t="shared" si="7"/>
        <v>OZUNA-001Ozuna Ext. Sup Tortilla bag</v>
      </c>
    </row>
    <row r="979" spans="3:8" x14ac:dyDescent="0.25">
      <c r="C979" s="131" t="s">
        <v>929</v>
      </c>
      <c r="D979" s="132" t="s">
        <v>955</v>
      </c>
      <c r="E979" s="146">
        <v>13601</v>
      </c>
      <c r="F979" s="131">
        <v>27461</v>
      </c>
      <c r="G979" s="131">
        <v>48.26</v>
      </c>
      <c r="H979" s="150" t="str">
        <f t="shared" si="7"/>
        <v>9801906 - 783917TFR 6ct Romaine Usa PURPLE</v>
      </c>
    </row>
    <row r="980" spans="3:8" x14ac:dyDescent="0.25">
      <c r="C980" s="131" t="s">
        <v>925</v>
      </c>
      <c r="D980" s="132" t="s">
        <v>743</v>
      </c>
      <c r="E980" s="146">
        <v>13599</v>
      </c>
      <c r="F980" s="131">
        <v>27744</v>
      </c>
      <c r="G980" s="131">
        <v>33.42</v>
      </c>
      <c r="H980" s="150" t="str">
        <f t="shared" si="7"/>
        <v>9801905 - 783916TFR 2ct Iceberg Lett USA GREEN</v>
      </c>
    </row>
    <row r="981" spans="3:8" x14ac:dyDescent="0.25">
      <c r="C981" s="131" t="s">
        <v>662</v>
      </c>
      <c r="D981" s="133" t="s">
        <v>663</v>
      </c>
      <c r="E981" s="146">
        <v>13546</v>
      </c>
      <c r="F981" s="197">
        <v>27244</v>
      </c>
      <c r="G981" s="30">
        <v>61.49</v>
      </c>
      <c r="H981" s="150" t="str">
        <f t="shared" si="7"/>
        <v>C5NBOLA-A65LB NATURES BASKET ORG LONG AB</v>
      </c>
    </row>
    <row r="982" spans="3:8" x14ac:dyDescent="0.25">
      <c r="C982" s="131" t="s">
        <v>752</v>
      </c>
      <c r="D982" s="133" t="s">
        <v>753</v>
      </c>
      <c r="E982" s="146">
        <v>13526</v>
      </c>
      <c r="F982" s="197">
        <v>27313</v>
      </c>
      <c r="G982" s="30">
        <v>40.01</v>
      </c>
      <c r="H982" s="150" t="str">
        <f t="shared" si="7"/>
        <v>C2GEALG-A32LB GIANT EAGLE CRT CELLO AUTO</v>
      </c>
    </row>
    <row r="983" spans="3:8" x14ac:dyDescent="0.25">
      <c r="C983" s="131" t="s">
        <v>810</v>
      </c>
      <c r="D983" s="132" t="s">
        <v>811</v>
      </c>
      <c r="E983" s="146">
        <v>13577</v>
      </c>
      <c r="F983" s="197">
        <v>27365</v>
      </c>
      <c r="G983" s="30">
        <v>48.5</v>
      </c>
      <c r="H983" s="150" t="str">
        <f t="shared" si="7"/>
        <v>62033-11Meijer 3ct Artisan Romaine-Zip</v>
      </c>
    </row>
    <row r="984" spans="3:8" x14ac:dyDescent="0.25">
      <c r="C984" s="131" t="s">
        <v>155</v>
      </c>
      <c r="D984" s="132" t="s">
        <v>233</v>
      </c>
      <c r="E984" s="146">
        <v>13673</v>
      </c>
      <c r="F984" s="197">
        <v>27742</v>
      </c>
      <c r="G984" s="30">
        <v>40</v>
      </c>
      <c r="H984" s="150" t="str">
        <f t="shared" si="7"/>
        <v>61822-12T&amp;A Org 3ct Rom Hrts - BI</v>
      </c>
    </row>
    <row r="985" spans="3:8" x14ac:dyDescent="0.25">
      <c r="C985" s="131" t="s">
        <v>820</v>
      </c>
      <c r="D985" s="132" t="s">
        <v>821</v>
      </c>
      <c r="E985" s="146">
        <v>12719</v>
      </c>
      <c r="F985" s="197">
        <v>24336</v>
      </c>
      <c r="G985" s="30">
        <v>11.06</v>
      </c>
      <c r="H985" s="150" t="str">
        <f t="shared" si="7"/>
        <v>S1BFX-A11LB BOLTHOUSE FRESH BBY CRTS RS</v>
      </c>
    </row>
    <row r="986" spans="3:8" x14ac:dyDescent="0.25">
      <c r="C986" s="131" t="s">
        <v>494</v>
      </c>
      <c r="D986" s="132" t="s">
        <v>502</v>
      </c>
      <c r="E986" s="146">
        <v>13406</v>
      </c>
      <c r="F986" s="197">
        <v>26854</v>
      </c>
      <c r="G986" s="30">
        <v>17.43</v>
      </c>
      <c r="H986" s="150" t="str">
        <f t="shared" si="7"/>
        <v>55112BAG, 12OZ, GF, MW, TRI PERF'D</v>
      </c>
    </row>
    <row r="987" spans="3:8" x14ac:dyDescent="0.25">
      <c r="C987" s="131" t="s">
        <v>960</v>
      </c>
      <c r="D987" s="132" t="s">
        <v>961</v>
      </c>
      <c r="E987" s="163">
        <v>13425</v>
      </c>
      <c r="F987" s="197">
        <v>27146</v>
      </c>
      <c r="G987" s="30">
        <v>18.55</v>
      </c>
      <c r="H987" s="150" t="str">
        <f t="shared" si="7"/>
        <v>S090BFCNFLW-A14-2.25oz BH SNACK FLOW WRAP RS</v>
      </c>
    </row>
    <row r="988" spans="3:8" x14ac:dyDescent="0.25">
      <c r="C988" s="131" t="s">
        <v>642</v>
      </c>
      <c r="D988" s="133" t="s">
        <v>643</v>
      </c>
      <c r="E988" s="198">
        <v>13685</v>
      </c>
      <c r="F988" s="131" t="s">
        <v>962</v>
      </c>
      <c r="G988" s="131" t="s">
        <v>963</v>
      </c>
      <c r="H988" s="150" t="str">
        <f t="shared" si="7"/>
        <v>KER-5FSWKT5LB FIRST STREET CRT WKT</v>
      </c>
    </row>
    <row r="989" spans="3:8" x14ac:dyDescent="0.25">
      <c r="C989" s="131" t="s">
        <v>942</v>
      </c>
      <c r="D989" s="132" t="s">
        <v>609</v>
      </c>
      <c r="E989" s="198">
        <v>13333</v>
      </c>
      <c r="F989" s="131" t="s">
        <v>964</v>
      </c>
      <c r="G989" s="131" t="s">
        <v>965</v>
      </c>
      <c r="H989" s="150" t="str">
        <f t="shared" si="7"/>
        <v>54972-1BAG, 2#, KROGER, RS</v>
      </c>
    </row>
    <row r="990" spans="3:8" x14ac:dyDescent="0.25">
      <c r="C990" s="131" t="s">
        <v>779</v>
      </c>
      <c r="D990" s="132" t="s">
        <v>780</v>
      </c>
      <c r="E990" s="198">
        <v>13466</v>
      </c>
      <c r="F990" s="131" t="s">
        <v>966</v>
      </c>
      <c r="G990" s="131" t="s">
        <v>967</v>
      </c>
      <c r="H990" s="150" t="str">
        <f t="shared" si="7"/>
        <v>S0110HEBOFLW-A25-2.25oz HEB ORG SNACK FLW WRP</v>
      </c>
    </row>
    <row r="991" spans="3:8" x14ac:dyDescent="0.25">
      <c r="C991" s="131" t="s">
        <v>887</v>
      </c>
      <c r="D991" s="132" t="s">
        <v>977</v>
      </c>
      <c r="E991" s="198">
        <v>13489</v>
      </c>
      <c r="F991" s="197" t="s">
        <v>968</v>
      </c>
      <c r="G991" s="30">
        <v>58.58</v>
      </c>
      <c r="H991" s="150" t="str">
        <f t="shared" si="7"/>
        <v>3000023054/7oz Banana,Mango,Berry Outer</v>
      </c>
    </row>
    <row r="992" spans="3:8" x14ac:dyDescent="0.25">
      <c r="C992" s="131" t="s">
        <v>766</v>
      </c>
      <c r="D992" s="132" t="s">
        <v>767</v>
      </c>
      <c r="E992" s="198">
        <v>13487</v>
      </c>
      <c r="F992" s="197" t="s">
        <v>969</v>
      </c>
      <c r="G992" s="30">
        <v>48.64</v>
      </c>
      <c r="H992" s="150" t="str">
        <f t="shared" si="7"/>
        <v>30000236248OZ GIANT EAGLE BLU BRY FAM</v>
      </c>
    </row>
    <row r="993" spans="3:8" x14ac:dyDescent="0.25">
      <c r="C993" s="131" t="s">
        <v>616</v>
      </c>
      <c r="D993" s="132" t="s">
        <v>617</v>
      </c>
      <c r="E993" s="198">
        <v>13512</v>
      </c>
      <c r="F993" s="197" t="s">
        <v>970</v>
      </c>
      <c r="G993" s="30">
        <v>65.34</v>
      </c>
      <c r="H993" s="150" t="str">
        <f t="shared" si="7"/>
        <v>3000008595/8OZ DOLE SLC STRAW/BAN- OUT</v>
      </c>
    </row>
    <row r="994" spans="3:8" x14ac:dyDescent="0.25">
      <c r="C994" s="131" t="s">
        <v>493</v>
      </c>
      <c r="D994" s="132" t="s">
        <v>501</v>
      </c>
      <c r="E994" s="199">
        <v>13434</v>
      </c>
      <c r="F994" s="197" t="s">
        <v>971</v>
      </c>
      <c r="G994" s="30">
        <v>18.7</v>
      </c>
      <c r="H994" s="150" t="str">
        <f t="shared" si="7"/>
        <v>121799BAG 12OZ TARGET MW PERF'D</v>
      </c>
    </row>
    <row r="995" spans="3:8" x14ac:dyDescent="0.25">
      <c r="C995" s="131" t="s">
        <v>889</v>
      </c>
      <c r="D995" s="132" t="s">
        <v>978</v>
      </c>
      <c r="E995" s="198">
        <v>13587</v>
      </c>
      <c r="F995" s="197" t="s">
        <v>972</v>
      </c>
      <c r="G995" s="30">
        <v>11.96</v>
      </c>
      <c r="H995" s="150" t="str">
        <f t="shared" si="7"/>
        <v>3000007958oz Dole Mixed Berries - Inner</v>
      </c>
    </row>
    <row r="996" spans="3:8" x14ac:dyDescent="0.25">
      <c r="C996" s="131" t="s">
        <v>979</v>
      </c>
      <c r="D996" s="132" t="s">
        <v>980</v>
      </c>
      <c r="E996" s="198">
        <v>13589</v>
      </c>
      <c r="F996" s="197" t="s">
        <v>973</v>
      </c>
      <c r="G996" s="30">
        <v>68.52</v>
      </c>
      <c r="H996" s="150" t="str">
        <f t="shared" si="7"/>
        <v>3000008815LB DOLE RASPBERRIES</v>
      </c>
    </row>
    <row r="997" spans="3:8" x14ac:dyDescent="0.25">
      <c r="C997" s="131" t="s">
        <v>558</v>
      </c>
      <c r="D997" s="132" t="s">
        <v>559</v>
      </c>
      <c r="E997" s="198">
        <v>13590</v>
      </c>
      <c r="F997" s="197" t="s">
        <v>974</v>
      </c>
      <c r="G997" s="30">
        <v>84.82</v>
      </c>
      <c r="H997" s="150" t="str">
        <f t="shared" si="7"/>
        <v>3000009085LB SLICED APPLES DOLE</v>
      </c>
    </row>
    <row r="998" spans="3:8" x14ac:dyDescent="0.25">
      <c r="C998" s="131" t="s">
        <v>981</v>
      </c>
      <c r="D998" s="132" t="s">
        <v>982</v>
      </c>
      <c r="E998" s="198">
        <v>13593</v>
      </c>
      <c r="F998" s="197" t="s">
        <v>975</v>
      </c>
      <c r="G998" s="30">
        <v>11.43</v>
      </c>
      <c r="H998" s="150" t="str">
        <f t="shared" si="7"/>
        <v>3000022667oz Dole TROP AVO w KALE INNER</v>
      </c>
    </row>
    <row r="999" spans="3:8" x14ac:dyDescent="0.25">
      <c r="C999" s="131" t="s">
        <v>649</v>
      </c>
      <c r="D999" s="132" t="s">
        <v>650</v>
      </c>
      <c r="E999" s="198">
        <v>13594</v>
      </c>
      <c r="F999" s="197" t="s">
        <v>976</v>
      </c>
      <c r="G999" s="30">
        <v>10.94</v>
      </c>
      <c r="H999" s="150" t="str">
        <f t="shared" si="7"/>
        <v>3000022677oz Dole DAILY FRT N GRN INNER</v>
      </c>
    </row>
    <row r="1000" spans="3:8" x14ac:dyDescent="0.25">
      <c r="C1000" s="131" t="s">
        <v>953</v>
      </c>
      <c r="D1000" s="133" t="s">
        <v>819</v>
      </c>
      <c r="E1000" s="200">
        <v>13700</v>
      </c>
      <c r="F1000" s="131">
        <v>27936</v>
      </c>
      <c r="G1000" s="131">
        <v>27.95</v>
      </c>
      <c r="H1000" s="150" t="str">
        <f t="shared" si="7"/>
        <v>62036-11 / 61494-16NZTA 3ct Jmbo Rom Long USA No Zp</v>
      </c>
    </row>
    <row r="1001" spans="3:8" x14ac:dyDescent="0.25">
      <c r="C1001" s="131" t="s">
        <v>983</v>
      </c>
      <c r="D1001" s="132" t="s">
        <v>635</v>
      </c>
      <c r="E1001" s="200">
        <v>13691</v>
      </c>
      <c r="F1001" s="131">
        <v>27832</v>
      </c>
      <c r="G1001" s="131">
        <v>49.15</v>
      </c>
      <c r="H1001" s="150" t="str">
        <f t="shared" si="7"/>
        <v>F2110Cheney Bros Romaine Hrts 3Ct</v>
      </c>
    </row>
    <row r="1002" spans="3:8" x14ac:dyDescent="0.25">
      <c r="C1002" s="131" t="s">
        <v>158</v>
      </c>
      <c r="D1002" s="132" t="s">
        <v>639</v>
      </c>
      <c r="E1002" s="200">
        <v>13692</v>
      </c>
      <c r="F1002" s="131">
        <v>27834</v>
      </c>
      <c r="G1002" s="131">
        <v>40</v>
      </c>
      <c r="H1002" s="150" t="str">
        <f t="shared" si="7"/>
        <v>19800900-01Peak 3ct Rom Zip 22oz (624g)</v>
      </c>
    </row>
    <row r="1003" spans="3:8" x14ac:dyDescent="0.25">
      <c r="C1003" s="131" t="s">
        <v>155</v>
      </c>
      <c r="D1003" s="132" t="s">
        <v>233</v>
      </c>
      <c r="E1003" s="200">
        <v>13673</v>
      </c>
      <c r="F1003" s="197">
        <v>27742</v>
      </c>
      <c r="G1003" s="30">
        <v>40</v>
      </c>
      <c r="H1003" s="150" t="str">
        <f t="shared" si="7"/>
        <v>61822-12T&amp;A Org 3ct Rom Hrts - BI</v>
      </c>
    </row>
    <row r="1004" spans="3:8" x14ac:dyDescent="0.25">
      <c r="C1004" s="131" t="s">
        <v>154</v>
      </c>
      <c r="D1004" s="132" t="s">
        <v>232</v>
      </c>
      <c r="E1004" s="202">
        <v>13652</v>
      </c>
      <c r="F1004" s="134">
        <v>27607</v>
      </c>
      <c r="G1004" s="1">
        <v>58.5</v>
      </c>
      <c r="H1004" s="150" t="str">
        <f t="shared" si="7"/>
        <v>002-00-30000-04Markon 6ct Lettuce</v>
      </c>
    </row>
    <row r="1005" spans="3:8" x14ac:dyDescent="0.25">
      <c r="C1005" s="131">
        <v>159180</v>
      </c>
      <c r="D1005" s="132" t="s">
        <v>841</v>
      </c>
      <c r="E1005" s="202">
        <v>13651</v>
      </c>
      <c r="F1005" s="134">
        <v>27611</v>
      </c>
      <c r="G1005" s="1">
        <v>20.59</v>
      </c>
      <c r="H1005" s="150" t="str">
        <f t="shared" si="7"/>
        <v>159180BAG, CAULIFLOWER, MARKETSIDE</v>
      </c>
    </row>
    <row r="1006" spans="3:8" x14ac:dyDescent="0.25">
      <c r="C1006" s="131" t="s">
        <v>953</v>
      </c>
      <c r="D1006" s="132" t="s">
        <v>819</v>
      </c>
      <c r="E1006" s="202">
        <v>13700</v>
      </c>
      <c r="F1006" s="134">
        <v>27936</v>
      </c>
      <c r="G1006" s="1">
        <v>27.95</v>
      </c>
      <c r="H1006" s="150" t="str">
        <f t="shared" si="7"/>
        <v>62036-11 / 61494-16NZTA 3ct Jmbo Rom Long USA No Zp</v>
      </c>
    </row>
    <row r="1007" spans="3:8" x14ac:dyDescent="0.25">
      <c r="C1007" s="131" t="s">
        <v>984</v>
      </c>
      <c r="D1007" s="133" t="s">
        <v>985</v>
      </c>
      <c r="E1007" s="202">
        <v>13694</v>
      </c>
      <c r="F1007" s="134">
        <v>27917</v>
      </c>
      <c r="G1007" s="1">
        <v>40</v>
      </c>
      <c r="H1007" s="150" t="str">
        <f t="shared" si="7"/>
        <v>60303-16TJ's 3ct Romaine HRTS-ZIP</v>
      </c>
    </row>
    <row r="1008" spans="3:8" x14ac:dyDescent="0.25">
      <c r="C1008" s="131">
        <v>300000859</v>
      </c>
      <c r="D1008" s="132" t="s">
        <v>617</v>
      </c>
      <c r="E1008" s="202">
        <v>13512</v>
      </c>
      <c r="F1008" s="134">
        <v>27092</v>
      </c>
      <c r="G1008" s="1">
        <v>65.34</v>
      </c>
      <c r="H1008" s="150" t="str">
        <f t="shared" si="7"/>
        <v>3000008595/8OZ DOLE SLC STRAW/BAN- OUT</v>
      </c>
    </row>
    <row r="1009" spans="3:8" x14ac:dyDescent="0.25">
      <c r="C1009" s="131">
        <v>121799</v>
      </c>
      <c r="D1009" s="132" t="s">
        <v>501</v>
      </c>
      <c r="E1009" s="202">
        <v>13434</v>
      </c>
      <c r="F1009" s="134">
        <v>27010</v>
      </c>
      <c r="G1009" s="1">
        <v>18.7</v>
      </c>
      <c r="H1009" s="150" t="str">
        <f t="shared" si="7"/>
        <v>121799BAG 12OZ TARGET MW PERF'D</v>
      </c>
    </row>
    <row r="1010" spans="3:8" x14ac:dyDescent="0.25">
      <c r="C1010" s="131">
        <v>300000881</v>
      </c>
      <c r="D1010" s="132" t="s">
        <v>980</v>
      </c>
      <c r="E1010" s="202">
        <v>13589</v>
      </c>
      <c r="F1010" s="134">
        <v>27386</v>
      </c>
      <c r="G1010" s="1">
        <v>68.52</v>
      </c>
      <c r="H1010" s="150" t="str">
        <f t="shared" si="7"/>
        <v>3000008815LB DOLE RASPBERRIES</v>
      </c>
    </row>
    <row r="1011" spans="3:8" x14ac:dyDescent="0.25">
      <c r="C1011" s="131">
        <v>300002304</v>
      </c>
      <c r="D1011" s="132" t="s">
        <v>615</v>
      </c>
      <c r="E1011" s="202">
        <v>13591</v>
      </c>
      <c r="F1011" s="134">
        <v>27394</v>
      </c>
      <c r="G1011" s="1">
        <v>58.58</v>
      </c>
      <c r="H1011" s="150" t="str">
        <f t="shared" si="7"/>
        <v>3000023044/7oz Dream /Dragon FRT OUTER</v>
      </c>
    </row>
    <row r="1012" spans="3:8" x14ac:dyDescent="0.25">
      <c r="C1012" s="134" t="s">
        <v>953</v>
      </c>
      <c r="D1012" s="125" t="s">
        <v>819</v>
      </c>
      <c r="E1012" s="202">
        <v>13700</v>
      </c>
      <c r="F1012" s="134">
        <v>27936</v>
      </c>
      <c r="G1012" s="1">
        <v>27.95</v>
      </c>
      <c r="H1012" s="150" t="str">
        <f t="shared" si="7"/>
        <v>62036-11 / 61494-16NZTA 3ct Jmbo Rom Long USA No Zp</v>
      </c>
    </row>
    <row r="1013" spans="3:8" x14ac:dyDescent="0.25">
      <c r="C1013" s="134" t="s">
        <v>522</v>
      </c>
      <c r="D1013" s="125" t="s">
        <v>523</v>
      </c>
      <c r="E1013" s="202">
        <v>13446</v>
      </c>
      <c r="F1013" s="134">
        <v>27933</v>
      </c>
      <c r="G1013" s="1">
        <v>20.25</v>
      </c>
      <c r="H1013" s="150" t="str">
        <f t="shared" si="7"/>
        <v>0921MOcean Mist Cauliflower POM</v>
      </c>
    </row>
    <row r="1014" spans="3:8" x14ac:dyDescent="0.25">
      <c r="C1014" s="134" t="s">
        <v>459</v>
      </c>
      <c r="D1014" s="125" t="s">
        <v>504</v>
      </c>
      <c r="E1014" s="202">
        <v>13765</v>
      </c>
      <c r="F1014" s="134">
        <v>28050</v>
      </c>
      <c r="G1014" s="1">
        <v>17.149999999999999</v>
      </c>
      <c r="H1014" s="150" t="str">
        <f t="shared" si="7"/>
        <v>4962NOceanmist 13" Lettuce Bag</v>
      </c>
    </row>
    <row r="1015" spans="3:8" x14ac:dyDescent="0.25">
      <c r="C1015" s="134" t="s">
        <v>984</v>
      </c>
      <c r="D1015" s="125" t="s">
        <v>985</v>
      </c>
      <c r="E1015" s="202">
        <v>13694</v>
      </c>
      <c r="F1015" s="134">
        <v>27917</v>
      </c>
      <c r="G1015" s="1">
        <v>40</v>
      </c>
      <c r="H1015" s="150" t="str">
        <f t="shared" si="7"/>
        <v>60303-16TJ's 3ct Romaine HRTS-ZIP</v>
      </c>
    </row>
    <row r="1016" spans="3:8" x14ac:dyDescent="0.25">
      <c r="C1016" s="134" t="s">
        <v>162</v>
      </c>
      <c r="D1016" s="125" t="s">
        <v>249</v>
      </c>
      <c r="E1016" s="202">
        <v>13703</v>
      </c>
      <c r="F1016" s="134">
        <v>27839</v>
      </c>
      <c r="G1016" s="1">
        <v>40</v>
      </c>
      <c r="H1016" s="150" t="str">
        <f t="shared" si="7"/>
        <v>002-40-55045-00LIDL 3CT ROMAINE HEARTS USA</v>
      </c>
    </row>
    <row r="1017" spans="3:8" x14ac:dyDescent="0.25">
      <c r="C1017" s="134" t="s">
        <v>158</v>
      </c>
      <c r="D1017" s="125" t="s">
        <v>639</v>
      </c>
      <c r="E1017" s="202">
        <v>13692</v>
      </c>
      <c r="F1017" s="134">
        <v>27834</v>
      </c>
      <c r="G1017" s="1">
        <v>40</v>
      </c>
      <c r="H1017" s="150" t="str">
        <f t="shared" si="7"/>
        <v>19800900-01Peak 3ct Rom Zip 22oz (624g)</v>
      </c>
    </row>
    <row r="1018" spans="3:8" x14ac:dyDescent="0.25">
      <c r="C1018" s="134" t="s">
        <v>768</v>
      </c>
      <c r="D1018" s="125" t="s">
        <v>769</v>
      </c>
      <c r="E1018" s="202">
        <v>13592</v>
      </c>
      <c r="F1018" s="134">
        <v>27395</v>
      </c>
      <c r="G1018" s="1">
        <v>62.79</v>
      </c>
      <c r="H1018" s="150" t="str">
        <f t="shared" si="7"/>
        <v>3000022584-7OZ DOLE DAILY FRT n GRN OUT</v>
      </c>
    </row>
    <row r="1019" spans="3:8" x14ac:dyDescent="0.25">
      <c r="C1019" s="134" t="s">
        <v>911</v>
      </c>
      <c r="D1019" s="125" t="s">
        <v>912</v>
      </c>
      <c r="E1019" s="202">
        <v>13734</v>
      </c>
      <c r="F1019" s="134">
        <v>27949</v>
      </c>
      <c r="G1019" s="1">
        <v>48.28</v>
      </c>
      <c r="H1019" s="150" t="str">
        <f t="shared" si="7"/>
        <v>941735LB SAFEWAY O ORG WKT</v>
      </c>
    </row>
    <row r="1020" spans="3:8" x14ac:dyDescent="0.25">
      <c r="C1020" s="131" t="s">
        <v>585</v>
      </c>
      <c r="D1020" s="132" t="s">
        <v>586</v>
      </c>
      <c r="E1020" s="146">
        <v>12249</v>
      </c>
      <c r="F1020" s="131">
        <v>22307</v>
      </c>
      <c r="G1020" s="131">
        <v>22.56</v>
      </c>
      <c r="H1020" s="150" t="str">
        <f t="shared" si="7"/>
        <v>0930MOM 3ct Rom Hearts BI NoZip POM</v>
      </c>
    </row>
    <row r="1021" spans="3:8" x14ac:dyDescent="0.25">
      <c r="C1021" s="131" t="s">
        <v>522</v>
      </c>
      <c r="D1021" s="133" t="s">
        <v>523</v>
      </c>
      <c r="E1021" s="146">
        <v>13446</v>
      </c>
      <c r="F1021" s="197">
        <v>27933</v>
      </c>
      <c r="G1021" s="30">
        <v>20.25</v>
      </c>
      <c r="H1021" s="150" t="str">
        <f t="shared" si="7"/>
        <v>0921MOcean Mist Cauliflower POM</v>
      </c>
    </row>
    <row r="1022" spans="3:8" x14ac:dyDescent="0.25">
      <c r="C1022" s="131" t="s">
        <v>953</v>
      </c>
      <c r="D1022" s="133" t="s">
        <v>819</v>
      </c>
      <c r="E1022" s="146">
        <v>13801</v>
      </c>
      <c r="F1022" s="197">
        <v>28181</v>
      </c>
      <c r="G1022" s="30">
        <v>27.35</v>
      </c>
      <c r="H1022" s="150" t="str">
        <f t="shared" si="7"/>
        <v>62036-11 / 61494-16NZTA 3ct Jmbo Rom Long USA No Zp</v>
      </c>
    </row>
    <row r="1023" spans="3:8" x14ac:dyDescent="0.25">
      <c r="C1023" s="131" t="s">
        <v>459</v>
      </c>
      <c r="D1023" s="133" t="s">
        <v>504</v>
      </c>
      <c r="E1023" s="146">
        <v>13765</v>
      </c>
      <c r="F1023" s="197">
        <v>28050</v>
      </c>
      <c r="G1023" s="30">
        <v>17.149999999999999</v>
      </c>
      <c r="H1023" s="150" t="str">
        <f t="shared" si="7"/>
        <v>4962NOceanmist 13" Lettuce Bag</v>
      </c>
    </row>
    <row r="1024" spans="3:8" x14ac:dyDescent="0.25">
      <c r="C1024" s="131" t="s">
        <v>629</v>
      </c>
      <c r="D1024" s="133" t="s">
        <v>630</v>
      </c>
      <c r="E1024" s="146">
        <v>13747</v>
      </c>
      <c r="F1024" s="197">
        <v>28036</v>
      </c>
      <c r="G1024" s="30">
        <v>23.69</v>
      </c>
      <c r="H1024" s="150" t="str">
        <f t="shared" si="7"/>
        <v>C2STOALG-A32LB SIMPLE TRUTH ORG CELLO A/B</v>
      </c>
    </row>
    <row r="1025" spans="3:8" x14ac:dyDescent="0.25">
      <c r="C1025" s="131" t="s">
        <v>139</v>
      </c>
      <c r="D1025" s="132" t="s">
        <v>140</v>
      </c>
      <c r="E1025" s="146">
        <v>13759</v>
      </c>
      <c r="F1025" s="197">
        <v>28166</v>
      </c>
      <c r="G1025" s="30">
        <v>40</v>
      </c>
      <c r="H1025" s="150" t="str">
        <f t="shared" si="7"/>
        <v>28370944-01Josie's Rm Hrt 3ct 22oz Bil US</v>
      </c>
    </row>
    <row r="1026" spans="3:8" x14ac:dyDescent="0.25">
      <c r="C1026" s="131" t="s">
        <v>762</v>
      </c>
      <c r="D1026" s="132" t="s">
        <v>763</v>
      </c>
      <c r="E1026" s="146">
        <v>13720</v>
      </c>
      <c r="F1026" s="197">
        <v>28039</v>
      </c>
      <c r="G1026" s="30">
        <v>68.52</v>
      </c>
      <c r="H1026" s="150" t="str">
        <f t="shared" si="7"/>
        <v>3000009055lb DL Whole Blackber Zarzamor</v>
      </c>
    </row>
    <row r="1027" spans="3:8" x14ac:dyDescent="0.25">
      <c r="C1027" s="131" t="s">
        <v>522</v>
      </c>
      <c r="D1027" s="133" t="s">
        <v>523</v>
      </c>
      <c r="E1027" s="163">
        <v>13446</v>
      </c>
      <c r="F1027" s="131">
        <v>27933</v>
      </c>
      <c r="G1027" s="131">
        <v>20.25</v>
      </c>
      <c r="H1027" s="150" t="str">
        <f t="shared" si="7"/>
        <v>0921MOcean Mist Cauliflower POM</v>
      </c>
    </row>
    <row r="1028" spans="3:8" x14ac:dyDescent="0.25">
      <c r="C1028" s="131" t="s">
        <v>953</v>
      </c>
      <c r="D1028" s="133" t="s">
        <v>819</v>
      </c>
      <c r="E1028" s="163">
        <v>13801</v>
      </c>
      <c r="F1028" s="197">
        <v>28181</v>
      </c>
      <c r="G1028" s="30">
        <v>27.35</v>
      </c>
      <c r="H1028" s="150" t="str">
        <f t="shared" si="7"/>
        <v>62036-11 / 61494-16NZTA 3ct Jmbo Rom Long USA No Zp</v>
      </c>
    </row>
    <row r="1029" spans="3:8" x14ac:dyDescent="0.25">
      <c r="C1029" s="131" t="s">
        <v>513</v>
      </c>
      <c r="D1029" s="133" t="s">
        <v>986</v>
      </c>
      <c r="E1029" s="163">
        <v>13758</v>
      </c>
      <c r="F1029" s="197">
        <v>28053</v>
      </c>
      <c r="G1029" s="30">
        <v>18.489999999999998</v>
      </c>
      <c r="H1029" s="150" t="str">
        <f t="shared" si="7"/>
        <v>0922OCEAM MST UPC/PLU CAULIFLOWER</v>
      </c>
    </row>
    <row r="1030" spans="3:8" x14ac:dyDescent="0.25">
      <c r="C1030" s="131" t="s">
        <v>139</v>
      </c>
      <c r="D1030" s="132" t="s">
        <v>140</v>
      </c>
      <c r="E1030" s="163">
        <v>13759</v>
      </c>
      <c r="F1030" s="197">
        <v>28166</v>
      </c>
      <c r="G1030" s="30">
        <v>40</v>
      </c>
      <c r="H1030" s="150" t="str">
        <f t="shared" si="7"/>
        <v>28370944-01Josie's Rm Hrt 3ct 22oz Bil US</v>
      </c>
    </row>
    <row r="1031" spans="3:8" x14ac:dyDescent="0.25">
      <c r="C1031" s="131" t="s">
        <v>554</v>
      </c>
      <c r="D1031" s="133" t="s">
        <v>524</v>
      </c>
      <c r="E1031" s="163">
        <v>13762</v>
      </c>
      <c r="F1031" s="197">
        <v>28052</v>
      </c>
      <c r="G1031" s="30">
        <v>17.05</v>
      </c>
      <c r="H1031" s="150" t="str">
        <f t="shared" si="7"/>
        <v>496013" UPC/PLU CLR IcebergLett OM</v>
      </c>
    </row>
    <row r="1032" spans="3:8" x14ac:dyDescent="0.25">
      <c r="C1032" s="131" t="s">
        <v>459</v>
      </c>
      <c r="D1032" s="133" t="s">
        <v>504</v>
      </c>
      <c r="E1032" s="146">
        <v>13765</v>
      </c>
      <c r="F1032" s="197">
        <v>28050</v>
      </c>
      <c r="G1032" s="30">
        <v>17.149999999999999</v>
      </c>
      <c r="H1032" s="150" t="str">
        <f t="shared" ref="H1032:H1276" si="8">_xlfn.CONCAT(C1032,D1032)</f>
        <v>4962NOceanmist 13" Lettuce Bag</v>
      </c>
    </row>
    <row r="1033" spans="3:8" x14ac:dyDescent="0.25">
      <c r="C1033" s="131" t="s">
        <v>953</v>
      </c>
      <c r="D1033" s="133" t="s">
        <v>819</v>
      </c>
      <c r="E1033" s="146">
        <v>13801</v>
      </c>
      <c r="F1033" s="197">
        <v>28181</v>
      </c>
      <c r="G1033" s="30">
        <v>27.35</v>
      </c>
      <c r="H1033" s="150" t="str">
        <f t="shared" si="8"/>
        <v>62036-11 / 61494-16NZTA 3ct Jmbo Rom Long USA No Zp</v>
      </c>
    </row>
    <row r="1034" spans="3:8" x14ac:dyDescent="0.25">
      <c r="C1034" s="134">
        <v>922</v>
      </c>
      <c r="D1034" s="149" t="s">
        <v>986</v>
      </c>
      <c r="E1034" s="147">
        <v>13758</v>
      </c>
      <c r="F1034" s="134">
        <v>28053</v>
      </c>
      <c r="G1034" s="1">
        <v>18.489999999999998</v>
      </c>
      <c r="H1034" s="150" t="str">
        <f t="shared" si="8"/>
        <v>922OCEAM MST UPC/PLU CAULIFLOWER</v>
      </c>
    </row>
    <row r="1035" spans="3:8" x14ac:dyDescent="0.25">
      <c r="C1035" s="134" t="s">
        <v>139</v>
      </c>
      <c r="D1035" s="149" t="s">
        <v>140</v>
      </c>
      <c r="E1035" s="147">
        <v>13759</v>
      </c>
      <c r="F1035" s="134">
        <v>28166</v>
      </c>
      <c r="G1035" s="1">
        <v>40</v>
      </c>
      <c r="H1035" s="150" t="str">
        <f t="shared" si="8"/>
        <v>28370944-01Josie's Rm Hrt 3ct 22oz Bil US</v>
      </c>
    </row>
    <row r="1036" spans="3:8" x14ac:dyDescent="0.25">
      <c r="C1036" s="134" t="s">
        <v>459</v>
      </c>
      <c r="D1036" s="149" t="s">
        <v>504</v>
      </c>
      <c r="E1036" s="147">
        <v>13765</v>
      </c>
      <c r="F1036" s="134">
        <v>28050</v>
      </c>
      <c r="G1036" s="1">
        <v>17.149999999999999</v>
      </c>
      <c r="H1036" s="150" t="str">
        <f t="shared" si="8"/>
        <v>4962NOceanmist 13" Lettuce Bag</v>
      </c>
    </row>
    <row r="1037" spans="3:8" x14ac:dyDescent="0.25">
      <c r="C1037" s="134" t="s">
        <v>131</v>
      </c>
      <c r="D1037" s="149" t="s">
        <v>631</v>
      </c>
      <c r="E1037" s="147">
        <v>13803</v>
      </c>
      <c r="F1037" s="134">
        <v>28192</v>
      </c>
      <c r="G1037" s="1">
        <v>17.55</v>
      </c>
      <c r="H1037" s="150" t="str">
        <f t="shared" si="8"/>
        <v>61967-12Hello Frsh 1Ct Broc Crown Clr</v>
      </c>
    </row>
    <row r="1038" spans="3:8" x14ac:dyDescent="0.25">
      <c r="C1038" s="134" t="s">
        <v>953</v>
      </c>
      <c r="D1038" s="149" t="s">
        <v>819</v>
      </c>
      <c r="E1038" s="147">
        <v>13801</v>
      </c>
      <c r="F1038" s="134">
        <v>28181</v>
      </c>
      <c r="G1038" s="1">
        <v>27.35</v>
      </c>
      <c r="H1038" s="150" t="str">
        <f t="shared" si="8"/>
        <v>62036-11 / 61494-16NZTA 3ct Jmbo Rom Long USA No Zp</v>
      </c>
    </row>
    <row r="1039" spans="3:8" x14ac:dyDescent="0.25">
      <c r="C1039" s="134">
        <v>94173</v>
      </c>
      <c r="D1039" s="149" t="s">
        <v>912</v>
      </c>
      <c r="E1039" s="147">
        <v>13734</v>
      </c>
      <c r="F1039" s="134">
        <v>27949</v>
      </c>
      <c r="G1039" s="1">
        <v>48.28</v>
      </c>
      <c r="H1039" s="150" t="str">
        <f t="shared" si="8"/>
        <v>941735LB SAFEWAY O ORG WKT</v>
      </c>
    </row>
    <row r="1040" spans="3:8" x14ac:dyDescent="0.25">
      <c r="C1040" s="134" t="s">
        <v>987</v>
      </c>
      <c r="D1040" s="149" t="s">
        <v>626</v>
      </c>
      <c r="E1040" s="147">
        <v>13775</v>
      </c>
      <c r="F1040" s="134">
        <v>28179</v>
      </c>
      <c r="G1040" s="1">
        <v>24.52</v>
      </c>
      <c r="H1040" s="150" t="str">
        <f t="shared" si="8"/>
        <v>9502890 - 780181TFR Bilin 3ctRomHrt USA-NoZip</v>
      </c>
    </row>
    <row r="1041" spans="3:8" x14ac:dyDescent="0.25">
      <c r="C1041" s="134">
        <v>300002001</v>
      </c>
      <c r="D1041" s="149" t="s">
        <v>988</v>
      </c>
      <c r="E1041" s="147">
        <v>13620</v>
      </c>
      <c r="F1041" s="134">
        <v>28007</v>
      </c>
      <c r="G1041" s="1">
        <v>69.87</v>
      </c>
      <c r="H1041" s="150" t="str">
        <f t="shared" si="8"/>
        <v>300002001POUCH 12OZ WEGMNS ORG SL PEACH</v>
      </c>
    </row>
    <row r="1042" spans="3:8" x14ac:dyDescent="0.25">
      <c r="C1042" s="134" t="s">
        <v>736</v>
      </c>
      <c r="D1042" s="149" t="s">
        <v>737</v>
      </c>
      <c r="E1042" s="147">
        <v>13679</v>
      </c>
      <c r="F1042" s="134">
        <v>27747</v>
      </c>
      <c r="G1042" s="1">
        <v>22.38</v>
      </c>
      <c r="H1042" s="150" t="str">
        <f t="shared" si="8"/>
        <v>4150Trader Joes Broccoli Crown USA</v>
      </c>
    </row>
    <row r="1043" spans="3:8" x14ac:dyDescent="0.25">
      <c r="C1043" s="134" t="s">
        <v>554</v>
      </c>
      <c r="D1043" s="149" t="s">
        <v>524</v>
      </c>
      <c r="E1043" s="147">
        <v>13762</v>
      </c>
      <c r="F1043" s="134">
        <v>28052</v>
      </c>
      <c r="G1043" s="1">
        <v>17.05</v>
      </c>
      <c r="H1043" s="150" t="str">
        <f t="shared" si="8"/>
        <v>496013" UPC/PLU CLR IcebergLett OM</v>
      </c>
    </row>
    <row r="1044" spans="3:8" x14ac:dyDescent="0.25">
      <c r="C1044" s="131" t="s">
        <v>724</v>
      </c>
      <c r="D1044" s="132" t="s">
        <v>145</v>
      </c>
      <c r="E1044" s="146">
        <v>13527</v>
      </c>
      <c r="F1044" s="163">
        <v>27167</v>
      </c>
      <c r="G1044" s="131">
        <v>70.099999999999994</v>
      </c>
      <c r="H1044" s="150" t="str">
        <f t="shared" si="8"/>
        <v>1579CB 2ct Baby Romaine</v>
      </c>
    </row>
    <row r="1045" spans="3:8" x14ac:dyDescent="0.25">
      <c r="C1045" s="131" t="s">
        <v>950</v>
      </c>
      <c r="D1045" s="132" t="s">
        <v>833</v>
      </c>
      <c r="E1045" s="146">
        <v>13366</v>
      </c>
      <c r="F1045" s="163">
        <v>26557</v>
      </c>
      <c r="G1045" s="131">
        <v>38.5</v>
      </c>
      <c r="H1045" s="150" t="str">
        <f t="shared" si="8"/>
        <v>9801993 - 787274TFR COSTCO 5ct Petite Romaine</v>
      </c>
    </row>
    <row r="1046" spans="3:8" x14ac:dyDescent="0.25">
      <c r="C1046" s="131" t="s">
        <v>953</v>
      </c>
      <c r="D1046" s="133" t="s">
        <v>819</v>
      </c>
      <c r="E1046" s="163">
        <v>13801</v>
      </c>
      <c r="F1046" s="163">
        <v>28181</v>
      </c>
      <c r="G1046" s="131">
        <v>27.35</v>
      </c>
      <c r="H1046" s="150" t="str">
        <f t="shared" si="8"/>
        <v>62036-11 / 61494-16NZTA 3ct Jmbo Rom Long USA No Zp</v>
      </c>
    </row>
    <row r="1047" spans="3:8" x14ac:dyDescent="0.25">
      <c r="C1047" s="131" t="s">
        <v>513</v>
      </c>
      <c r="D1047" s="133" t="s">
        <v>986</v>
      </c>
      <c r="E1047" s="163">
        <v>13758</v>
      </c>
      <c r="F1047" s="163">
        <v>28053</v>
      </c>
      <c r="G1047" s="131">
        <v>18.489999999999998</v>
      </c>
      <c r="H1047" s="150" t="str">
        <f t="shared" si="8"/>
        <v>0922OCEAM MST UPC/PLU CAULIFLOWER</v>
      </c>
    </row>
    <row r="1048" spans="3:8" x14ac:dyDescent="0.25">
      <c r="C1048" s="131" t="s">
        <v>726</v>
      </c>
      <c r="D1048" s="133" t="s">
        <v>77</v>
      </c>
      <c r="E1048" s="163">
        <v>13772</v>
      </c>
      <c r="F1048" s="163">
        <v>28191</v>
      </c>
      <c r="G1048" s="131">
        <v>38.5</v>
      </c>
      <c r="H1048" s="150" t="str">
        <f t="shared" si="8"/>
        <v>5022Church Bros 2ct Lett-Sams Club</v>
      </c>
    </row>
    <row r="1049" spans="3:8" x14ac:dyDescent="0.25">
      <c r="C1049" s="131" t="s">
        <v>139</v>
      </c>
      <c r="D1049" s="132" t="s">
        <v>140</v>
      </c>
      <c r="E1049" s="163">
        <v>13759</v>
      </c>
      <c r="F1049" s="163">
        <v>28166</v>
      </c>
      <c r="G1049" s="131">
        <v>40</v>
      </c>
      <c r="H1049" s="150" t="str">
        <f t="shared" si="8"/>
        <v>28370944-01Josie's Rm Hrt 3ct 22oz Bil US</v>
      </c>
    </row>
    <row r="1050" spans="3:8" x14ac:dyDescent="0.25">
      <c r="C1050" s="131" t="s">
        <v>989</v>
      </c>
      <c r="D1050" s="132" t="s">
        <v>706</v>
      </c>
      <c r="E1050" s="163">
        <v>13777</v>
      </c>
      <c r="F1050" s="163">
        <v>28222</v>
      </c>
      <c r="G1050" s="131" t="s">
        <v>702</v>
      </c>
      <c r="H1050" s="150" t="str">
        <f t="shared" si="8"/>
        <v>9801975 - 785089Good &amp; Gather 3Ct Org Rom USA</v>
      </c>
    </row>
    <row r="1051" spans="3:8" x14ac:dyDescent="0.25">
      <c r="C1051" s="131" t="s">
        <v>531</v>
      </c>
      <c r="D1051" s="132" t="s">
        <v>532</v>
      </c>
      <c r="E1051" s="195">
        <v>13840</v>
      </c>
      <c r="F1051" s="163">
        <v>28302</v>
      </c>
      <c r="G1051" s="131">
        <v>61.6</v>
      </c>
      <c r="H1051" s="150" t="str">
        <f t="shared" si="8"/>
        <v>40040956SYSCO ROMAINE HEART BAG CLEAR</v>
      </c>
    </row>
    <row r="1052" spans="3:8" x14ac:dyDescent="0.25">
      <c r="C1052" s="131" t="s">
        <v>131</v>
      </c>
      <c r="D1052" s="133" t="s">
        <v>631</v>
      </c>
      <c r="E1052" s="163">
        <v>13803</v>
      </c>
      <c r="F1052" s="163">
        <v>28192</v>
      </c>
      <c r="G1052" s="131">
        <v>17.55</v>
      </c>
      <c r="H1052" s="150" t="str">
        <f t="shared" si="8"/>
        <v>61967-12Hello Frsh 1Ct Broc Crown Clr</v>
      </c>
    </row>
    <row r="1053" spans="3:8" x14ac:dyDescent="0.25">
      <c r="C1053" s="131" t="s">
        <v>655</v>
      </c>
      <c r="D1053" s="133" t="s">
        <v>656</v>
      </c>
      <c r="E1053" s="146">
        <v>13820</v>
      </c>
      <c r="F1053" s="163">
        <v>28267</v>
      </c>
      <c r="G1053" s="131">
        <v>17.899999999999999</v>
      </c>
      <c r="H1053" s="150" t="str">
        <f t="shared" si="8"/>
        <v>1350Church Bros Lett</v>
      </c>
    </row>
    <row r="1054" spans="3:8" x14ac:dyDescent="0.25">
      <c r="C1054" s="131" t="s">
        <v>537</v>
      </c>
      <c r="D1054" s="133" t="s">
        <v>538</v>
      </c>
      <c r="E1054" s="146">
        <v>13825</v>
      </c>
      <c r="F1054" s="163">
        <v>28268</v>
      </c>
      <c r="G1054" s="131">
        <v>16.46</v>
      </c>
      <c r="H1054" s="150" t="str">
        <f t="shared" si="8"/>
        <v>002-00-53348-02Dole Canadian 13.5" Lettuce</v>
      </c>
    </row>
    <row r="1055" spans="3:8" x14ac:dyDescent="0.25">
      <c r="C1055" s="131" t="s">
        <v>478</v>
      </c>
      <c r="D1055" s="132" t="s">
        <v>479</v>
      </c>
      <c r="E1055" s="163">
        <v>13849</v>
      </c>
      <c r="F1055" s="163">
        <v>28345</v>
      </c>
      <c r="G1055" s="131">
        <v>50.56</v>
      </c>
      <c r="H1055" s="150" t="str">
        <f t="shared" si="8"/>
        <v>DMF-01GE ROMAINE HRTS 3CT</v>
      </c>
    </row>
    <row r="1056" spans="3:8" x14ac:dyDescent="0.25">
      <c r="C1056" s="131" t="s">
        <v>907</v>
      </c>
      <c r="D1056" s="132" t="s">
        <v>908</v>
      </c>
      <c r="E1056" s="146">
        <v>13819</v>
      </c>
      <c r="F1056" s="163">
        <v>28266</v>
      </c>
      <c r="G1056" s="131">
        <v>114.17</v>
      </c>
      <c r="H1056" s="150" t="str">
        <f t="shared" si="8"/>
        <v>61579-15T&amp;A 3ct ArtsnSwt Gem-Zp w/Hdl</v>
      </c>
    </row>
    <row r="1057" spans="3:8" x14ac:dyDescent="0.25">
      <c r="C1057" s="131" t="s">
        <v>990</v>
      </c>
      <c r="D1057" s="132" t="s">
        <v>367</v>
      </c>
      <c r="E1057" s="146">
        <v>13690</v>
      </c>
      <c r="F1057" s="163">
        <v>27841</v>
      </c>
      <c r="G1057" s="131">
        <v>18.37</v>
      </c>
      <c r="H1057" s="150" t="str">
        <f t="shared" si="8"/>
        <v>1292612LB WHOLSOME PANTRY ORG RS CF</v>
      </c>
    </row>
    <row r="1058" spans="3:8" x14ac:dyDescent="0.25">
      <c r="C1058" s="131" t="s">
        <v>883</v>
      </c>
      <c r="D1058" s="132" t="s">
        <v>884</v>
      </c>
      <c r="E1058" s="146">
        <v>13721</v>
      </c>
      <c r="F1058" s="163">
        <v>28041</v>
      </c>
      <c r="G1058" s="131">
        <v>65.27</v>
      </c>
      <c r="H1058" s="150" t="str">
        <f t="shared" si="8"/>
        <v>3000009065lb PINEAPPLE CHUCKS</v>
      </c>
    </row>
    <row r="1059" spans="3:8" x14ac:dyDescent="0.25">
      <c r="C1059" s="131" t="s">
        <v>885</v>
      </c>
      <c r="D1059" s="132" t="s">
        <v>886</v>
      </c>
      <c r="E1059" s="146">
        <v>13722</v>
      </c>
      <c r="F1059" s="163">
        <v>28043</v>
      </c>
      <c r="G1059" s="131">
        <v>63.99</v>
      </c>
      <c r="H1059" s="150" t="str">
        <f t="shared" si="8"/>
        <v>3000009105LB WH STRAWBERRIES DOLE</v>
      </c>
    </row>
    <row r="1060" spans="3:8" x14ac:dyDescent="0.25">
      <c r="C1060" s="131" t="s">
        <v>785</v>
      </c>
      <c r="D1060" s="132" t="s">
        <v>786</v>
      </c>
      <c r="E1060" s="146">
        <v>13723</v>
      </c>
      <c r="F1060" s="163">
        <v>28195</v>
      </c>
      <c r="G1060" s="131">
        <v>63.66</v>
      </c>
      <c r="H1060" s="150" t="str">
        <f t="shared" si="8"/>
        <v>3000015805LB SL STRAWBERRIES DOLE</v>
      </c>
    </row>
    <row r="1061" spans="3:8" x14ac:dyDescent="0.25">
      <c r="C1061" s="131" t="s">
        <v>486</v>
      </c>
      <c r="D1061" s="132" t="s">
        <v>826</v>
      </c>
      <c r="E1061" s="146">
        <v>13724</v>
      </c>
      <c r="F1061" s="163">
        <v>28197</v>
      </c>
      <c r="G1061" s="131">
        <v>62.44</v>
      </c>
      <c r="H1061" s="150" t="str">
        <f t="shared" si="8"/>
        <v>3000015815LB CR DICED STRAWBERRIES DOLE</v>
      </c>
    </row>
    <row r="1062" spans="3:8" x14ac:dyDescent="0.25">
      <c r="C1062" s="131" t="s">
        <v>761</v>
      </c>
      <c r="D1062" s="132" t="s">
        <v>328</v>
      </c>
      <c r="E1062" s="146">
        <v>13725</v>
      </c>
      <c r="F1062" s="163">
        <v>28198</v>
      </c>
      <c r="G1062" s="131">
        <v>64.87</v>
      </c>
      <c r="H1062" s="150" t="str">
        <f t="shared" si="8"/>
        <v>3000015855LB DOLE CR SL BANANAS</v>
      </c>
    </row>
    <row r="1063" spans="3:8" x14ac:dyDescent="0.25">
      <c r="C1063" s="131" t="s">
        <v>918</v>
      </c>
      <c r="D1063" s="132" t="s">
        <v>919</v>
      </c>
      <c r="E1063" s="146">
        <v>13740</v>
      </c>
      <c r="F1063" s="163">
        <v>28033</v>
      </c>
      <c r="G1063" s="131">
        <v>10.94</v>
      </c>
      <c r="H1063" s="150" t="str">
        <f t="shared" si="8"/>
        <v>3000022687oz Protein Kick Inner Inner</v>
      </c>
    </row>
    <row r="1064" spans="3:8" ht="15.75" x14ac:dyDescent="0.25">
      <c r="C1064" s="197" t="s">
        <v>923</v>
      </c>
      <c r="D1064" s="132" t="s">
        <v>924</v>
      </c>
      <c r="E1064" s="206">
        <v>13846</v>
      </c>
      <c r="F1064" s="163">
        <v>28341</v>
      </c>
      <c r="G1064" s="131">
        <v>26.18</v>
      </c>
      <c r="H1064" s="150" t="str">
        <f t="shared" si="8"/>
        <v>002-40-55046-00DOLE 3CT ROM HEART USA NO-ZIP</v>
      </c>
    </row>
    <row r="1065" spans="3:8" ht="15.75" x14ac:dyDescent="0.25">
      <c r="C1065" s="197" t="s">
        <v>953</v>
      </c>
      <c r="D1065" s="132" t="s">
        <v>819</v>
      </c>
      <c r="E1065" s="206">
        <v>13801</v>
      </c>
      <c r="F1065" s="163">
        <v>28181</v>
      </c>
      <c r="G1065" s="131">
        <v>27.35</v>
      </c>
      <c r="H1065" s="150" t="str">
        <f t="shared" si="8"/>
        <v>62036-11 / 61494-16NZTA 3ct Jmbo Rom Long USA No Zp</v>
      </c>
    </row>
    <row r="1066" spans="3:8" ht="15.75" x14ac:dyDescent="0.25">
      <c r="C1066" s="197" t="s">
        <v>989</v>
      </c>
      <c r="D1066" s="132" t="s">
        <v>706</v>
      </c>
      <c r="E1066" s="206">
        <v>13777</v>
      </c>
      <c r="F1066" s="163">
        <v>28222</v>
      </c>
      <c r="G1066" s="131">
        <v>44.71</v>
      </c>
      <c r="H1066" s="150" t="str">
        <f t="shared" si="8"/>
        <v>9801975 - 785089Good &amp; Gather 3Ct Org Rom USA</v>
      </c>
    </row>
    <row r="1067" spans="3:8" ht="15.75" x14ac:dyDescent="0.25">
      <c r="C1067" s="197" t="s">
        <v>135</v>
      </c>
      <c r="D1067" s="132" t="s">
        <v>831</v>
      </c>
      <c r="E1067" s="206">
        <v>13811</v>
      </c>
      <c r="F1067" s="163">
        <v>28208</v>
      </c>
      <c r="G1067" s="131">
        <v>75.25</v>
      </c>
      <c r="H1067" s="150" t="str">
        <f t="shared" si="8"/>
        <v>61977-12KROGER Artisan Baby Iceberg</v>
      </c>
    </row>
    <row r="1068" spans="3:8" ht="15.75" x14ac:dyDescent="0.25">
      <c r="C1068" s="197">
        <v>300000910</v>
      </c>
      <c r="D1068" s="132" t="s">
        <v>886</v>
      </c>
      <c r="E1068" s="206">
        <v>13722</v>
      </c>
      <c r="F1068" s="163">
        <v>28043</v>
      </c>
      <c r="G1068" s="131">
        <v>63.99</v>
      </c>
      <c r="H1068" s="150" t="str">
        <f t="shared" si="8"/>
        <v>3000009105LB WH STRAWBERRIES DOLE</v>
      </c>
    </row>
    <row r="1069" spans="3:8" ht="15.75" x14ac:dyDescent="0.25">
      <c r="C1069" s="208" t="s">
        <v>870</v>
      </c>
      <c r="D1069" s="209" t="s">
        <v>991</v>
      </c>
      <c r="E1069" s="206">
        <v>13728</v>
      </c>
      <c r="F1069" s="163">
        <v>28199</v>
      </c>
      <c r="G1069" s="131">
        <v>66.09</v>
      </c>
      <c r="H1069" s="150" t="str">
        <f t="shared" si="8"/>
        <v>3000017845lLB Dole Diced Peaches</v>
      </c>
    </row>
    <row r="1070" spans="3:8" ht="15.75" x14ac:dyDescent="0.25">
      <c r="C1070" s="197">
        <v>121799</v>
      </c>
      <c r="D1070" s="132" t="s">
        <v>501</v>
      </c>
      <c r="E1070" s="207">
        <v>13434</v>
      </c>
      <c r="F1070" s="163">
        <v>27010</v>
      </c>
      <c r="G1070" s="131">
        <v>18.7</v>
      </c>
      <c r="H1070" s="150" t="str">
        <f t="shared" si="8"/>
        <v>121799BAG 12OZ TARGET MW PERF'D</v>
      </c>
    </row>
    <row r="1071" spans="3:8" ht="15.75" x14ac:dyDescent="0.25">
      <c r="C1071" s="131" t="s">
        <v>554</v>
      </c>
      <c r="D1071" s="133" t="s">
        <v>524</v>
      </c>
      <c r="E1071" s="210">
        <v>13762</v>
      </c>
      <c r="F1071" s="210">
        <v>28052</v>
      </c>
      <c r="G1071" s="210">
        <v>17.05</v>
      </c>
      <c r="H1071" s="150" t="str">
        <f t="shared" si="8"/>
        <v>496013" UPC/PLU CLR IcebergLett OM</v>
      </c>
    </row>
    <row r="1072" spans="3:8" ht="15.75" x14ac:dyDescent="0.25">
      <c r="C1072" s="131" t="s">
        <v>992</v>
      </c>
      <c r="D1072" s="133" t="s">
        <v>770</v>
      </c>
      <c r="E1072" s="210">
        <v>13776</v>
      </c>
      <c r="F1072" s="210">
        <v>28177</v>
      </c>
      <c r="G1072" s="210">
        <v>23.26</v>
      </c>
      <c r="H1072" s="150" t="str">
        <f t="shared" si="8"/>
        <v>9801921 - 783932Simple Truth Cauliflower USA</v>
      </c>
    </row>
    <row r="1073" spans="3:8" ht="15.75" x14ac:dyDescent="0.25">
      <c r="C1073" s="131" t="s">
        <v>993</v>
      </c>
      <c r="D1073" s="133" t="s">
        <v>994</v>
      </c>
      <c r="E1073" s="211">
        <v>13790</v>
      </c>
      <c r="F1073" s="210">
        <v>28459</v>
      </c>
      <c r="G1073" s="210">
        <v>33.049999999999997</v>
      </c>
      <c r="H1073" s="150" t="str">
        <f t="shared" si="8"/>
        <v>161514BAG, 2LB WEIS MKT, WKT</v>
      </c>
    </row>
    <row r="1074" spans="3:8" ht="15.75" x14ac:dyDescent="0.25">
      <c r="C1074" s="131" t="s">
        <v>131</v>
      </c>
      <c r="D1074" s="133" t="s">
        <v>631</v>
      </c>
      <c r="E1074" s="210">
        <v>13803</v>
      </c>
      <c r="F1074" s="210">
        <v>28192</v>
      </c>
      <c r="G1074" s="210">
        <v>17.55</v>
      </c>
      <c r="H1074" s="150" t="str">
        <f t="shared" si="8"/>
        <v>61967-12Hello Frsh 1Ct Broc Crown Clr</v>
      </c>
    </row>
    <row r="1075" spans="3:8" ht="15.75" x14ac:dyDescent="0.25">
      <c r="C1075" s="131" t="s">
        <v>787</v>
      </c>
      <c r="D1075" s="133" t="s">
        <v>788</v>
      </c>
      <c r="E1075" s="210">
        <v>13823</v>
      </c>
      <c r="F1075" s="210">
        <v>28343</v>
      </c>
      <c r="G1075" s="210">
        <v>19.79</v>
      </c>
      <c r="H1075" s="150" t="str">
        <f t="shared" si="8"/>
        <v>61270-12TJ's Cauliflower</v>
      </c>
    </row>
    <row r="1076" spans="3:8" ht="15.75" x14ac:dyDescent="0.25">
      <c r="C1076" s="131" t="s">
        <v>995</v>
      </c>
      <c r="D1076" s="133" t="s">
        <v>996</v>
      </c>
      <c r="E1076" s="210">
        <v>13806</v>
      </c>
      <c r="F1076" s="210">
        <v>28452</v>
      </c>
      <c r="G1076" s="210">
        <v>24.38</v>
      </c>
      <c r="H1076" s="150" t="str">
        <f t="shared" si="8"/>
        <v>1529V1Church Bros Broccoli Bunch POM</v>
      </c>
    </row>
    <row r="1077" spans="3:8" ht="15.75" x14ac:dyDescent="0.25">
      <c r="C1077" s="131" t="s">
        <v>732</v>
      </c>
      <c r="D1077" s="133" t="s">
        <v>733</v>
      </c>
      <c r="E1077" s="210">
        <v>13856</v>
      </c>
      <c r="F1077" s="210">
        <v>28344</v>
      </c>
      <c r="G1077" s="210">
        <v>22.24</v>
      </c>
      <c r="H1077" s="150" t="str">
        <f t="shared" si="8"/>
        <v>C2NPROALG-A22LB NATURE'S PROMISE ORG CRTS</v>
      </c>
    </row>
    <row r="1078" spans="3:8" ht="15.75" x14ac:dyDescent="0.25">
      <c r="C1078" s="131" t="s">
        <v>997</v>
      </c>
      <c r="D1078" s="132" t="s">
        <v>998</v>
      </c>
      <c r="E1078" s="211">
        <v>13562</v>
      </c>
      <c r="F1078" s="210">
        <v>28004</v>
      </c>
      <c r="G1078" s="210">
        <v>96.91</v>
      </c>
      <c r="H1078" s="150" t="str">
        <f t="shared" si="8"/>
        <v>300001997POUCH 23OZ WEGMAN ORG MGO CHNK</v>
      </c>
    </row>
    <row r="1079" spans="3:8" ht="15.75" x14ac:dyDescent="0.25">
      <c r="C1079" s="131" t="s">
        <v>999</v>
      </c>
      <c r="D1079" s="132" t="s">
        <v>988</v>
      </c>
      <c r="E1079" s="210">
        <v>13752</v>
      </c>
      <c r="F1079" s="210">
        <v>28180</v>
      </c>
      <c r="G1079" s="210">
        <v>71.28</v>
      </c>
      <c r="H1079" s="150" t="str">
        <f t="shared" si="8"/>
        <v>300002001POUCH 12OZ WEGMNS ORG SL PEACH</v>
      </c>
    </row>
    <row r="1080" spans="3:8" ht="15.75" x14ac:dyDescent="0.25">
      <c r="C1080" s="131" t="s">
        <v>907</v>
      </c>
      <c r="D1080" s="132" t="s">
        <v>908</v>
      </c>
      <c r="E1080" s="212">
        <v>13819</v>
      </c>
      <c r="F1080" s="210">
        <v>28266</v>
      </c>
      <c r="G1080" s="210">
        <v>114.17</v>
      </c>
      <c r="H1080" s="150" t="str">
        <f t="shared" si="8"/>
        <v>61579-15T&amp;A 3ct ArtsnSwt Gem-Zp w/Hdl</v>
      </c>
    </row>
    <row r="1081" spans="3:8" ht="15.75" x14ac:dyDescent="0.25">
      <c r="C1081" s="131" t="s">
        <v>484</v>
      </c>
      <c r="D1081" s="132" t="s">
        <v>500</v>
      </c>
      <c r="E1081" s="210">
        <v>13524</v>
      </c>
      <c r="F1081" s="210">
        <v>27241</v>
      </c>
      <c r="G1081" s="210">
        <v>18.7</v>
      </c>
      <c r="H1081" s="150" t="str">
        <f t="shared" si="8"/>
        <v>121807BAG, 12OZ, TARGET, MW ORG PERF</v>
      </c>
    </row>
    <row r="1082" spans="3:8" ht="15.75" x14ac:dyDescent="0.25">
      <c r="C1082" s="131" t="s">
        <v>486</v>
      </c>
      <c r="D1082" s="132" t="s">
        <v>826</v>
      </c>
      <c r="E1082" s="210">
        <v>13724</v>
      </c>
      <c r="F1082" s="210">
        <v>28197</v>
      </c>
      <c r="G1082" s="210">
        <v>62.44</v>
      </c>
      <c r="H1082" s="150" t="str">
        <f t="shared" si="8"/>
        <v>3000015815LB CR DICED STRAWBERRIES DOLE</v>
      </c>
    </row>
    <row r="1083" spans="3:8" ht="15.75" x14ac:dyDescent="0.25">
      <c r="C1083" s="131" t="s">
        <v>783</v>
      </c>
      <c r="D1083" s="132" t="s">
        <v>784</v>
      </c>
      <c r="E1083" s="210">
        <v>13485</v>
      </c>
      <c r="F1083" s="210">
        <v>27067</v>
      </c>
      <c r="G1083" s="210">
        <v>62.79</v>
      </c>
      <c r="H1083" s="150" t="str">
        <f t="shared" si="8"/>
        <v>3000023034/7oz Protein Kick Outer</v>
      </c>
    </row>
    <row r="1084" spans="3:8" x14ac:dyDescent="0.25">
      <c r="C1084" s="131" t="s">
        <v>923</v>
      </c>
      <c r="D1084" s="132" t="s">
        <v>924</v>
      </c>
      <c r="E1084" s="163">
        <v>13846</v>
      </c>
      <c r="F1084" s="163">
        <v>28341</v>
      </c>
      <c r="G1084" s="131">
        <v>18.389199999999999</v>
      </c>
      <c r="H1084" s="150" t="str">
        <f t="shared" si="8"/>
        <v>002-40-55046-00DOLE 3CT ROM HEART USA NO-ZIP</v>
      </c>
    </row>
    <row r="1085" spans="3:8" x14ac:dyDescent="0.25">
      <c r="C1085" s="131" t="s">
        <v>840</v>
      </c>
      <c r="D1085" s="133" t="s">
        <v>841</v>
      </c>
      <c r="E1085" s="163">
        <v>13855</v>
      </c>
      <c r="F1085" s="163">
        <v>28481</v>
      </c>
      <c r="G1085" s="131">
        <v>18.483499999999999</v>
      </c>
      <c r="H1085" s="150" t="str">
        <f t="shared" si="8"/>
        <v>159180BAG, CAULIFLOWER, MARKETSIDE</v>
      </c>
    </row>
    <row r="1086" spans="3:8" x14ac:dyDescent="0.25">
      <c r="C1086" s="131" t="s">
        <v>993</v>
      </c>
      <c r="D1086" s="133" t="s">
        <v>994</v>
      </c>
      <c r="E1086" s="163">
        <v>13790</v>
      </c>
      <c r="F1086" s="163">
        <v>28459</v>
      </c>
      <c r="G1086" s="131">
        <v>18.572500000000002</v>
      </c>
      <c r="H1086" s="150" t="str">
        <f t="shared" si="8"/>
        <v>161514BAG, 2LB WEIS MKT, WKT</v>
      </c>
    </row>
    <row r="1087" spans="3:8" x14ac:dyDescent="0.25">
      <c r="C1087" s="131" t="s">
        <v>620</v>
      </c>
      <c r="D1087" s="133" t="s">
        <v>621</v>
      </c>
      <c r="E1087" s="163">
        <v>13841</v>
      </c>
      <c r="F1087" s="163">
        <v>28482</v>
      </c>
      <c r="G1087" s="131">
        <v>18.483499999999999</v>
      </c>
      <c r="H1087" s="150" t="str">
        <f t="shared" si="8"/>
        <v>60174-11T&amp;A UPC/PLU Cauliflower</v>
      </c>
    </row>
    <row r="1088" spans="3:8" x14ac:dyDescent="0.25">
      <c r="C1088" s="131" t="s">
        <v>726</v>
      </c>
      <c r="D1088" s="133" t="s">
        <v>77</v>
      </c>
      <c r="E1088" s="163">
        <v>13772</v>
      </c>
      <c r="F1088" s="163">
        <v>28191</v>
      </c>
      <c r="G1088" s="131">
        <v>18.407</v>
      </c>
      <c r="H1088" s="150" t="str">
        <f t="shared" si="8"/>
        <v>5022Church Bros 2ct Lett-Sams Club</v>
      </c>
    </row>
    <row r="1089" spans="3:8" x14ac:dyDescent="0.25">
      <c r="C1089" s="131" t="s">
        <v>752</v>
      </c>
      <c r="D1089" s="133" t="s">
        <v>753</v>
      </c>
      <c r="E1089" s="163">
        <v>13866</v>
      </c>
      <c r="F1089" s="163">
        <v>28484</v>
      </c>
      <c r="G1089" s="131">
        <v>18.483499999999999</v>
      </c>
      <c r="H1089" s="150" t="str">
        <f t="shared" si="8"/>
        <v>C2GEALG-A32LB GIANT EAGLE CRT CELLO AUTO</v>
      </c>
    </row>
    <row r="1090" spans="3:8" x14ac:dyDescent="0.25">
      <c r="C1090" s="131" t="s">
        <v>553</v>
      </c>
      <c r="D1090" s="132" t="s">
        <v>251</v>
      </c>
      <c r="E1090" s="163">
        <v>13910</v>
      </c>
      <c r="F1090" s="163">
        <v>28618</v>
      </c>
      <c r="G1090" s="131">
        <v>18.5</v>
      </c>
      <c r="H1090" s="150" t="str">
        <f t="shared" si="8"/>
        <v>4090Wegmans 3ct Romaine Hearts</v>
      </c>
    </row>
    <row r="1091" spans="3:8" x14ac:dyDescent="0.25">
      <c r="C1091" s="131" t="s">
        <v>787</v>
      </c>
      <c r="D1091" s="133" t="s">
        <v>788</v>
      </c>
      <c r="E1091" s="163">
        <v>13823</v>
      </c>
      <c r="F1091" s="131">
        <v>28343</v>
      </c>
      <c r="G1091" s="131">
        <v>19.79</v>
      </c>
      <c r="H1091" s="150" t="str">
        <f t="shared" si="8"/>
        <v>61270-12TJ's Cauliflower</v>
      </c>
    </row>
    <row r="1092" spans="3:8" x14ac:dyDescent="0.25">
      <c r="C1092" s="131" t="s">
        <v>1000</v>
      </c>
      <c r="D1092" s="132" t="s">
        <v>1001</v>
      </c>
      <c r="E1092" s="146">
        <v>13561</v>
      </c>
      <c r="F1092" s="197">
        <v>28006</v>
      </c>
      <c r="G1092" s="30">
        <v>94.87</v>
      </c>
      <c r="H1092" s="150" t="str">
        <f t="shared" si="8"/>
        <v>300001998POUCH 32OZ WGMNS ORG BLUEBERRI</v>
      </c>
    </row>
    <row r="1093" spans="3:8" x14ac:dyDescent="0.25">
      <c r="C1093" s="131" t="s">
        <v>997</v>
      </c>
      <c r="D1093" s="132" t="s">
        <v>998</v>
      </c>
      <c r="E1093" s="146">
        <v>13562</v>
      </c>
      <c r="F1093" s="197">
        <v>28004</v>
      </c>
      <c r="G1093" s="30">
        <v>96.91</v>
      </c>
      <c r="H1093" s="150" t="str">
        <f t="shared" si="8"/>
        <v>300001997POUCH 23OZ WEGMAN ORG MGO CHNK</v>
      </c>
    </row>
    <row r="1094" spans="3:8" x14ac:dyDescent="0.25">
      <c r="C1094" s="131" t="s">
        <v>907</v>
      </c>
      <c r="D1094" s="132" t="s">
        <v>908</v>
      </c>
      <c r="E1094" s="163">
        <v>13819</v>
      </c>
      <c r="F1094" s="197">
        <v>28266</v>
      </c>
      <c r="G1094" s="30">
        <v>114.17</v>
      </c>
      <c r="H1094" s="150" t="str">
        <f t="shared" si="8"/>
        <v>61579-15T&amp;A 3ct ArtsnSwt Gem-Zp w/Hdl</v>
      </c>
    </row>
    <row r="1095" spans="3:8" x14ac:dyDescent="0.25">
      <c r="C1095" s="131" t="s">
        <v>553</v>
      </c>
      <c r="D1095" s="132" t="s">
        <v>251</v>
      </c>
      <c r="E1095" s="163">
        <v>13910</v>
      </c>
      <c r="F1095" s="197">
        <v>28618</v>
      </c>
      <c r="G1095" s="30">
        <v>40</v>
      </c>
      <c r="H1095" s="150" t="str">
        <f t="shared" si="8"/>
        <v>4090Wegmans 3ct Romaine Hearts</v>
      </c>
    </row>
    <row r="1096" spans="3:8" x14ac:dyDescent="0.25">
      <c r="C1096" s="131" t="s">
        <v>493</v>
      </c>
      <c r="D1096" s="132" t="s">
        <v>501</v>
      </c>
      <c r="E1096" s="163">
        <v>13434</v>
      </c>
      <c r="F1096" s="197">
        <v>28657</v>
      </c>
      <c r="G1096" s="30">
        <v>18.7</v>
      </c>
      <c r="H1096" s="150" t="str">
        <f t="shared" si="8"/>
        <v>121799BAG 12OZ TARGET MW PERF'D</v>
      </c>
    </row>
    <row r="1097" spans="3:8" x14ac:dyDescent="0.25">
      <c r="C1097" s="131" t="s">
        <v>484</v>
      </c>
      <c r="D1097" s="132" t="s">
        <v>500</v>
      </c>
      <c r="E1097" s="163">
        <v>13524</v>
      </c>
      <c r="F1097" s="197">
        <v>27241</v>
      </c>
      <c r="G1097" s="30">
        <v>18.7</v>
      </c>
      <c r="H1097" s="150" t="str">
        <f t="shared" si="8"/>
        <v>121807BAG, 12OZ, TARGET, MW ORG PERF</v>
      </c>
    </row>
    <row r="1098" spans="3:8" x14ac:dyDescent="0.25">
      <c r="C1098" s="131" t="s">
        <v>836</v>
      </c>
      <c r="D1098" s="132" t="s">
        <v>837</v>
      </c>
      <c r="E1098" s="163">
        <v>13738</v>
      </c>
      <c r="F1098" s="197">
        <v>28034</v>
      </c>
      <c r="G1098" s="30">
        <v>11.54</v>
      </c>
      <c r="H1098" s="150" t="str">
        <f t="shared" si="8"/>
        <v>3000007288OZ DOLE SLICED STRWBRY/BANANA</v>
      </c>
    </row>
    <row r="1099" spans="3:8" x14ac:dyDescent="0.25">
      <c r="C1099" s="131" t="s">
        <v>436</v>
      </c>
      <c r="D1099" s="133" t="s">
        <v>420</v>
      </c>
      <c r="E1099" s="163">
        <v>13834</v>
      </c>
      <c r="F1099" s="30">
        <v>28608</v>
      </c>
      <c r="G1099" s="30">
        <v>48.28</v>
      </c>
      <c r="H1099" s="150" t="str">
        <f t="shared" si="8"/>
        <v>94822-15LB WEGMANS ORG WKT</v>
      </c>
    </row>
    <row r="1100" spans="3:8" x14ac:dyDescent="0.25">
      <c r="C1100" s="30" t="s">
        <v>932</v>
      </c>
      <c r="D1100" s="133" t="s">
        <v>1002</v>
      </c>
      <c r="E1100" s="163">
        <v>13978</v>
      </c>
      <c r="F1100" s="30">
        <v>28698</v>
      </c>
      <c r="G1100" s="30">
        <v>72.73</v>
      </c>
      <c r="H1100" s="150" t="str">
        <f t="shared" si="8"/>
        <v>9801902 - 783913TFR COSTCO 6Ct Rom Hrt USA</v>
      </c>
    </row>
    <row r="1101" spans="3:8" x14ac:dyDescent="0.25">
      <c r="C1101" s="186" t="s">
        <v>620</v>
      </c>
      <c r="D1101" s="187" t="s">
        <v>621</v>
      </c>
      <c r="E1101" s="163">
        <v>13841</v>
      </c>
      <c r="F1101" s="131">
        <v>28482</v>
      </c>
      <c r="G1101" s="131">
        <v>18.760000000000002</v>
      </c>
      <c r="H1101" s="150" t="str">
        <f t="shared" si="8"/>
        <v>60174-11T&amp;A UPC/PLU Cauliflower</v>
      </c>
    </row>
    <row r="1102" spans="3:8" x14ac:dyDescent="0.25">
      <c r="C1102" s="186" t="s">
        <v>995</v>
      </c>
      <c r="D1102" s="187" t="s">
        <v>996</v>
      </c>
      <c r="E1102" s="216">
        <v>14085</v>
      </c>
      <c r="F1102" s="197" t="s">
        <v>1003</v>
      </c>
      <c r="G1102" s="30">
        <v>24.38</v>
      </c>
      <c r="H1102" s="150" t="str">
        <f t="shared" si="8"/>
        <v>1529V1Church Bros Broccoli Bunch POM</v>
      </c>
    </row>
    <row r="1103" spans="3:8" x14ac:dyDescent="0.25">
      <c r="C1103" s="186" t="s">
        <v>436</v>
      </c>
      <c r="D1103" s="187" t="s">
        <v>420</v>
      </c>
      <c r="E1103" s="216">
        <v>13834</v>
      </c>
      <c r="F1103" s="197">
        <v>28608</v>
      </c>
      <c r="G1103" s="30">
        <v>48.28</v>
      </c>
      <c r="H1103" s="150" t="str">
        <f t="shared" si="8"/>
        <v>94822-15LB WEGMANS ORG WKT</v>
      </c>
    </row>
    <row r="1104" spans="3:8" x14ac:dyDescent="0.25">
      <c r="C1104" s="186" t="s">
        <v>932</v>
      </c>
      <c r="D1104" s="132" t="s">
        <v>1002</v>
      </c>
      <c r="E1104" s="163">
        <v>13978</v>
      </c>
      <c r="F1104" s="197">
        <v>28698</v>
      </c>
      <c r="G1104" s="30">
        <v>72.73</v>
      </c>
      <c r="H1104" s="150" t="str">
        <f t="shared" si="8"/>
        <v>9801902 - 783913TFR COSTCO 6Ct Rom Hrt USA</v>
      </c>
    </row>
    <row r="1105" spans="3:8" x14ac:dyDescent="0.25">
      <c r="C1105" s="186" t="s">
        <v>213</v>
      </c>
      <c r="D1105" s="215" t="s">
        <v>582</v>
      </c>
      <c r="E1105" s="163">
        <v>13915</v>
      </c>
      <c r="F1105" s="197">
        <v>28596</v>
      </c>
      <c r="G1105" s="30">
        <v>99.79</v>
      </c>
      <c r="H1105" s="150" t="str">
        <f t="shared" si="8"/>
        <v>61953-11KROGER 2Ct Artsn Rom SUP</v>
      </c>
    </row>
    <row r="1106" spans="3:8" x14ac:dyDescent="0.25">
      <c r="C1106" s="186" t="s">
        <v>486</v>
      </c>
      <c r="D1106" s="215" t="s">
        <v>826</v>
      </c>
      <c r="E1106" s="163">
        <v>13724</v>
      </c>
      <c r="F1106" s="197">
        <v>28197</v>
      </c>
      <c r="G1106" s="30">
        <v>62.44</v>
      </c>
      <c r="H1106" s="150" t="str">
        <f t="shared" si="8"/>
        <v>3000015815LB CR DICED STRAWBERRIES DOLE</v>
      </c>
    </row>
    <row r="1107" spans="3:8" x14ac:dyDescent="0.25">
      <c r="C1107" s="186" t="s">
        <v>484</v>
      </c>
      <c r="D1107" s="215" t="s">
        <v>500</v>
      </c>
      <c r="E1107" s="163">
        <v>13524</v>
      </c>
      <c r="F1107" s="197">
        <v>27241</v>
      </c>
      <c r="G1107" s="30">
        <v>18.7</v>
      </c>
      <c r="H1107" s="150" t="str">
        <f t="shared" si="8"/>
        <v>121807BAG, 12OZ, TARGET, MW ORG PERF</v>
      </c>
    </row>
    <row r="1108" spans="3:8" x14ac:dyDescent="0.25">
      <c r="C1108" s="186" t="s">
        <v>893</v>
      </c>
      <c r="D1108" s="215" t="s">
        <v>894</v>
      </c>
      <c r="E1108" s="146">
        <v>13862</v>
      </c>
      <c r="F1108" s="30">
        <v>28483</v>
      </c>
      <c r="G1108" s="30">
        <v>14.59</v>
      </c>
      <c r="H1108" s="150" t="str">
        <f t="shared" si="8"/>
        <v>1292591LB WHOLESOME PANTRY ORG RS CF</v>
      </c>
    </row>
    <row r="1109" spans="3:8" x14ac:dyDescent="0.25">
      <c r="C1109" s="218" t="s">
        <v>548</v>
      </c>
      <c r="D1109" s="133" t="s">
        <v>549</v>
      </c>
      <c r="E1109" s="163">
        <v>13998</v>
      </c>
      <c r="F1109" s="197">
        <v>28741</v>
      </c>
      <c r="G1109" s="110">
        <v>26.39</v>
      </c>
      <c r="H1109" s="150" t="str">
        <f t="shared" si="8"/>
        <v>C2BBALG-A42LB BRENDA BELLE FARMS AUTOBAG</v>
      </c>
    </row>
    <row r="1110" spans="3:8" x14ac:dyDescent="0.25">
      <c r="C1110" s="131" t="s">
        <v>1004</v>
      </c>
      <c r="D1110" s="132" t="s">
        <v>1005</v>
      </c>
      <c r="E1110" s="163">
        <v>13843</v>
      </c>
      <c r="F1110" s="197">
        <v>28619</v>
      </c>
      <c r="G1110" s="110">
        <v>190.78</v>
      </c>
      <c r="H1110" s="150" t="str">
        <f t="shared" si="8"/>
        <v>0997NOCM 4Ct Artichoke</v>
      </c>
    </row>
    <row r="1111" spans="3:8" x14ac:dyDescent="0.25">
      <c r="C1111" s="131" t="s">
        <v>934</v>
      </c>
      <c r="D1111" s="132" t="s">
        <v>935</v>
      </c>
      <c r="E1111" s="163">
        <v>13955</v>
      </c>
      <c r="F1111" s="197">
        <v>28728</v>
      </c>
      <c r="G1111" s="110">
        <v>40</v>
      </c>
      <c r="H1111" s="150" t="str">
        <f t="shared" si="8"/>
        <v>14010912-00WEIS 3Ct Romaine Hearts</v>
      </c>
    </row>
    <row r="1112" spans="3:8" x14ac:dyDescent="0.25">
      <c r="C1112" s="131" t="s">
        <v>932</v>
      </c>
      <c r="D1112" s="132" t="s">
        <v>1002</v>
      </c>
      <c r="E1112" s="163">
        <v>13978</v>
      </c>
      <c r="F1112" s="30">
        <v>28698</v>
      </c>
      <c r="G1112" s="110">
        <v>72.73</v>
      </c>
      <c r="H1112" s="150" t="str">
        <f t="shared" si="8"/>
        <v>9801902 - 783913TFR COSTCO 6Ct Rom Hrt USA</v>
      </c>
    </row>
    <row r="1113" spans="3:8" x14ac:dyDescent="0.25">
      <c r="C1113" s="131" t="s">
        <v>911</v>
      </c>
      <c r="D1113" s="133" t="s">
        <v>912</v>
      </c>
      <c r="E1113" s="163">
        <v>13734</v>
      </c>
      <c r="F1113" s="217">
        <v>27949</v>
      </c>
      <c r="G1113" s="110">
        <v>48.28</v>
      </c>
      <c r="H1113" s="150" t="str">
        <f t="shared" si="8"/>
        <v>941735LB SAFEWAY O ORG WKT</v>
      </c>
    </row>
    <row r="1114" spans="3:8" x14ac:dyDescent="0.25">
      <c r="C1114" s="218" t="s">
        <v>548</v>
      </c>
      <c r="D1114" s="133" t="s">
        <v>549</v>
      </c>
      <c r="E1114" s="163">
        <v>13998</v>
      </c>
      <c r="F1114" s="197">
        <v>28741</v>
      </c>
      <c r="G1114" s="110">
        <v>26.39</v>
      </c>
      <c r="H1114" s="150" t="str">
        <f t="shared" si="8"/>
        <v>C2BBALG-A42LB BRENDA BELLE FARMS AUTOBAG</v>
      </c>
    </row>
    <row r="1115" spans="3:8" x14ac:dyDescent="0.25">
      <c r="C1115" s="131" t="s">
        <v>783</v>
      </c>
      <c r="D1115" s="132" t="s">
        <v>784</v>
      </c>
      <c r="E1115" s="163">
        <v>13739</v>
      </c>
      <c r="F1115" s="197">
        <v>28032</v>
      </c>
      <c r="G1115" s="110">
        <v>62.79</v>
      </c>
      <c r="H1115" s="150" t="str">
        <f t="shared" si="8"/>
        <v>3000023034/7oz Protein Kick Outer</v>
      </c>
    </row>
    <row r="1116" spans="3:8" x14ac:dyDescent="0.25">
      <c r="C1116" s="131" t="s">
        <v>934</v>
      </c>
      <c r="D1116" s="132" t="s">
        <v>935</v>
      </c>
      <c r="E1116" s="163">
        <v>13955</v>
      </c>
      <c r="F1116" s="197">
        <v>28728</v>
      </c>
      <c r="G1116" s="110">
        <v>40</v>
      </c>
      <c r="H1116" s="150" t="str">
        <f t="shared" si="8"/>
        <v>14010912-00WEIS 3Ct Romaine Hearts</v>
      </c>
    </row>
    <row r="1117" spans="3:8" x14ac:dyDescent="0.25">
      <c r="C1117" s="131" t="s">
        <v>932</v>
      </c>
      <c r="D1117" s="132" t="s">
        <v>1002</v>
      </c>
      <c r="E1117" s="163">
        <v>13978</v>
      </c>
      <c r="F1117" s="30">
        <v>28698</v>
      </c>
      <c r="G1117" s="110">
        <v>72.73</v>
      </c>
      <c r="H1117" s="150" t="str">
        <f t="shared" si="8"/>
        <v>9801902 - 783913TFR COSTCO 6Ct Rom Hrt USA</v>
      </c>
    </row>
    <row r="1118" spans="3:8" x14ac:dyDescent="0.25">
      <c r="C1118" s="131" t="s">
        <v>938</v>
      </c>
      <c r="D1118" s="132" t="s">
        <v>704</v>
      </c>
      <c r="E1118" s="163">
        <v>13977</v>
      </c>
      <c r="F1118" s="197">
        <v>28734</v>
      </c>
      <c r="G1118" s="110">
        <v>40</v>
      </c>
      <c r="H1118" s="150" t="str">
        <f t="shared" si="8"/>
        <v>9801900 - 783911TJ 3ct Org Rom Heart Bag - USA</v>
      </c>
    </row>
    <row r="1119" spans="3:8" x14ac:dyDescent="0.25">
      <c r="C1119" s="131" t="s">
        <v>213</v>
      </c>
      <c r="D1119" s="132" t="s">
        <v>582</v>
      </c>
      <c r="E1119" s="163">
        <v>13915</v>
      </c>
      <c r="F1119" s="197">
        <v>28596</v>
      </c>
      <c r="G1119" s="110">
        <v>99.79</v>
      </c>
      <c r="H1119" s="150" t="str">
        <f t="shared" si="8"/>
        <v>61953-11KROGER 2Ct Artsn Rom SUP</v>
      </c>
    </row>
    <row r="1120" spans="3:8" x14ac:dyDescent="0.25">
      <c r="C1120" s="186" t="s">
        <v>529</v>
      </c>
      <c r="D1120" s="187" t="s">
        <v>530</v>
      </c>
      <c r="E1120" s="163">
        <v>13949</v>
      </c>
      <c r="F1120" s="219">
        <v>28726</v>
      </c>
      <c r="G1120" s="220">
        <v>22.96</v>
      </c>
      <c r="H1120" s="150" t="str">
        <f t="shared" si="8"/>
        <v>61186-19T&amp;A Celery Sleeve 30's USA-Bil</v>
      </c>
    </row>
    <row r="1121" spans="3:8" x14ac:dyDescent="0.25">
      <c r="C1121" s="131" t="s">
        <v>1004</v>
      </c>
      <c r="D1121" s="132" t="s">
        <v>1005</v>
      </c>
      <c r="E1121" s="163">
        <v>13843</v>
      </c>
      <c r="F1121" s="197">
        <v>28619</v>
      </c>
      <c r="G1121" s="110">
        <v>190.78</v>
      </c>
      <c r="H1121" s="150" t="str">
        <f t="shared" si="8"/>
        <v>0997NOCM 4Ct Artichoke</v>
      </c>
    </row>
    <row r="1122" spans="3:8" x14ac:dyDescent="0.25">
      <c r="C1122" s="131" t="s">
        <v>527</v>
      </c>
      <c r="D1122" s="132" t="s">
        <v>528</v>
      </c>
      <c r="E1122" s="163">
        <v>14012</v>
      </c>
      <c r="F1122" s="197" t="s">
        <v>1006</v>
      </c>
      <c r="G1122" s="110">
        <v>19.02</v>
      </c>
      <c r="H1122" s="150" t="str">
        <f t="shared" si="8"/>
        <v>C1BFCNALG-A11LB BOLTHOUSE FRESH CAN FS A/B</v>
      </c>
    </row>
    <row r="1123" spans="3:8" x14ac:dyDescent="0.25">
      <c r="C1123" s="131" t="s">
        <v>512</v>
      </c>
      <c r="D1123" s="132" t="s">
        <v>905</v>
      </c>
      <c r="E1123" s="163">
        <v>13984</v>
      </c>
      <c r="F1123" s="197">
        <v>28739</v>
      </c>
      <c r="G1123" s="110">
        <v>22.5</v>
      </c>
      <c r="H1123" s="150" t="str">
        <f t="shared" si="8"/>
        <v>0930NOM 3ct Rom Hrt BI - NO ZIP USA</v>
      </c>
    </row>
    <row r="1124" spans="3:8" x14ac:dyDescent="0.25">
      <c r="C1124" s="131" t="s">
        <v>1007</v>
      </c>
      <c r="D1124" s="132" t="s">
        <v>633</v>
      </c>
      <c r="E1124" s="163">
        <v>13976</v>
      </c>
      <c r="F1124" s="197">
        <v>28700</v>
      </c>
      <c r="G1124" s="110">
        <v>19.440000000000001</v>
      </c>
      <c r="H1124" s="150" t="str">
        <f t="shared" si="8"/>
        <v>9801864 - 783091EBF Org Cauliflower Bag USA</v>
      </c>
    </row>
    <row r="1125" spans="3:8" x14ac:dyDescent="0.25">
      <c r="C1125" s="186">
        <v>922</v>
      </c>
      <c r="D1125" s="187" t="s">
        <v>1008</v>
      </c>
      <c r="E1125" s="163">
        <v>13980</v>
      </c>
      <c r="F1125" s="197">
        <v>28701</v>
      </c>
      <c r="G1125" s="110">
        <v>18.489999999999998</v>
      </c>
      <c r="H1125" s="150" t="str">
        <f t="shared" si="8"/>
        <v>922COEAN MIST UPC/PLU CAULIFLOWER</v>
      </c>
    </row>
    <row r="1126" spans="3:8" x14ac:dyDescent="0.25">
      <c r="C1126" s="131" t="s">
        <v>1004</v>
      </c>
      <c r="D1126" s="132" t="s">
        <v>1005</v>
      </c>
      <c r="E1126" s="163">
        <v>13843</v>
      </c>
      <c r="F1126" s="197">
        <v>28619</v>
      </c>
      <c r="G1126" s="110">
        <v>190.78</v>
      </c>
      <c r="H1126" s="150" t="str">
        <f t="shared" si="8"/>
        <v>0997NOCM 4Ct Artichoke</v>
      </c>
    </row>
    <row r="1127" spans="3:8" x14ac:dyDescent="0.25">
      <c r="C1127" s="131" t="s">
        <v>932</v>
      </c>
      <c r="D1127" s="132" t="s">
        <v>1002</v>
      </c>
      <c r="E1127" s="163">
        <v>13978</v>
      </c>
      <c r="F1127" s="197">
        <v>28698</v>
      </c>
      <c r="G1127" s="110">
        <v>72.73</v>
      </c>
      <c r="H1127" s="150" t="str">
        <f t="shared" si="8"/>
        <v>9801902 - 783913TFR COSTCO 6Ct Rom Hrt USA</v>
      </c>
    </row>
    <row r="1128" spans="3:8" x14ac:dyDescent="0.25">
      <c r="C1128" s="131" t="s">
        <v>938</v>
      </c>
      <c r="D1128" s="132" t="s">
        <v>704</v>
      </c>
      <c r="E1128" s="163">
        <v>13977</v>
      </c>
      <c r="F1128" s="197">
        <v>28734</v>
      </c>
      <c r="G1128" s="110">
        <v>40</v>
      </c>
      <c r="H1128" s="150" t="str">
        <f t="shared" si="8"/>
        <v>9801900 - 783911TJ 3ct Org Rom Heart Bag - USA</v>
      </c>
    </row>
    <row r="1129" spans="3:8" x14ac:dyDescent="0.25">
      <c r="C1129" s="131">
        <v>300001581</v>
      </c>
      <c r="D1129" s="132" t="s">
        <v>826</v>
      </c>
      <c r="E1129" s="163">
        <v>13724</v>
      </c>
      <c r="F1129" s="197">
        <v>28197</v>
      </c>
      <c r="G1129" s="110">
        <v>62.44</v>
      </c>
      <c r="H1129" s="150" t="str">
        <f t="shared" si="8"/>
        <v>3000015815LB CR DICED STRAWBERRIES DOLE</v>
      </c>
    </row>
    <row r="1130" spans="3:8" x14ac:dyDescent="0.25">
      <c r="C1130" s="186" t="s">
        <v>512</v>
      </c>
      <c r="D1130" s="215" t="s">
        <v>905</v>
      </c>
      <c r="E1130" s="163">
        <v>13984</v>
      </c>
      <c r="F1130" s="197">
        <v>28739</v>
      </c>
      <c r="G1130" s="110">
        <v>22.5</v>
      </c>
      <c r="H1130" s="150" t="str">
        <f t="shared" si="8"/>
        <v>0930NOM 3ct Rom Hrt BI - NO ZIP USA</v>
      </c>
    </row>
    <row r="1131" spans="3:8" x14ac:dyDescent="0.25">
      <c r="C1131" s="186" t="s">
        <v>527</v>
      </c>
      <c r="D1131" s="187" t="s">
        <v>528</v>
      </c>
      <c r="E1131" s="163">
        <v>14012</v>
      </c>
      <c r="F1131" s="197">
        <v>28731</v>
      </c>
      <c r="G1131" s="110">
        <v>19.02</v>
      </c>
      <c r="H1131" s="150" t="str">
        <f t="shared" si="8"/>
        <v>C1BFCNALG-A11LB BOLTHOUSE FRESH CAN FS A/B</v>
      </c>
    </row>
    <row r="1132" spans="3:8" x14ac:dyDescent="0.25">
      <c r="C1132" s="186" t="s">
        <v>1009</v>
      </c>
      <c r="D1132" s="215" t="s">
        <v>1010</v>
      </c>
      <c r="E1132" s="163">
        <v>13627</v>
      </c>
      <c r="F1132" s="197">
        <v>28122</v>
      </c>
      <c r="G1132" s="110">
        <v>96.91</v>
      </c>
      <c r="H1132" s="150" t="str">
        <f t="shared" si="8"/>
        <v>300002198POUCH 32OZ WEGMANS ORG MX BERRIES</v>
      </c>
    </row>
    <row r="1133" spans="3:8" x14ac:dyDescent="0.25">
      <c r="C1133" s="186" t="s">
        <v>664</v>
      </c>
      <c r="D1133" s="215" t="s">
        <v>665</v>
      </c>
      <c r="E1133" s="163">
        <v>13924</v>
      </c>
      <c r="F1133" s="197">
        <v>28730</v>
      </c>
      <c r="G1133" s="110">
        <v>68.52</v>
      </c>
      <c r="H1133" s="150" t="str">
        <f t="shared" si="8"/>
        <v>3000017825LB DOLE MIXED FRUIT</v>
      </c>
    </row>
    <row r="1134" spans="3:8" x14ac:dyDescent="0.25">
      <c r="C1134" s="186" t="s">
        <v>916</v>
      </c>
      <c r="D1134" s="215" t="s">
        <v>917</v>
      </c>
      <c r="E1134" s="163">
        <v>13923</v>
      </c>
      <c r="F1134" s="197">
        <v>28784</v>
      </c>
      <c r="G1134" s="110">
        <v>63.66</v>
      </c>
      <c r="H1134" s="150" t="str">
        <f t="shared" si="8"/>
        <v>3000017545lb CR DOLE PINEAPPLE CUBED</v>
      </c>
    </row>
    <row r="1135" spans="3:8" x14ac:dyDescent="0.25">
      <c r="C1135" s="186" t="s">
        <v>716</v>
      </c>
      <c r="D1135" s="215" t="s">
        <v>717</v>
      </c>
      <c r="E1135" s="163">
        <v>13986</v>
      </c>
      <c r="F1135" s="197">
        <v>28785</v>
      </c>
      <c r="G1135" s="110">
        <v>48.64</v>
      </c>
      <c r="H1135" s="150" t="str">
        <f t="shared" si="8"/>
        <v>300002360POLY 48OZ GIANT EAGLE TRIPLE B</v>
      </c>
    </row>
    <row r="1136" spans="3:8" x14ac:dyDescent="0.25">
      <c r="C1136" s="131" t="s">
        <v>673</v>
      </c>
      <c r="D1136" s="133" t="s">
        <v>1011</v>
      </c>
      <c r="E1136" s="163">
        <v>13966</v>
      </c>
      <c r="F1136" s="197">
        <v>28729</v>
      </c>
      <c r="G1136" s="110">
        <v>20.239999999999998</v>
      </c>
      <c r="H1136" s="150" t="str">
        <f t="shared" si="8"/>
        <v>14010980-00WEIS Frsh from Fld Cauli 14.75</v>
      </c>
    </row>
    <row r="1137" spans="3:8" x14ac:dyDescent="0.25">
      <c r="C1137" s="186" t="s">
        <v>512</v>
      </c>
      <c r="D1137" s="215" t="s">
        <v>905</v>
      </c>
      <c r="E1137" s="163">
        <v>13984</v>
      </c>
      <c r="F1137" s="197">
        <v>28739</v>
      </c>
      <c r="G1137" s="110">
        <v>22.5</v>
      </c>
      <c r="H1137" s="150" t="str">
        <f t="shared" si="8"/>
        <v>0930NOM 3ct Rom Hrt BI - NO ZIP USA</v>
      </c>
    </row>
    <row r="1138" spans="3:8" x14ac:dyDescent="0.25">
      <c r="C1138" s="131" t="s">
        <v>951</v>
      </c>
      <c r="D1138" s="133" t="s">
        <v>952</v>
      </c>
      <c r="E1138" s="163">
        <v>14090</v>
      </c>
      <c r="F1138" s="197">
        <v>28920</v>
      </c>
      <c r="G1138" s="110">
        <v>23.29</v>
      </c>
      <c r="H1138" s="150" t="str">
        <f t="shared" si="8"/>
        <v>4069V1Church Bros Broccoli Crown USA</v>
      </c>
    </row>
    <row r="1139" spans="3:8" x14ac:dyDescent="0.25">
      <c r="C1139" s="131" t="s">
        <v>527</v>
      </c>
      <c r="D1139" s="133" t="s">
        <v>528</v>
      </c>
      <c r="E1139" s="163">
        <v>14012</v>
      </c>
      <c r="F1139" s="197">
        <v>28731</v>
      </c>
      <c r="G1139" s="110">
        <v>19.02</v>
      </c>
      <c r="H1139" s="150" t="str">
        <f t="shared" si="8"/>
        <v>C1BFCNALG-A11LB BOLTHOUSE FRESH CAN FS A/B</v>
      </c>
    </row>
    <row r="1140" spans="3:8" x14ac:dyDescent="0.25">
      <c r="C1140" s="131" t="s">
        <v>533</v>
      </c>
      <c r="D1140" s="133" t="s">
        <v>534</v>
      </c>
      <c r="E1140" s="163">
        <v>13950</v>
      </c>
      <c r="F1140" s="197">
        <v>28781</v>
      </c>
      <c r="G1140" s="110">
        <v>22.32</v>
      </c>
      <c r="H1140" s="150" t="str">
        <f t="shared" si="8"/>
        <v>61195-18T&amp;A Celery Stalk Sleeves 24's</v>
      </c>
    </row>
    <row r="1141" spans="3:8" x14ac:dyDescent="0.25">
      <c r="C1141" s="131" t="s">
        <v>1012</v>
      </c>
      <c r="D1141" s="132" t="s">
        <v>1013</v>
      </c>
      <c r="E1141" s="163">
        <v>13613</v>
      </c>
      <c r="F1141" s="197">
        <v>28646</v>
      </c>
      <c r="G1141" s="110">
        <v>117.22</v>
      </c>
      <c r="H1141" s="150" t="str">
        <f t="shared" si="8"/>
        <v>300001666POUCH 48OZ WEGMANS SL STRAW</v>
      </c>
    </row>
    <row r="1142" spans="3:8" x14ac:dyDescent="0.25">
      <c r="C1142" s="131" t="s">
        <v>934</v>
      </c>
      <c r="D1142" s="132" t="s">
        <v>935</v>
      </c>
      <c r="E1142" s="163">
        <v>13955</v>
      </c>
      <c r="F1142" s="197">
        <v>28728</v>
      </c>
      <c r="G1142" s="110">
        <v>40</v>
      </c>
      <c r="H1142" s="150" t="str">
        <f t="shared" si="8"/>
        <v>14010912-00WEIS 3Ct Romaine Hearts</v>
      </c>
    </row>
    <row r="1143" spans="3:8" x14ac:dyDescent="0.25">
      <c r="C1143" s="131" t="s">
        <v>400</v>
      </c>
      <c r="D1143" s="133" t="s">
        <v>563</v>
      </c>
      <c r="E1143" s="146">
        <v>14134</v>
      </c>
      <c r="F1143" s="197" t="s">
        <v>1014</v>
      </c>
      <c r="G1143" s="110">
        <v>40.98</v>
      </c>
      <c r="H1143" s="150" t="str">
        <f t="shared" si="8"/>
        <v>62021-11T&amp;A 6Ct Rom Hrts Nt Wt St</v>
      </c>
    </row>
    <row r="1144" spans="3:8" x14ac:dyDescent="0.25">
      <c r="C1144" s="131" t="s">
        <v>426</v>
      </c>
      <c r="D1144" s="132" t="s">
        <v>403</v>
      </c>
      <c r="E1144" s="146">
        <v>13914</v>
      </c>
      <c r="F1144" s="197">
        <v>28597</v>
      </c>
      <c r="G1144" s="110">
        <v>94.77</v>
      </c>
      <c r="H1144" s="150" t="str">
        <f t="shared" si="8"/>
        <v>61955-11GIANT EAGLE 2Ct Atsn Rom SUP</v>
      </c>
    </row>
    <row r="1145" spans="3:8" x14ac:dyDescent="0.25">
      <c r="C1145" s="131" t="s">
        <v>1015</v>
      </c>
      <c r="D1145" s="132" t="s">
        <v>270</v>
      </c>
      <c r="E1145" s="146">
        <v>13259</v>
      </c>
      <c r="F1145" s="197">
        <v>26053</v>
      </c>
      <c r="G1145" s="110">
        <v>68.540000000000006</v>
      </c>
      <c r="H1145" s="150" t="str">
        <f t="shared" si="8"/>
        <v>9501808 - 780177TFR 6ct Rom Hrts-COSTCO-BILIN</v>
      </c>
    </row>
    <row r="1146" spans="3:8" x14ac:dyDescent="0.25">
      <c r="C1146" s="131" t="s">
        <v>810</v>
      </c>
      <c r="D1146" s="132" t="s">
        <v>811</v>
      </c>
      <c r="E1146" s="146">
        <v>13577</v>
      </c>
      <c r="F1146" s="197">
        <v>27365</v>
      </c>
      <c r="G1146" s="110">
        <v>48.5</v>
      </c>
      <c r="H1146" s="150" t="str">
        <f t="shared" si="8"/>
        <v>62033-11Meijer 3ct Artisan Romaine-Zip</v>
      </c>
    </row>
    <row r="1147" spans="3:8" x14ac:dyDescent="0.25">
      <c r="C1147" s="131" t="s">
        <v>1007</v>
      </c>
      <c r="D1147" s="132" t="s">
        <v>633</v>
      </c>
      <c r="E1147" s="146">
        <v>13976</v>
      </c>
      <c r="F1147" s="197">
        <v>28700</v>
      </c>
      <c r="G1147" s="110">
        <v>19.440000000000001</v>
      </c>
      <c r="H1147" s="150" t="str">
        <f t="shared" si="8"/>
        <v>9801864 - 783091EBF Org Cauliflower Bag USA</v>
      </c>
    </row>
    <row r="1148" spans="3:8" x14ac:dyDescent="0.25">
      <c r="C1148" s="131" t="s">
        <v>571</v>
      </c>
      <c r="D1148" s="133" t="s">
        <v>572</v>
      </c>
      <c r="E1148" s="146">
        <v>14005</v>
      </c>
      <c r="F1148" s="197">
        <v>28842</v>
      </c>
      <c r="G1148" s="110">
        <v>42.69</v>
      </c>
      <c r="H1148" s="150" t="str">
        <f t="shared" si="8"/>
        <v>C5BFCNLA-A15LB BOLTHOUSE FRESH CAN FS A/B</v>
      </c>
    </row>
    <row r="1149" spans="3:8" x14ac:dyDescent="0.25">
      <c r="C1149" s="131" t="s">
        <v>529</v>
      </c>
      <c r="D1149" s="133" t="s">
        <v>530</v>
      </c>
      <c r="E1149" s="146">
        <v>13949</v>
      </c>
      <c r="F1149" s="197">
        <v>28726</v>
      </c>
      <c r="G1149" s="110">
        <v>22.96</v>
      </c>
      <c r="H1149" s="150" t="str">
        <f t="shared" si="8"/>
        <v>61186-19T&amp;A Celery Sleeve 30's USA-Bil</v>
      </c>
    </row>
    <row r="1150" spans="3:8" x14ac:dyDescent="0.25">
      <c r="C1150" s="131" t="s">
        <v>533</v>
      </c>
      <c r="D1150" s="133" t="s">
        <v>534</v>
      </c>
      <c r="E1150" s="146">
        <v>13950</v>
      </c>
      <c r="F1150" s="197">
        <v>28781</v>
      </c>
      <c r="G1150" s="110">
        <v>22.32</v>
      </c>
      <c r="H1150" s="150" t="str">
        <f t="shared" si="8"/>
        <v>61195-18T&amp;A Celery Stalk Sleeves 24's</v>
      </c>
    </row>
    <row r="1151" spans="3:8" x14ac:dyDescent="0.25">
      <c r="C1151" s="131" t="s">
        <v>956</v>
      </c>
      <c r="D1151" s="132" t="s">
        <v>957</v>
      </c>
      <c r="E1151" s="146">
        <v>13618</v>
      </c>
      <c r="F1151" s="197" t="s">
        <v>1016</v>
      </c>
      <c r="G1151" s="110">
        <v>52.35</v>
      </c>
      <c r="H1151" s="150" t="str">
        <f t="shared" si="8"/>
        <v>1587CB Trdr Joe 3ct Little Gem Ltt</v>
      </c>
    </row>
    <row r="1152" spans="3:8" x14ac:dyDescent="0.25">
      <c r="C1152" s="131" t="s">
        <v>585</v>
      </c>
      <c r="D1152" s="132" t="s">
        <v>586</v>
      </c>
      <c r="E1152" s="146">
        <v>13443</v>
      </c>
      <c r="F1152" s="197">
        <v>27919</v>
      </c>
      <c r="G1152" s="110">
        <v>22.56</v>
      </c>
      <c r="H1152" s="150" t="str">
        <f t="shared" si="8"/>
        <v>0930MOM 3ct Rom Hearts BI NoZip POM</v>
      </c>
    </row>
    <row r="1153" spans="3:8" x14ac:dyDescent="0.25">
      <c r="C1153" s="131" t="s">
        <v>571</v>
      </c>
      <c r="D1153" s="133" t="s">
        <v>572</v>
      </c>
      <c r="E1153" s="146">
        <v>14005</v>
      </c>
      <c r="F1153" s="197">
        <v>28842</v>
      </c>
      <c r="G1153" s="110">
        <v>42.69</v>
      </c>
      <c r="H1153" s="150" t="str">
        <f t="shared" si="8"/>
        <v>C5BFCNLA-A15LB BOLTHOUSE FRESH CAN FS A/B</v>
      </c>
    </row>
    <row r="1154" spans="3:8" x14ac:dyDescent="0.25">
      <c r="C1154" s="131" t="s">
        <v>438</v>
      </c>
      <c r="D1154" s="132" t="s">
        <v>498</v>
      </c>
      <c r="E1154" s="146">
        <v>13938</v>
      </c>
      <c r="F1154" s="197">
        <v>28733</v>
      </c>
      <c r="G1154" s="110">
        <v>40</v>
      </c>
      <c r="H1154" s="150" t="str">
        <f t="shared" si="8"/>
        <v>0932OM Good&amp;Gather 3ct Rom Hrts US</v>
      </c>
    </row>
    <row r="1155" spans="3:8" x14ac:dyDescent="0.25">
      <c r="C1155" s="131" t="s">
        <v>154</v>
      </c>
      <c r="D1155" s="132" t="s">
        <v>232</v>
      </c>
      <c r="E1155" s="223">
        <v>14105</v>
      </c>
      <c r="F1155" s="197">
        <v>29153</v>
      </c>
      <c r="G1155" s="110">
        <v>58.5</v>
      </c>
      <c r="H1155" s="150" t="str">
        <f t="shared" si="8"/>
        <v>002-00-30000-04Markon 6ct Lettuce</v>
      </c>
    </row>
    <row r="1156" spans="3:8" x14ac:dyDescent="0.25">
      <c r="C1156" s="131" t="s">
        <v>527</v>
      </c>
      <c r="D1156" s="133" t="s">
        <v>528</v>
      </c>
      <c r="E1156" s="223">
        <v>14012</v>
      </c>
      <c r="F1156" s="197">
        <v>28731</v>
      </c>
      <c r="G1156" s="110">
        <v>19.02</v>
      </c>
      <c r="H1156" s="150" t="str">
        <f t="shared" si="8"/>
        <v>C1BFCNALG-A11LB BOLTHOUSE FRESH CAN FS A/B</v>
      </c>
    </row>
    <row r="1157" spans="3:8" x14ac:dyDescent="0.25">
      <c r="C1157" s="131" t="s">
        <v>1017</v>
      </c>
      <c r="D1157" s="132" t="s">
        <v>957</v>
      </c>
      <c r="E1157" s="223">
        <v>13902</v>
      </c>
      <c r="F1157" s="197">
        <v>28645</v>
      </c>
      <c r="G1157" s="110">
        <v>52.35</v>
      </c>
      <c r="H1157" s="150" t="str">
        <f t="shared" si="8"/>
        <v>1587V1CB Trdr Joe 3ct Little Gem Ltt</v>
      </c>
    </row>
    <row r="1158" spans="3:8" x14ac:dyDescent="0.25">
      <c r="C1158" s="131" t="s">
        <v>673</v>
      </c>
      <c r="D1158" s="133" t="s">
        <v>1011</v>
      </c>
      <c r="E1158" s="146">
        <v>13966</v>
      </c>
      <c r="F1158" s="197">
        <v>28729</v>
      </c>
      <c r="G1158" s="110">
        <v>20.239999999999998</v>
      </c>
      <c r="H1158" s="150" t="str">
        <f t="shared" si="8"/>
        <v>14010980-00WEIS Frsh from Fld Cauli 14.75</v>
      </c>
    </row>
    <row r="1159" spans="3:8" x14ac:dyDescent="0.25">
      <c r="C1159" s="131" t="s">
        <v>838</v>
      </c>
      <c r="D1159" s="132" t="s">
        <v>839</v>
      </c>
      <c r="E1159" s="146">
        <v>14078</v>
      </c>
      <c r="F1159" s="197">
        <v>28911</v>
      </c>
      <c r="G1159" s="110">
        <v>40</v>
      </c>
      <c r="H1159" s="150" t="str">
        <f t="shared" si="8"/>
        <v>002-40-55022-01DOLE 18oz Org Rom. Hrt Zip USA</v>
      </c>
    </row>
    <row r="1160" spans="3:8" x14ac:dyDescent="0.25">
      <c r="C1160" s="131" t="s">
        <v>932</v>
      </c>
      <c r="D1160" s="132" t="s">
        <v>1002</v>
      </c>
      <c r="E1160" s="146">
        <v>13978</v>
      </c>
      <c r="F1160" s="197">
        <v>28698</v>
      </c>
      <c r="G1160" s="110">
        <v>72.73</v>
      </c>
      <c r="H1160" s="150" t="str">
        <f t="shared" si="8"/>
        <v>9801902 - 783913TFR COSTCO 6Ct Rom Hrt USA</v>
      </c>
    </row>
    <row r="1161" spans="3:8" x14ac:dyDescent="0.25">
      <c r="C1161" s="131" t="s">
        <v>400</v>
      </c>
      <c r="D1161" s="132" t="s">
        <v>563</v>
      </c>
      <c r="E1161" s="223">
        <v>14134</v>
      </c>
      <c r="F1161" s="197">
        <v>29265</v>
      </c>
      <c r="G1161" s="110">
        <v>40.98</v>
      </c>
      <c r="H1161" s="150" t="str">
        <f t="shared" si="8"/>
        <v>62021-11T&amp;A 6Ct Rom Hrts Nt Wt St</v>
      </c>
    </row>
    <row r="1162" spans="3:8" x14ac:dyDescent="0.25">
      <c r="C1162" s="131" t="s">
        <v>651</v>
      </c>
      <c r="D1162" s="133" t="s">
        <v>237</v>
      </c>
      <c r="E1162" s="223">
        <v>13983</v>
      </c>
      <c r="F1162" s="197">
        <v>28803</v>
      </c>
      <c r="G1162" s="110">
        <v>20.079999999999998</v>
      </c>
      <c r="H1162" s="150" t="str">
        <f t="shared" si="8"/>
        <v>5019Trader Joe's 1ct Green Cabbage</v>
      </c>
    </row>
    <row r="1163" spans="3:8" x14ac:dyDescent="0.25">
      <c r="C1163" s="131" t="s">
        <v>1018</v>
      </c>
      <c r="D1163" s="132" t="s">
        <v>833</v>
      </c>
      <c r="E1163" s="163">
        <v>13903</v>
      </c>
      <c r="F1163" s="197">
        <v>28595</v>
      </c>
      <c r="G1163" s="110">
        <v>38.5</v>
      </c>
      <c r="H1163" s="150" t="str">
        <f t="shared" si="8"/>
        <v>9801993 - 787313TFR COSTCO 5ct Petite Romaine</v>
      </c>
    </row>
    <row r="1164" spans="3:8" x14ac:dyDescent="0.25">
      <c r="C1164" s="131" t="s">
        <v>548</v>
      </c>
      <c r="D1164" s="133" t="s">
        <v>549</v>
      </c>
      <c r="E1164" s="163">
        <v>13998</v>
      </c>
      <c r="F1164" s="197">
        <v>28741</v>
      </c>
      <c r="G1164" s="110">
        <v>26.39</v>
      </c>
      <c r="H1164" s="150" t="str">
        <f t="shared" si="8"/>
        <v>C2BBALG-A42LB BRENDA BELLE FARMS AUTOBAG</v>
      </c>
    </row>
    <row r="1165" spans="3:8" x14ac:dyDescent="0.25">
      <c r="C1165" s="131" t="s">
        <v>1000</v>
      </c>
      <c r="D1165" s="132" t="s">
        <v>1001</v>
      </c>
      <c r="E1165" s="163">
        <v>13987</v>
      </c>
      <c r="F1165" s="197">
        <v>28788</v>
      </c>
      <c r="G1165" s="110">
        <v>94.87</v>
      </c>
      <c r="H1165" s="150" t="str">
        <f t="shared" si="8"/>
        <v>300001998POUCH 32OZ WGMNS ORG BLUEBERRI</v>
      </c>
    </row>
    <row r="1166" spans="3:8" x14ac:dyDescent="0.25">
      <c r="C1166" s="131" t="s">
        <v>997</v>
      </c>
      <c r="D1166" s="132" t="s">
        <v>1019</v>
      </c>
      <c r="E1166" s="163">
        <v>13988</v>
      </c>
      <c r="F1166" s="197">
        <v>28789</v>
      </c>
      <c r="G1166" s="110">
        <v>96.91</v>
      </c>
      <c r="H1166" s="150" t="str">
        <f t="shared" si="8"/>
        <v>300001997POUCH 32OZ WEGMAN ORG MGO CHNK</v>
      </c>
    </row>
    <row r="1167" spans="3:8" x14ac:dyDescent="0.25">
      <c r="C1167" s="131" t="s">
        <v>1012</v>
      </c>
      <c r="D1167" s="132" t="s">
        <v>1013</v>
      </c>
      <c r="E1167" s="163">
        <v>13989</v>
      </c>
      <c r="F1167" s="197">
        <v>28790</v>
      </c>
      <c r="G1167" s="110">
        <v>117.22</v>
      </c>
      <c r="H1167" s="150" t="str">
        <f t="shared" si="8"/>
        <v>300001666POUCH 48OZ WEGMANS SL STRAW</v>
      </c>
    </row>
    <row r="1168" spans="3:8" x14ac:dyDescent="0.25">
      <c r="C1168" s="131" t="s">
        <v>1020</v>
      </c>
      <c r="D1168" s="132" t="s">
        <v>1021</v>
      </c>
      <c r="E1168" s="163">
        <v>13990</v>
      </c>
      <c r="F1168" s="197">
        <v>28791</v>
      </c>
      <c r="G1168" s="110">
        <v>71.28</v>
      </c>
      <c r="H1168" s="150" t="str">
        <f t="shared" si="8"/>
        <v>300001996POUCH 12 OZ WEGMAN ORG MANGO</v>
      </c>
    </row>
    <row r="1169" spans="3:8" x14ac:dyDescent="0.25">
      <c r="C1169" s="131" t="s">
        <v>942</v>
      </c>
      <c r="D1169" s="132" t="s">
        <v>609</v>
      </c>
      <c r="E1169" s="163">
        <v>13959</v>
      </c>
      <c r="F1169" s="197">
        <v>28736</v>
      </c>
      <c r="G1169" s="110">
        <v>16.7</v>
      </c>
      <c r="H1169" s="150" t="str">
        <f t="shared" si="8"/>
        <v>54972-1BAG, 2#, KROGER, RS</v>
      </c>
    </row>
    <row r="1170" spans="3:8" x14ac:dyDescent="0.25">
      <c r="C1170" s="131" t="s">
        <v>495</v>
      </c>
      <c r="D1170" s="132" t="s">
        <v>503</v>
      </c>
      <c r="E1170" s="163">
        <v>13963</v>
      </c>
      <c r="F1170" s="197">
        <v>28802</v>
      </c>
      <c r="G1170" s="110">
        <v>18.7</v>
      </c>
      <c r="H1170" s="150" t="str">
        <f t="shared" si="8"/>
        <v>92194BAG, 12OZ SAFEWAY SIGN MW PERF</v>
      </c>
    </row>
    <row r="1171" spans="3:8" x14ac:dyDescent="0.25">
      <c r="C1171" s="131" t="s">
        <v>925</v>
      </c>
      <c r="D1171" s="132" t="s">
        <v>743</v>
      </c>
      <c r="E1171" s="163">
        <v>14097</v>
      </c>
      <c r="F1171" s="197">
        <v>29188</v>
      </c>
      <c r="G1171" s="110">
        <v>33.42</v>
      </c>
      <c r="H1171" s="150" t="str">
        <f t="shared" si="8"/>
        <v>9801905 - 783916TFR 2ct Iceberg Lett USA GREEN</v>
      </c>
    </row>
    <row r="1172" spans="3:8" x14ac:dyDescent="0.25">
      <c r="C1172" s="131" t="s">
        <v>813</v>
      </c>
      <c r="D1172" s="132" t="s">
        <v>814</v>
      </c>
      <c r="E1172" s="163">
        <v>14092</v>
      </c>
      <c r="F1172" s="197">
        <v>29144</v>
      </c>
      <c r="G1172" s="110">
        <v>26.99</v>
      </c>
      <c r="H1172" s="150" t="str">
        <f t="shared" si="8"/>
        <v>B-86FRBosko Bilingual Green Onion</v>
      </c>
    </row>
    <row r="1173" spans="3:8" x14ac:dyDescent="0.25">
      <c r="C1173" s="131" t="s">
        <v>620</v>
      </c>
      <c r="D1173" s="133" t="s">
        <v>621</v>
      </c>
      <c r="E1173" s="163">
        <v>14064</v>
      </c>
      <c r="F1173" s="197">
        <v>28870</v>
      </c>
      <c r="G1173" s="110">
        <v>18.760000000000002</v>
      </c>
      <c r="H1173" s="150" t="str">
        <f t="shared" si="8"/>
        <v>60174-11T&amp;A UPC/PLU Cauliflower</v>
      </c>
    </row>
    <row r="1174" spans="3:8" x14ac:dyDescent="0.25">
      <c r="C1174" s="131" t="s">
        <v>585</v>
      </c>
      <c r="D1174" s="132" t="s">
        <v>586</v>
      </c>
      <c r="E1174" s="163">
        <v>14169</v>
      </c>
      <c r="F1174" s="197">
        <v>29333</v>
      </c>
      <c r="G1174" s="110">
        <v>22.56</v>
      </c>
      <c r="H1174" s="150" t="str">
        <f t="shared" si="8"/>
        <v>0930MOM 3ct Rom Hearts BI NoZip POM</v>
      </c>
    </row>
    <row r="1175" spans="3:8" x14ac:dyDescent="0.25">
      <c r="C1175" s="131" t="s">
        <v>602</v>
      </c>
      <c r="D1175" s="133" t="s">
        <v>603</v>
      </c>
      <c r="E1175" s="146">
        <v>13946</v>
      </c>
      <c r="F1175" s="197">
        <v>28783</v>
      </c>
      <c r="G1175" s="110">
        <v>35.549999999999997</v>
      </c>
      <c r="H1175" s="150" t="str">
        <f t="shared" si="8"/>
        <v>5CALOSBPW-15lb Cal O Sunburst Poly Wicket</v>
      </c>
    </row>
    <row r="1176" spans="3:8" x14ac:dyDescent="0.25">
      <c r="C1176" s="131" t="s">
        <v>651</v>
      </c>
      <c r="D1176" s="133" t="s">
        <v>237</v>
      </c>
      <c r="E1176" s="163">
        <v>13983</v>
      </c>
      <c r="F1176" s="197">
        <v>28803</v>
      </c>
      <c r="G1176" s="110">
        <v>20.079999999999998</v>
      </c>
      <c r="H1176" s="150" t="str">
        <f t="shared" si="8"/>
        <v>5019Trader Joe's 1ct Green Cabbage</v>
      </c>
    </row>
    <row r="1177" spans="3:8" x14ac:dyDescent="0.25">
      <c r="C1177" s="131" t="s">
        <v>522</v>
      </c>
      <c r="D1177" s="133" t="s">
        <v>523</v>
      </c>
      <c r="E1177" s="163">
        <v>14170</v>
      </c>
      <c r="F1177" s="197">
        <v>29360</v>
      </c>
      <c r="G1177" s="110">
        <v>20.25</v>
      </c>
      <c r="H1177" s="150" t="str">
        <f t="shared" si="8"/>
        <v>0921MOcean Mist Cauliflower POM</v>
      </c>
    </row>
    <row r="1178" spans="3:8" x14ac:dyDescent="0.25">
      <c r="C1178" s="131" t="s">
        <v>1022</v>
      </c>
      <c r="D1178" s="132" t="s">
        <v>1023</v>
      </c>
      <c r="E1178" s="146">
        <v>13565</v>
      </c>
      <c r="F1178" s="131">
        <v>29404</v>
      </c>
      <c r="G1178" s="110">
        <v>78.209999999999994</v>
      </c>
      <c r="H1178" s="150" t="str">
        <f t="shared" si="8"/>
        <v>300002385POUCH 16OZ WEGMANS RASPBERRIE</v>
      </c>
    </row>
    <row r="1179" spans="3:8" x14ac:dyDescent="0.25">
      <c r="C1179" s="131" t="s">
        <v>1024</v>
      </c>
      <c r="D1179" s="132" t="s">
        <v>1025</v>
      </c>
      <c r="E1179" s="146">
        <v>13563</v>
      </c>
      <c r="F1179" s="131">
        <v>29282</v>
      </c>
      <c r="G1179" s="110">
        <v>75.08</v>
      </c>
      <c r="H1179" s="150" t="str">
        <f t="shared" si="8"/>
        <v>300001981POUCH 16OZ WEGMANS BLUEBERRIES</v>
      </c>
    </row>
    <row r="1180" spans="3:8" x14ac:dyDescent="0.25">
      <c r="C1180" s="131" t="s">
        <v>1026</v>
      </c>
      <c r="D1180" s="132" t="s">
        <v>1027</v>
      </c>
      <c r="E1180" s="146">
        <v>13619</v>
      </c>
      <c r="F1180" s="131">
        <v>29403</v>
      </c>
      <c r="G1180" s="110">
        <v>117.22</v>
      </c>
      <c r="H1180" s="150" t="str">
        <f t="shared" si="8"/>
        <v>300002006POUCH 3LB WEGMANS PINEAPPLE CH</v>
      </c>
    </row>
    <row r="1181" spans="3:8" x14ac:dyDescent="0.25">
      <c r="C1181" s="186" t="s">
        <v>932</v>
      </c>
      <c r="D1181" s="215" t="s">
        <v>1002</v>
      </c>
      <c r="E1181" s="146">
        <v>13978</v>
      </c>
      <c r="F1181" s="131">
        <v>28698</v>
      </c>
      <c r="G1181" s="110">
        <v>72.73</v>
      </c>
      <c r="H1181" s="150" t="str">
        <f t="shared" si="8"/>
        <v>9801902 - 783913TFR COSTCO 6Ct Rom Hrt USA</v>
      </c>
    </row>
    <row r="1182" spans="3:8" x14ac:dyDescent="0.25">
      <c r="C1182" s="131" t="s">
        <v>1015</v>
      </c>
      <c r="D1182" s="132" t="s">
        <v>270</v>
      </c>
      <c r="E1182" s="146">
        <v>14127</v>
      </c>
      <c r="F1182" s="131">
        <v>29291</v>
      </c>
      <c r="G1182" s="110">
        <v>68.540000000000006</v>
      </c>
      <c r="H1182" s="150" t="str">
        <f t="shared" si="8"/>
        <v>9501808 - 780177TFR 6ct Rom Hrts-COSTCO-BILIN</v>
      </c>
    </row>
    <row r="1183" spans="3:8" x14ac:dyDescent="0.25">
      <c r="C1183" s="131" t="s">
        <v>907</v>
      </c>
      <c r="D1183" s="132" t="s">
        <v>908</v>
      </c>
      <c r="E1183" s="146">
        <v>14199</v>
      </c>
      <c r="F1183" s="131">
        <v>29442</v>
      </c>
      <c r="G1183" s="110">
        <v>114.17</v>
      </c>
      <c r="H1183" s="150" t="str">
        <f t="shared" si="8"/>
        <v>61579-15T&amp;A 3ct ArtsnSwt Gem-Zp w/Hdl</v>
      </c>
    </row>
    <row r="1184" spans="3:8" x14ac:dyDescent="0.25">
      <c r="C1184" s="131" t="s">
        <v>810</v>
      </c>
      <c r="D1184" s="132" t="s">
        <v>811</v>
      </c>
      <c r="E1184" s="146">
        <v>14135</v>
      </c>
      <c r="F1184" s="131">
        <v>29263</v>
      </c>
      <c r="G1184" s="110">
        <v>48.5</v>
      </c>
      <c r="H1184" s="150" t="str">
        <f t="shared" si="8"/>
        <v>62033-11Meijer 3ct Artisan Romaine-Zip</v>
      </c>
    </row>
    <row r="1185" spans="3:8" x14ac:dyDescent="0.25">
      <c r="C1185" s="131" t="s">
        <v>571</v>
      </c>
      <c r="D1185" s="133" t="s">
        <v>572</v>
      </c>
      <c r="E1185" s="163">
        <v>14005</v>
      </c>
      <c r="F1185" s="197">
        <v>28842</v>
      </c>
      <c r="G1185" s="110">
        <v>42.69</v>
      </c>
      <c r="H1185" s="150" t="str">
        <f t="shared" si="8"/>
        <v>C5BFCNLA-A15LB BOLTHOUSE FRESH CAN FS A/B</v>
      </c>
    </row>
    <row r="1186" spans="3:8" x14ac:dyDescent="0.25">
      <c r="C1186" s="131" t="s">
        <v>662</v>
      </c>
      <c r="D1186" s="133" t="s">
        <v>663</v>
      </c>
      <c r="E1186" s="163">
        <v>14100</v>
      </c>
      <c r="F1186" s="131">
        <v>29189</v>
      </c>
      <c r="G1186" s="110">
        <v>61.49</v>
      </c>
      <c r="H1186" s="150" t="str">
        <f t="shared" si="8"/>
        <v>C5NBOLA-A65LB NATURES BASKET ORG LONG AB</v>
      </c>
    </row>
    <row r="1187" spans="3:8" x14ac:dyDescent="0.25">
      <c r="C1187" s="131" t="s">
        <v>640</v>
      </c>
      <c r="D1187" s="133" t="s">
        <v>641</v>
      </c>
      <c r="E1187" s="163">
        <v>14160</v>
      </c>
      <c r="F1187" s="131">
        <v>29376</v>
      </c>
      <c r="G1187" s="110">
        <v>27.25</v>
      </c>
      <c r="H1187" s="150" t="str">
        <f t="shared" si="8"/>
        <v>C2WEGRAINOALG-A12LB WEGMANS ORG RAINBOW CRTS</v>
      </c>
    </row>
    <row r="1188" spans="3:8" x14ac:dyDescent="0.25">
      <c r="C1188" s="131" t="s">
        <v>787</v>
      </c>
      <c r="D1188" s="133" t="s">
        <v>788</v>
      </c>
      <c r="E1188" s="163">
        <v>14131</v>
      </c>
      <c r="F1188" s="131">
        <v>29264</v>
      </c>
      <c r="G1188" s="110">
        <v>19.79</v>
      </c>
      <c r="H1188" s="150" t="str">
        <f t="shared" si="8"/>
        <v>61270-12TJ's Cauliflower</v>
      </c>
    </row>
    <row r="1189" spans="3:8" x14ac:dyDescent="0.25">
      <c r="C1189" s="131" t="s">
        <v>596</v>
      </c>
      <c r="D1189" s="133" t="s">
        <v>597</v>
      </c>
      <c r="E1189" s="163">
        <v>14191</v>
      </c>
      <c r="F1189" s="131">
        <v>29365</v>
      </c>
      <c r="G1189" s="110">
        <v>44.53</v>
      </c>
      <c r="H1189" s="150" t="str">
        <f t="shared" si="8"/>
        <v>C5NPROLA-A45LB NAT PROM ORG LONG AB CELLO</v>
      </c>
    </row>
    <row r="1190" spans="3:8" x14ac:dyDescent="0.25">
      <c r="C1190" s="131" t="s">
        <v>838</v>
      </c>
      <c r="D1190" s="132" t="s">
        <v>839</v>
      </c>
      <c r="E1190" s="163">
        <v>14168</v>
      </c>
      <c r="F1190" s="131">
        <v>29361</v>
      </c>
      <c r="G1190" s="110">
        <v>40</v>
      </c>
      <c r="H1190" s="150" t="str">
        <f t="shared" si="8"/>
        <v>002-40-55022-01DOLE 18oz Org Rom. Hrt Zip USA</v>
      </c>
    </row>
    <row r="1191" spans="3:8" x14ac:dyDescent="0.25">
      <c r="C1191" s="131" t="s">
        <v>1024</v>
      </c>
      <c r="D1191" s="132" t="s">
        <v>1025</v>
      </c>
      <c r="E1191" s="146">
        <v>14052</v>
      </c>
      <c r="F1191" s="131">
        <v>29286</v>
      </c>
      <c r="G1191" s="110">
        <v>78.209999999999994</v>
      </c>
      <c r="H1191" s="150" t="str">
        <f t="shared" si="8"/>
        <v>300001981POUCH 16OZ WEGMANS BLUEBERRIES</v>
      </c>
    </row>
    <row r="1192" spans="3:8" x14ac:dyDescent="0.25">
      <c r="C1192" s="131" t="s">
        <v>907</v>
      </c>
      <c r="D1192" s="132" t="s">
        <v>908</v>
      </c>
      <c r="E1192" s="146">
        <v>14199</v>
      </c>
      <c r="F1192" s="131">
        <v>29442</v>
      </c>
      <c r="G1192" s="110">
        <v>114.17</v>
      </c>
      <c r="H1192" s="150" t="str">
        <f t="shared" si="8"/>
        <v>61579-15T&amp;A 3ct ArtsnSwt Gem-Zp w/Hdl</v>
      </c>
    </row>
    <row r="1193" spans="3:8" x14ac:dyDescent="0.25">
      <c r="C1193" s="131" t="s">
        <v>942</v>
      </c>
      <c r="D1193" s="132" t="s">
        <v>609</v>
      </c>
      <c r="E1193" s="146">
        <v>13959</v>
      </c>
      <c r="F1193" s="131">
        <v>28736</v>
      </c>
      <c r="G1193" s="110">
        <v>16.7</v>
      </c>
      <c r="H1193" s="150" t="str">
        <f t="shared" si="8"/>
        <v>54972-1BAG, 2#, KROGER, RS</v>
      </c>
    </row>
    <row r="1194" spans="3:8" x14ac:dyDescent="0.25">
      <c r="C1194" s="131" t="s">
        <v>400</v>
      </c>
      <c r="D1194" s="133" t="s">
        <v>563</v>
      </c>
      <c r="E1194" s="146">
        <v>14134</v>
      </c>
      <c r="F1194" s="131">
        <v>29625</v>
      </c>
      <c r="G1194" s="110">
        <v>40.98</v>
      </c>
      <c r="H1194" s="150" t="str">
        <f t="shared" si="8"/>
        <v>62021-11T&amp;A 6Ct Rom Hrts Nt Wt St</v>
      </c>
    </row>
    <row r="1195" spans="3:8" x14ac:dyDescent="0.25">
      <c r="C1195" s="131" t="s">
        <v>525</v>
      </c>
      <c r="D1195" s="133" t="s">
        <v>526</v>
      </c>
      <c r="E1195" s="146">
        <v>14130</v>
      </c>
      <c r="F1195" s="197">
        <v>29292</v>
      </c>
      <c r="G1195" s="110">
        <v>18.98</v>
      </c>
      <c r="H1195" s="150" t="str">
        <f t="shared" si="8"/>
        <v>61182-20T&amp;A Cauliflower-Bilingual</v>
      </c>
    </row>
    <row r="1196" spans="3:8" x14ac:dyDescent="0.25">
      <c r="C1196" s="131" t="s">
        <v>527</v>
      </c>
      <c r="D1196" s="133" t="s">
        <v>528</v>
      </c>
      <c r="E1196" s="146">
        <v>14244</v>
      </c>
      <c r="F1196" s="197">
        <v>29556</v>
      </c>
      <c r="G1196" s="110">
        <v>19.02</v>
      </c>
      <c r="H1196" s="150" t="str">
        <f t="shared" si="8"/>
        <v>C1BFCNALG-A11LB BOLTHOUSE FRESH CAN FS A/B</v>
      </c>
    </row>
    <row r="1197" spans="3:8" x14ac:dyDescent="0.25">
      <c r="C1197" s="131" t="s">
        <v>476</v>
      </c>
      <c r="D1197" s="132" t="s">
        <v>477</v>
      </c>
      <c r="E1197" s="163">
        <v>14195</v>
      </c>
      <c r="F1197" s="197">
        <v>29682</v>
      </c>
      <c r="G1197" s="110">
        <v>40</v>
      </c>
      <c r="H1197" s="150" t="str">
        <f t="shared" si="8"/>
        <v>01749036Foxy 3ct Org Rom Biling. POM</v>
      </c>
    </row>
    <row r="1198" spans="3:8" x14ac:dyDescent="0.25">
      <c r="C1198" s="131" t="s">
        <v>1028</v>
      </c>
      <c r="D1198" s="133" t="s">
        <v>760</v>
      </c>
      <c r="E1198" s="189">
        <v>13944</v>
      </c>
      <c r="F1198" s="197">
        <v>29749</v>
      </c>
      <c r="G1198" s="110">
        <v>35.549999999999997</v>
      </c>
      <c r="H1198" s="150" t="str">
        <f t="shared" si="8"/>
        <v>5TSSAMSPP-15lb TS Sams Perfect Pair Wkt</v>
      </c>
    </row>
    <row r="1199" spans="3:8" x14ac:dyDescent="0.25">
      <c r="C1199" s="131" t="s">
        <v>1029</v>
      </c>
      <c r="D1199" s="132" t="s">
        <v>798</v>
      </c>
      <c r="E1199" s="163">
        <v>14233</v>
      </c>
      <c r="F1199" s="197">
        <v>29543</v>
      </c>
      <c r="G1199" s="110">
        <v>40</v>
      </c>
      <c r="H1199" s="150" t="str">
        <f t="shared" si="8"/>
        <v>9801890 - 783747EBF Org Rom Hrt 3ct - USA</v>
      </c>
    </row>
    <row r="1200" spans="3:8" x14ac:dyDescent="0.25">
      <c r="C1200" s="131" t="s">
        <v>566</v>
      </c>
      <c r="D1200" s="133" t="s">
        <v>235</v>
      </c>
      <c r="E1200" s="163">
        <v>14219</v>
      </c>
      <c r="F1200" s="197">
        <v>29465</v>
      </c>
      <c r="G1200" s="110">
        <v>19.239999999999998</v>
      </c>
      <c r="H1200" s="150" t="str">
        <f t="shared" si="8"/>
        <v>1314Church Bros Cauliflower</v>
      </c>
    </row>
    <row r="1201" spans="3:8" x14ac:dyDescent="0.25">
      <c r="C1201" s="131" t="s">
        <v>1030</v>
      </c>
      <c r="D1201" s="133" t="s">
        <v>1031</v>
      </c>
      <c r="E1201" s="163">
        <v>14201</v>
      </c>
      <c r="F1201" s="197">
        <v>29443</v>
      </c>
      <c r="G1201" s="110">
        <v>40.92</v>
      </c>
      <c r="H1201" s="150" t="str">
        <f t="shared" si="8"/>
        <v>61203-18T&amp;A 6ct Romaine Hrts-COSTCO</v>
      </c>
    </row>
    <row r="1202" spans="3:8" x14ac:dyDescent="0.25">
      <c r="C1202" s="131" t="s">
        <v>987</v>
      </c>
      <c r="D1202" s="132" t="s">
        <v>626</v>
      </c>
      <c r="E1202" s="163">
        <v>14263</v>
      </c>
      <c r="F1202" s="197">
        <v>29689</v>
      </c>
      <c r="G1202" s="110">
        <v>24.52</v>
      </c>
      <c r="H1202" s="150" t="str">
        <f t="shared" si="8"/>
        <v>9502890 - 780181TFR Bilin 3ctRomHrt USA-NoZip</v>
      </c>
    </row>
    <row r="1203" spans="3:8" x14ac:dyDescent="0.25">
      <c r="C1203" s="131" t="s">
        <v>1017</v>
      </c>
      <c r="D1203" s="132" t="s">
        <v>957</v>
      </c>
      <c r="E1203" s="226">
        <v>14280</v>
      </c>
      <c r="F1203" s="197">
        <v>29751</v>
      </c>
      <c r="G1203" s="110">
        <v>52.35</v>
      </c>
      <c r="H1203" s="150" t="str">
        <f t="shared" si="8"/>
        <v>1587V1CB Trdr Joe 3ct Little Gem Ltt</v>
      </c>
    </row>
    <row r="1204" spans="3:8" x14ac:dyDescent="0.25">
      <c r="C1204" s="131" t="s">
        <v>566</v>
      </c>
      <c r="D1204" s="133" t="s">
        <v>235</v>
      </c>
      <c r="E1204" s="163">
        <v>14219</v>
      </c>
      <c r="F1204" s="197">
        <v>29465</v>
      </c>
      <c r="G1204" s="110">
        <v>19.239999999999998</v>
      </c>
      <c r="H1204" s="150" t="str">
        <f t="shared" si="8"/>
        <v>1314Church Bros Cauliflower</v>
      </c>
    </row>
    <row r="1205" spans="3:8" x14ac:dyDescent="0.25">
      <c r="C1205" s="131" t="s">
        <v>864</v>
      </c>
      <c r="D1205" s="133" t="s">
        <v>906</v>
      </c>
      <c r="E1205" s="226">
        <v>14215</v>
      </c>
      <c r="F1205" s="197">
        <v>29444</v>
      </c>
      <c r="G1205" s="110">
        <v>28.84</v>
      </c>
      <c r="H1205" s="150" t="str">
        <f t="shared" si="8"/>
        <v>61791-11NZT&amp;A 3ct Rom Bilin Jumbo NO-ZIP</v>
      </c>
    </row>
    <row r="1206" spans="3:8" x14ac:dyDescent="0.25">
      <c r="C1206" s="131" t="s">
        <v>840</v>
      </c>
      <c r="D1206" s="133" t="s">
        <v>841</v>
      </c>
      <c r="E1206" s="163">
        <v>14250</v>
      </c>
      <c r="F1206" s="197">
        <v>29681</v>
      </c>
      <c r="G1206" s="110">
        <v>20.59</v>
      </c>
      <c r="H1206" s="150" t="str">
        <f t="shared" si="8"/>
        <v>159180BAG, CAULIFLOWER, MARKETSIDE</v>
      </c>
    </row>
    <row r="1207" spans="3:8" x14ac:dyDescent="0.25">
      <c r="C1207" s="131" t="s">
        <v>400</v>
      </c>
      <c r="D1207" s="133" t="s">
        <v>563</v>
      </c>
      <c r="E1207" s="163">
        <v>14270</v>
      </c>
      <c r="F1207" s="197">
        <v>29690</v>
      </c>
      <c r="G1207" s="110">
        <v>40.98</v>
      </c>
      <c r="H1207" s="150" t="str">
        <f t="shared" si="8"/>
        <v>62021-11T&amp;A 6Ct Rom Hrts Nt Wt St</v>
      </c>
    </row>
    <row r="1208" spans="3:8" x14ac:dyDescent="0.25">
      <c r="C1208" s="131" t="s">
        <v>1032</v>
      </c>
      <c r="D1208" s="132" t="s">
        <v>242</v>
      </c>
      <c r="E1208" s="146">
        <v>14226</v>
      </c>
      <c r="F1208" s="197">
        <v>29544</v>
      </c>
      <c r="G1208" s="110">
        <v>40</v>
      </c>
      <c r="H1208" s="150" t="str">
        <f t="shared" si="8"/>
        <v>1351V1Church Bros 3ct Rom Hrts - BI</v>
      </c>
    </row>
    <row r="1209" spans="3:8" x14ac:dyDescent="0.25">
      <c r="C1209" s="131" t="s">
        <v>612</v>
      </c>
      <c r="D1209" s="133" t="s">
        <v>613</v>
      </c>
      <c r="E1209" s="146">
        <v>14188</v>
      </c>
      <c r="F1209" s="197">
        <v>29362</v>
      </c>
      <c r="G1209" s="110">
        <v>15.06</v>
      </c>
      <c r="H1209" s="150" t="str">
        <f t="shared" si="8"/>
        <v>C1NPROALG-B41LB NATURES PROMISE ORGANIC</v>
      </c>
    </row>
    <row r="1210" spans="3:8" x14ac:dyDescent="0.25">
      <c r="C1210" s="131" t="s">
        <v>787</v>
      </c>
      <c r="D1210" s="133" t="s">
        <v>788</v>
      </c>
      <c r="E1210" s="146">
        <v>14131</v>
      </c>
      <c r="F1210" s="197">
        <v>29264</v>
      </c>
      <c r="G1210" s="110">
        <v>19.79</v>
      </c>
      <c r="H1210" s="150" t="str">
        <f t="shared" si="8"/>
        <v>61270-12TJ's Cauliflower</v>
      </c>
    </row>
    <row r="1211" spans="3:8" x14ac:dyDescent="0.25">
      <c r="C1211" s="131" t="s">
        <v>953</v>
      </c>
      <c r="D1211" s="133" t="s">
        <v>819</v>
      </c>
      <c r="E1211" s="163">
        <v>14214</v>
      </c>
      <c r="F1211" s="197">
        <v>29446</v>
      </c>
      <c r="G1211" s="110">
        <v>27.35</v>
      </c>
      <c r="H1211" s="150" t="str">
        <f t="shared" si="8"/>
        <v>62036-11 / 61494-16NZTA 3ct Jmbo Rom Long USA No Zp</v>
      </c>
    </row>
    <row r="1212" spans="3:8" x14ac:dyDescent="0.25">
      <c r="C1212" s="131" t="s">
        <v>655</v>
      </c>
      <c r="D1212" s="133" t="s">
        <v>656</v>
      </c>
      <c r="E1212" s="167">
        <v>14379</v>
      </c>
      <c r="F1212" s="197" t="s">
        <v>1033</v>
      </c>
      <c r="G1212" s="110">
        <v>17.899999999999999</v>
      </c>
      <c r="H1212" s="150" t="str">
        <f t="shared" si="8"/>
        <v>1350Church Bros Lett</v>
      </c>
    </row>
    <row r="1213" spans="3:8" x14ac:dyDescent="0.25">
      <c r="C1213" s="131" t="s">
        <v>647</v>
      </c>
      <c r="D1213" s="132" t="s">
        <v>648</v>
      </c>
      <c r="E1213" s="146">
        <v>14184</v>
      </c>
      <c r="F1213" s="197">
        <v>29441</v>
      </c>
      <c r="G1213" s="110">
        <v>62.75</v>
      </c>
      <c r="H1213" s="150" t="str">
        <f t="shared" si="8"/>
        <v>3000014825LB CR CUBED MANGO DOLE</v>
      </c>
    </row>
    <row r="1214" spans="3:8" x14ac:dyDescent="0.25">
      <c r="C1214" s="131" t="s">
        <v>1032</v>
      </c>
      <c r="D1214" s="132" t="s">
        <v>242</v>
      </c>
      <c r="E1214" s="146">
        <v>14226</v>
      </c>
      <c r="F1214" s="197">
        <v>29544</v>
      </c>
      <c r="G1214" s="110">
        <v>40</v>
      </c>
      <c r="H1214" s="150" t="str">
        <f t="shared" si="8"/>
        <v>1351V1Church Bros 3ct Rom Hrts - BI</v>
      </c>
    </row>
    <row r="1215" spans="3:8" x14ac:dyDescent="0.25">
      <c r="C1215" s="131" t="s">
        <v>864</v>
      </c>
      <c r="D1215" s="133" t="s">
        <v>906</v>
      </c>
      <c r="E1215" s="146">
        <v>14215</v>
      </c>
      <c r="F1215" s="197">
        <v>29444</v>
      </c>
      <c r="G1215" s="110">
        <v>28.84</v>
      </c>
      <c r="H1215" s="150" t="str">
        <f t="shared" si="8"/>
        <v>61791-11NZT&amp;A 3ct Rom Bilin Jumbo NO-ZIP</v>
      </c>
    </row>
    <row r="1216" spans="3:8" x14ac:dyDescent="0.25">
      <c r="C1216" s="131" t="s">
        <v>1030</v>
      </c>
      <c r="D1216" s="133" t="s">
        <v>1031</v>
      </c>
      <c r="E1216" s="146">
        <v>14201</v>
      </c>
      <c r="F1216" s="197">
        <v>29443</v>
      </c>
      <c r="G1216" s="110">
        <v>40.92</v>
      </c>
      <c r="H1216" s="150" t="str">
        <f t="shared" si="8"/>
        <v>61203-18T&amp;A 6ct Romaine Hrts-COSTCO</v>
      </c>
    </row>
    <row r="1217" spans="3:8" x14ac:dyDescent="0.25">
      <c r="C1217" s="131" t="s">
        <v>953</v>
      </c>
      <c r="D1217" s="133" t="s">
        <v>819</v>
      </c>
      <c r="E1217" s="146">
        <v>14214</v>
      </c>
      <c r="F1217" s="197">
        <v>29446</v>
      </c>
      <c r="G1217" s="110">
        <v>27.35</v>
      </c>
      <c r="H1217" s="150" t="str">
        <f t="shared" si="8"/>
        <v>62036-11 / 61494-16NZTA 3ct Jmbo Rom Long USA No Zp</v>
      </c>
    </row>
    <row r="1218" spans="3:8" x14ac:dyDescent="0.25">
      <c r="C1218" s="131" t="s">
        <v>1032</v>
      </c>
      <c r="D1218" s="132" t="s">
        <v>242</v>
      </c>
      <c r="E1218" s="146">
        <v>14226</v>
      </c>
      <c r="F1218" s="197">
        <v>29544</v>
      </c>
      <c r="G1218" s="110">
        <v>40</v>
      </c>
      <c r="H1218" s="150" t="str">
        <f t="shared" si="8"/>
        <v>1351V1Church Bros 3ct Rom Hrts - BI</v>
      </c>
    </row>
    <row r="1219" spans="3:8" x14ac:dyDescent="0.25">
      <c r="C1219" s="131" t="s">
        <v>591</v>
      </c>
      <c r="D1219" s="133" t="s">
        <v>592</v>
      </c>
      <c r="E1219" s="199">
        <v>14290</v>
      </c>
      <c r="F1219" s="197">
        <v>29889</v>
      </c>
      <c r="G1219" s="110">
        <v>18.350000000000001</v>
      </c>
      <c r="H1219" s="150" t="str">
        <f t="shared" si="8"/>
        <v>002-00-80005-0113.5" KING SIZE LETTUCE</v>
      </c>
    </row>
    <row r="1220" spans="3:8" x14ac:dyDescent="0.25">
      <c r="C1220" s="131" t="s">
        <v>1028</v>
      </c>
      <c r="D1220" s="133" t="s">
        <v>760</v>
      </c>
      <c r="E1220" s="146">
        <v>13944</v>
      </c>
      <c r="F1220" s="197">
        <v>29749</v>
      </c>
      <c r="G1220" s="110">
        <v>35.549999999999997</v>
      </c>
      <c r="H1220" s="150" t="str">
        <f t="shared" si="8"/>
        <v>5TSSAMSPP-15lb TS Sams Perfect Pair Wkt</v>
      </c>
    </row>
    <row r="1221" spans="3:8" x14ac:dyDescent="0.25">
      <c r="C1221" s="131" t="s">
        <v>868</v>
      </c>
      <c r="D1221" s="132" t="s">
        <v>869</v>
      </c>
      <c r="E1221" s="146">
        <v>14179</v>
      </c>
      <c r="F1221" s="197">
        <v>29434</v>
      </c>
      <c r="G1221" s="110">
        <v>68.52</v>
      </c>
      <c r="H1221" s="150" t="str">
        <f t="shared" si="8"/>
        <v>3000015845LB DICED APPLES DOLE</v>
      </c>
    </row>
    <row r="1222" spans="3:8" x14ac:dyDescent="0.25">
      <c r="C1222" s="131" t="s">
        <v>507</v>
      </c>
      <c r="D1222" s="132" t="s">
        <v>508</v>
      </c>
      <c r="E1222" s="146">
        <v>14180</v>
      </c>
      <c r="F1222" s="197">
        <v>29435</v>
      </c>
      <c r="G1222" s="110">
        <v>63.66</v>
      </c>
      <c r="H1222" s="150" t="str">
        <f t="shared" si="8"/>
        <v>3000008395LB BLUEBERRIES DOLE</v>
      </c>
    </row>
    <row r="1223" spans="3:8" x14ac:dyDescent="0.25">
      <c r="C1223" s="131" t="s">
        <v>764</v>
      </c>
      <c r="D1223" s="132" t="s">
        <v>765</v>
      </c>
      <c r="E1223" s="146">
        <v>14181</v>
      </c>
      <c r="F1223" s="197">
        <v>29438</v>
      </c>
      <c r="G1223" s="110">
        <v>63.61</v>
      </c>
      <c r="H1223" s="150" t="str">
        <f t="shared" si="8"/>
        <v>3000008675LB MANGO CHUNKS DOLE</v>
      </c>
    </row>
    <row r="1224" spans="3:8" x14ac:dyDescent="0.25">
      <c r="C1224" s="131" t="s">
        <v>881</v>
      </c>
      <c r="D1224" s="132" t="s">
        <v>882</v>
      </c>
      <c r="E1224" s="146">
        <v>14182</v>
      </c>
      <c r="F1224" s="197">
        <v>29439</v>
      </c>
      <c r="G1224" s="110">
        <v>69.180000000000007</v>
      </c>
      <c r="H1224" s="150" t="str">
        <f t="shared" si="8"/>
        <v>3000009005LB DARK SWEET CHERRIES DOLE</v>
      </c>
    </row>
    <row r="1225" spans="3:8" x14ac:dyDescent="0.25">
      <c r="C1225" s="131" t="s">
        <v>558</v>
      </c>
      <c r="D1225" s="132" t="s">
        <v>559</v>
      </c>
      <c r="E1225" s="146">
        <v>14183</v>
      </c>
      <c r="F1225" s="197">
        <v>29440</v>
      </c>
      <c r="G1225" s="110">
        <v>74.2</v>
      </c>
      <c r="H1225" s="150" t="str">
        <f t="shared" si="8"/>
        <v>3000009085LB SLICED APPLES DOLE</v>
      </c>
    </row>
    <row r="1226" spans="3:8" x14ac:dyDescent="0.25">
      <c r="C1226" s="131" t="s">
        <v>999</v>
      </c>
      <c r="D1226" s="132" t="s">
        <v>988</v>
      </c>
      <c r="E1226" s="146">
        <v>13620</v>
      </c>
      <c r="F1226" s="197">
        <v>28007</v>
      </c>
      <c r="G1226" s="110">
        <v>69.87</v>
      </c>
      <c r="H1226" s="150" t="str">
        <f t="shared" si="8"/>
        <v>300002001POUCH 12OZ WEGMNS ORG SL PEACH</v>
      </c>
    </row>
    <row r="1227" spans="3:8" x14ac:dyDescent="0.25">
      <c r="C1227" s="131" t="s">
        <v>1024</v>
      </c>
      <c r="D1227" s="132" t="s">
        <v>1025</v>
      </c>
      <c r="E1227" s="146">
        <v>14052</v>
      </c>
      <c r="F1227" s="197">
        <v>29286</v>
      </c>
      <c r="G1227" s="110">
        <v>78.209999999999994</v>
      </c>
      <c r="H1227" s="150" t="str">
        <f t="shared" si="8"/>
        <v>300001981POUCH 16OZ WEGMANS BLUEBERRIES</v>
      </c>
    </row>
    <row r="1228" spans="3:8" x14ac:dyDescent="0.25">
      <c r="C1228" s="131" t="s">
        <v>929</v>
      </c>
      <c r="D1228" s="132" t="s">
        <v>619</v>
      </c>
      <c r="E1228" s="146">
        <v>14298</v>
      </c>
      <c r="F1228" s="197">
        <v>29888</v>
      </c>
      <c r="G1228" s="110">
        <v>48.26</v>
      </c>
      <c r="H1228" s="150" t="str">
        <f t="shared" si="8"/>
        <v>9801906 - 783917TFR 6ct Romaine USA PURPLE</v>
      </c>
    </row>
    <row r="1229" spans="3:8" x14ac:dyDescent="0.25">
      <c r="C1229" s="131" t="s">
        <v>459</v>
      </c>
      <c r="D1229" s="133" t="s">
        <v>504</v>
      </c>
      <c r="E1229" s="163">
        <v>14255</v>
      </c>
      <c r="F1229" s="197">
        <v>29686</v>
      </c>
      <c r="G1229" s="110">
        <v>17.149999999999999</v>
      </c>
      <c r="H1229" s="150" t="str">
        <f t="shared" si="8"/>
        <v>4962NOceanmist 13" Lettuce Bag</v>
      </c>
    </row>
    <row r="1230" spans="3:8" x14ac:dyDescent="0.25">
      <c r="C1230" s="131" t="s">
        <v>1034</v>
      </c>
      <c r="D1230" s="132" t="s">
        <v>1035</v>
      </c>
      <c r="E1230" s="163">
        <v>13623</v>
      </c>
      <c r="F1230" s="197">
        <v>29853</v>
      </c>
      <c r="G1230" s="110">
        <v>78.209999999999994</v>
      </c>
      <c r="H1230" s="150" t="str">
        <f t="shared" si="8"/>
        <v>300001664POUCH 16OZ WEGMANS WILD BLUEBR</v>
      </c>
    </row>
    <row r="1231" spans="3:8" x14ac:dyDescent="0.25">
      <c r="C1231" s="131" t="s">
        <v>1036</v>
      </c>
      <c r="D1231" s="132" t="s">
        <v>1037</v>
      </c>
      <c r="E1231" s="146">
        <v>14366</v>
      </c>
      <c r="F1231" s="197">
        <v>30189</v>
      </c>
      <c r="G1231" s="110">
        <v>71.28</v>
      </c>
      <c r="H1231" s="150" t="str">
        <f t="shared" si="8"/>
        <v>300002491POUCH 12OZ NAT BASKET ORG MGO</v>
      </c>
    </row>
    <row r="1232" spans="3:8" x14ac:dyDescent="0.25">
      <c r="C1232" s="131" t="s">
        <v>1038</v>
      </c>
      <c r="D1232" s="132" t="s">
        <v>1039</v>
      </c>
      <c r="E1232" s="146">
        <v>14367</v>
      </c>
      <c r="F1232" s="197">
        <v>30188</v>
      </c>
      <c r="G1232" s="110">
        <v>71.28</v>
      </c>
      <c r="H1232" s="150" t="str">
        <f t="shared" si="8"/>
        <v>300002461POUCH 12OZ GIANT EAGLE POMEGRANATE ARILS</v>
      </c>
    </row>
    <row r="1233" spans="3:8" x14ac:dyDescent="0.25">
      <c r="C1233" s="131" t="s">
        <v>816</v>
      </c>
      <c r="D1233" s="132" t="s">
        <v>817</v>
      </c>
      <c r="E1233" s="146">
        <v>14320</v>
      </c>
      <c r="F1233" s="197">
        <v>30080</v>
      </c>
      <c r="G1233" s="110">
        <v>10.61</v>
      </c>
      <c r="H1233" s="150" t="str">
        <f t="shared" si="8"/>
        <v>3000022717oz Banana,MangoBerry inner</v>
      </c>
    </row>
    <row r="1234" spans="3:8" x14ac:dyDescent="0.25">
      <c r="C1234" s="131" t="s">
        <v>724</v>
      </c>
      <c r="D1234" s="132" t="s">
        <v>145</v>
      </c>
      <c r="E1234" s="146">
        <v>14262</v>
      </c>
      <c r="F1234" s="197" t="s">
        <v>1041</v>
      </c>
      <c r="G1234" s="110">
        <v>70.099999999999994</v>
      </c>
      <c r="H1234" s="150" t="str">
        <f t="shared" si="8"/>
        <v>1579CB 2ct Baby Romaine</v>
      </c>
    </row>
    <row r="1235" spans="3:8" x14ac:dyDescent="0.25">
      <c r="C1235" s="131" t="s">
        <v>527</v>
      </c>
      <c r="D1235" s="133" t="s">
        <v>528</v>
      </c>
      <c r="E1235" s="146">
        <v>14244</v>
      </c>
      <c r="F1235" s="197">
        <v>29556</v>
      </c>
      <c r="G1235" s="110">
        <v>19.02</v>
      </c>
      <c r="H1235" s="150" t="str">
        <f t="shared" si="8"/>
        <v>C1BFCNALG-A11LB BOLTHOUSE FRESH CAN FS A/B</v>
      </c>
    </row>
    <row r="1236" spans="3:8" x14ac:dyDescent="0.25">
      <c r="C1236" s="131" t="s">
        <v>787</v>
      </c>
      <c r="D1236" s="133" t="s">
        <v>788</v>
      </c>
      <c r="E1236" s="146">
        <v>14356</v>
      </c>
      <c r="F1236" s="197">
        <v>30078</v>
      </c>
      <c r="G1236" s="110">
        <v>19.79</v>
      </c>
      <c r="H1236" s="150" t="str">
        <f t="shared" si="8"/>
        <v>61270-12TJ's Cauliflower</v>
      </c>
    </row>
    <row r="1237" spans="3:8" x14ac:dyDescent="0.25">
      <c r="C1237" s="131" t="s">
        <v>1004</v>
      </c>
      <c r="D1237" s="132" t="s">
        <v>1040</v>
      </c>
      <c r="E1237" s="146">
        <v>14259</v>
      </c>
      <c r="F1237" s="197">
        <v>29743</v>
      </c>
      <c r="G1237" s="110">
        <v>182.89</v>
      </c>
      <c r="H1237" s="150" t="str">
        <f t="shared" si="8"/>
        <v>0997NOCM 4 Ct Artichoke</v>
      </c>
    </row>
    <row r="1238" spans="3:8" x14ac:dyDescent="0.25">
      <c r="C1238" s="131" t="s">
        <v>893</v>
      </c>
      <c r="D1238" s="132" t="s">
        <v>894</v>
      </c>
      <c r="E1238" s="146">
        <v>14289</v>
      </c>
      <c r="F1238" s="197">
        <v>29898</v>
      </c>
      <c r="G1238" s="110">
        <v>14.59</v>
      </c>
      <c r="H1238" s="150" t="str">
        <f t="shared" si="8"/>
        <v>1292591LB WHOLESOME PANTRY ORG RS CF</v>
      </c>
    </row>
    <row r="1239" spans="3:8" x14ac:dyDescent="0.25">
      <c r="C1239" s="131" t="s">
        <v>493</v>
      </c>
      <c r="D1239" s="132" t="s">
        <v>501</v>
      </c>
      <c r="E1239" s="146">
        <v>13964</v>
      </c>
      <c r="F1239" s="197">
        <v>29859</v>
      </c>
      <c r="G1239" s="110">
        <v>18.7</v>
      </c>
      <c r="H1239" s="150" t="str">
        <f t="shared" si="8"/>
        <v>121799BAG 12OZ TARGET MW PERF'D</v>
      </c>
    </row>
    <row r="1240" spans="3:8" x14ac:dyDescent="0.25">
      <c r="C1240" s="131" t="s">
        <v>1038</v>
      </c>
      <c r="D1240" s="132" t="s">
        <v>1039</v>
      </c>
      <c r="E1240" s="146">
        <v>14367</v>
      </c>
      <c r="F1240" s="197">
        <v>30188</v>
      </c>
      <c r="G1240" s="110">
        <v>71.28</v>
      </c>
      <c r="H1240" s="150" t="str">
        <f t="shared" si="8"/>
        <v>300002461POUCH 12OZ GIANT EAGLE POMEGRANATE ARILS</v>
      </c>
    </row>
    <row r="1241" spans="3:8" x14ac:dyDescent="0.25">
      <c r="C1241" s="131" t="s">
        <v>929</v>
      </c>
      <c r="D1241" s="132" t="s">
        <v>619</v>
      </c>
      <c r="E1241" s="146">
        <v>14298</v>
      </c>
      <c r="F1241" s="197">
        <v>29888</v>
      </c>
      <c r="G1241" s="110">
        <v>48.26</v>
      </c>
      <c r="H1241" s="150" t="str">
        <f t="shared" si="8"/>
        <v>9801906 - 783917TFR 6ct Romaine USA PURPLE</v>
      </c>
    </row>
    <row r="1242" spans="3:8" x14ac:dyDescent="0.25">
      <c r="C1242" s="131" t="s">
        <v>925</v>
      </c>
      <c r="D1242" s="132" t="s">
        <v>743</v>
      </c>
      <c r="E1242" s="146">
        <v>14284</v>
      </c>
      <c r="F1242" s="197">
        <v>29861</v>
      </c>
      <c r="G1242" s="110">
        <v>29</v>
      </c>
      <c r="H1242" s="150" t="str">
        <f t="shared" si="8"/>
        <v>9801905 - 783916TFR 2ct Iceberg Lett USA GREEN</v>
      </c>
    </row>
    <row r="1243" spans="3:8" x14ac:dyDescent="0.25">
      <c r="C1243" s="131" t="s">
        <v>595</v>
      </c>
      <c r="D1243" s="133" t="s">
        <v>132</v>
      </c>
      <c r="E1243" s="146">
        <v>14360</v>
      </c>
      <c r="F1243" s="197">
        <v>30302</v>
      </c>
      <c r="G1243" s="110">
        <v>38.35</v>
      </c>
      <c r="H1243" s="150" t="str">
        <f t="shared" si="8"/>
        <v>1580Church Bros 5ct Petite Romaine</v>
      </c>
    </row>
    <row r="1244" spans="3:8" x14ac:dyDescent="0.25">
      <c r="C1244" s="131" t="s">
        <v>537</v>
      </c>
      <c r="D1244" s="133" t="s">
        <v>538</v>
      </c>
      <c r="E1244" s="146">
        <v>14355</v>
      </c>
      <c r="F1244" s="197">
        <v>30083</v>
      </c>
      <c r="G1244" s="110">
        <v>16.46</v>
      </c>
      <c r="H1244" s="150" t="str">
        <f t="shared" si="8"/>
        <v>002-00-53348-02Dole Canadian 13.5" Lettuce</v>
      </c>
    </row>
    <row r="1245" spans="3:8" x14ac:dyDescent="0.25">
      <c r="C1245" s="131" t="s">
        <v>135</v>
      </c>
      <c r="D1245" s="133" t="s">
        <v>831</v>
      </c>
      <c r="E1245" s="146">
        <v>14104</v>
      </c>
      <c r="F1245" s="197">
        <v>29154</v>
      </c>
      <c r="G1245" s="110">
        <v>75.25</v>
      </c>
      <c r="H1245" s="150" t="str">
        <f t="shared" si="8"/>
        <v>61977-12KROGER Artisan Baby Iceberg</v>
      </c>
    </row>
    <row r="1246" spans="3:8" x14ac:dyDescent="0.25">
      <c r="C1246" s="131" t="s">
        <v>953</v>
      </c>
      <c r="D1246" s="133" t="s">
        <v>819</v>
      </c>
      <c r="E1246" s="163">
        <v>14351</v>
      </c>
      <c r="F1246" s="197">
        <v>30209</v>
      </c>
      <c r="G1246" s="110">
        <v>27.35</v>
      </c>
      <c r="H1246" s="150" t="str">
        <f t="shared" si="8"/>
        <v>62036-11 / 61494-16NZTA 3ct Jmbo Rom Long USA No Zp</v>
      </c>
    </row>
    <row r="1247" spans="3:8" x14ac:dyDescent="0.25">
      <c r="C1247" s="131" t="s">
        <v>1017</v>
      </c>
      <c r="D1247" s="132" t="s">
        <v>957</v>
      </c>
      <c r="E1247" s="189">
        <v>14414</v>
      </c>
      <c r="F1247" s="197">
        <v>30303</v>
      </c>
      <c r="G1247" s="110">
        <v>52.35</v>
      </c>
      <c r="H1247" s="150" t="str">
        <f t="shared" si="8"/>
        <v>1587V1CB Trdr Joe 3ct Little Gem Ltt</v>
      </c>
    </row>
    <row r="1248" spans="3:8" x14ac:dyDescent="0.25">
      <c r="C1248" s="131" t="s">
        <v>595</v>
      </c>
      <c r="D1248" s="133" t="s">
        <v>132</v>
      </c>
      <c r="E1248" s="163">
        <v>14360</v>
      </c>
      <c r="F1248" s="197">
        <v>30302</v>
      </c>
      <c r="G1248" s="110">
        <v>38.35</v>
      </c>
      <c r="H1248" s="150" t="str">
        <f t="shared" si="8"/>
        <v>1580Church Bros 5ct Petite Romaine</v>
      </c>
    </row>
    <row r="1249" spans="3:8" x14ac:dyDescent="0.25">
      <c r="C1249" s="131" t="s">
        <v>1042</v>
      </c>
      <c r="D1249" s="133" t="s">
        <v>1043</v>
      </c>
      <c r="E1249" s="189">
        <v>14460</v>
      </c>
      <c r="F1249" s="197">
        <v>30528</v>
      </c>
      <c r="G1249" s="110">
        <v>22.5</v>
      </c>
      <c r="H1249" s="150" t="str">
        <f t="shared" si="8"/>
        <v>1587V2TJ's 3Ct Little Gem 14oz</v>
      </c>
    </row>
    <row r="1250" spans="3:8" x14ac:dyDescent="0.25">
      <c r="C1250" s="131" t="s">
        <v>929</v>
      </c>
      <c r="D1250" s="132" t="s">
        <v>619</v>
      </c>
      <c r="E1250" s="163">
        <v>14298</v>
      </c>
      <c r="F1250" s="197">
        <v>29888</v>
      </c>
      <c r="G1250" s="110">
        <v>48.26</v>
      </c>
      <c r="H1250" s="150" t="str">
        <f t="shared" si="8"/>
        <v>9801906 - 783917TFR 6ct Romaine USA PURPLE</v>
      </c>
    </row>
    <row r="1251" spans="3:8" x14ac:dyDescent="0.25">
      <c r="C1251" s="131" t="s">
        <v>932</v>
      </c>
      <c r="D1251" s="132" t="s">
        <v>624</v>
      </c>
      <c r="E1251" s="163">
        <v>14373</v>
      </c>
      <c r="F1251" s="197">
        <v>30094</v>
      </c>
      <c r="G1251" s="110">
        <v>72.73</v>
      </c>
      <c r="H1251" s="150" t="str">
        <f t="shared" si="8"/>
        <v>9801902 - 783913TFR COSTCO 6Ct Rom Hrts USA</v>
      </c>
    </row>
    <row r="1252" spans="3:8" x14ac:dyDescent="0.25">
      <c r="C1252" s="131" t="s">
        <v>480</v>
      </c>
      <c r="D1252" s="132" t="s">
        <v>744</v>
      </c>
      <c r="E1252" s="163">
        <v>14234</v>
      </c>
      <c r="F1252" s="197">
        <v>29688</v>
      </c>
      <c r="G1252" s="110">
        <v>70.08</v>
      </c>
      <c r="H1252" s="150" t="str">
        <f t="shared" si="8"/>
        <v>59953BAG, 10#, GF, HP</v>
      </c>
    </row>
    <row r="1253" spans="3:8" x14ac:dyDescent="0.25">
      <c r="C1253" s="131" t="s">
        <v>938</v>
      </c>
      <c r="D1253" s="132" t="s">
        <v>1044</v>
      </c>
      <c r="E1253" s="163">
        <v>14372</v>
      </c>
      <c r="F1253" s="197">
        <v>30301</v>
      </c>
      <c r="G1253" s="110">
        <v>40</v>
      </c>
      <c r="H1253" s="150" t="str">
        <f t="shared" si="8"/>
        <v>9801900 - 783911TJ 3ct Rom Heart Bag - USA</v>
      </c>
    </row>
    <row r="1254" spans="3:8" x14ac:dyDescent="0.25">
      <c r="C1254" s="131" t="s">
        <v>213</v>
      </c>
      <c r="D1254" s="132" t="s">
        <v>582</v>
      </c>
      <c r="E1254" s="163">
        <v>14384</v>
      </c>
      <c r="F1254" s="197">
        <v>30231</v>
      </c>
      <c r="G1254" s="110">
        <v>99.79</v>
      </c>
      <c r="H1254" s="150" t="str">
        <f t="shared" si="8"/>
        <v>61953-11KROGER 2Ct Artsn Rom SUP</v>
      </c>
    </row>
    <row r="1255" spans="3:8" x14ac:dyDescent="0.25">
      <c r="C1255" s="131" t="s">
        <v>139</v>
      </c>
      <c r="D1255" s="132" t="s">
        <v>140</v>
      </c>
      <c r="E1255" s="163">
        <v>14439</v>
      </c>
      <c r="F1255" s="197">
        <v>30392</v>
      </c>
      <c r="G1255" s="110">
        <v>40</v>
      </c>
      <c r="H1255" s="150" t="str">
        <f t="shared" si="8"/>
        <v>28370944-01Josie's Rm Hrt 3ct 22oz Bil US</v>
      </c>
    </row>
    <row r="1256" spans="3:8" x14ac:dyDescent="0.25">
      <c r="C1256" s="131" t="s">
        <v>1017</v>
      </c>
      <c r="D1256" s="132" t="s">
        <v>957</v>
      </c>
      <c r="E1256" s="163">
        <v>14414</v>
      </c>
      <c r="F1256" s="197">
        <v>30303</v>
      </c>
      <c r="G1256" s="110">
        <v>52.35</v>
      </c>
      <c r="H1256" s="150" t="str">
        <f t="shared" si="8"/>
        <v>1587V1CB Trdr Joe 3ct Little Gem Ltt</v>
      </c>
    </row>
    <row r="1257" spans="3:8" x14ac:dyDescent="0.25">
      <c r="C1257" s="131" t="s">
        <v>953</v>
      </c>
      <c r="D1257" s="133" t="s">
        <v>819</v>
      </c>
      <c r="E1257" s="163">
        <v>14351</v>
      </c>
      <c r="F1257" s="197">
        <v>30209</v>
      </c>
      <c r="G1257" s="110">
        <v>27.35</v>
      </c>
      <c r="H1257" s="150" t="str">
        <f t="shared" si="8"/>
        <v>62036-11 / 61494-16NZTA 3ct Jmbo Rom Long USA No Zp</v>
      </c>
    </row>
    <row r="1258" spans="3:8" x14ac:dyDescent="0.25">
      <c r="C1258" s="131" t="s">
        <v>1045</v>
      </c>
      <c r="D1258" s="132" t="s">
        <v>1046</v>
      </c>
      <c r="E1258" s="163">
        <v>14301</v>
      </c>
      <c r="F1258" s="197">
        <v>30156</v>
      </c>
      <c r="G1258" s="110">
        <v>50.24</v>
      </c>
      <c r="H1258" s="150" t="str">
        <f t="shared" si="8"/>
        <v>002-40-55010-07DOLE 6Ct Rom Hrt Bil USA</v>
      </c>
    </row>
    <row r="1259" spans="3:8" x14ac:dyDescent="0.25">
      <c r="C1259" s="131" t="s">
        <v>1047</v>
      </c>
      <c r="D1259" s="132" t="s">
        <v>1048</v>
      </c>
      <c r="E1259" s="163">
        <v>14313</v>
      </c>
      <c r="F1259" s="197">
        <v>30076</v>
      </c>
      <c r="G1259" s="110">
        <v>97.76</v>
      </c>
      <c r="H1259" s="150" t="str">
        <f t="shared" si="8"/>
        <v>002-40-56045-01DOLE 4CT/48oz ARTICHOKE USA</v>
      </c>
    </row>
    <row r="1260" spans="3:8" x14ac:dyDescent="0.25">
      <c r="C1260" s="131" t="s">
        <v>480</v>
      </c>
      <c r="D1260" s="132" t="s">
        <v>744</v>
      </c>
      <c r="E1260" s="163">
        <v>14234</v>
      </c>
      <c r="F1260" s="197">
        <v>29688</v>
      </c>
      <c r="G1260" s="110">
        <v>70.08</v>
      </c>
      <c r="H1260" s="150" t="str">
        <f t="shared" si="8"/>
        <v>59953BAG, 10#, GF, HP</v>
      </c>
    </row>
    <row r="1261" spans="3:8" x14ac:dyDescent="0.25">
      <c r="C1261" s="131" t="s">
        <v>938</v>
      </c>
      <c r="D1261" s="132" t="s">
        <v>1044</v>
      </c>
      <c r="E1261" s="163">
        <v>14372</v>
      </c>
      <c r="F1261" s="197">
        <v>30301</v>
      </c>
      <c r="G1261" s="110">
        <v>40</v>
      </c>
      <c r="H1261" s="150" t="str">
        <f t="shared" si="8"/>
        <v>9801900 - 783911TJ 3ct Rom Heart Bag - USA</v>
      </c>
    </row>
    <row r="1262" spans="3:8" x14ac:dyDescent="0.25">
      <c r="C1262" s="131" t="s">
        <v>139</v>
      </c>
      <c r="D1262" s="132" t="s">
        <v>140</v>
      </c>
      <c r="E1262" s="163">
        <v>14439</v>
      </c>
      <c r="F1262" s="197">
        <v>30392</v>
      </c>
      <c r="G1262" s="110">
        <v>40</v>
      </c>
      <c r="H1262" s="150" t="str">
        <f t="shared" si="8"/>
        <v>28370944-01Josie's Rm Hrt 3ct 22oz Bil US</v>
      </c>
    </row>
    <row r="1263" spans="3:8" x14ac:dyDescent="0.25">
      <c r="C1263" s="131" t="s">
        <v>1017</v>
      </c>
      <c r="D1263" s="132" t="s">
        <v>957</v>
      </c>
      <c r="E1263" s="163">
        <v>14414</v>
      </c>
      <c r="F1263" s="197">
        <v>30303</v>
      </c>
      <c r="G1263" s="110">
        <v>52.35</v>
      </c>
      <c r="H1263" s="150" t="str">
        <f t="shared" si="8"/>
        <v>1587V1CB Trdr Joe 3ct Little Gem Ltt</v>
      </c>
    </row>
    <row r="1264" spans="3:8" x14ac:dyDescent="0.25">
      <c r="C1264" s="131" t="s">
        <v>953</v>
      </c>
      <c r="D1264" s="133" t="s">
        <v>819</v>
      </c>
      <c r="E1264" s="163">
        <v>14351</v>
      </c>
      <c r="F1264" s="197">
        <v>30209</v>
      </c>
      <c r="G1264" s="110">
        <v>27.35</v>
      </c>
      <c r="H1264" s="150" t="str">
        <f t="shared" si="8"/>
        <v>62036-11 / 61494-16NZTA 3ct Jmbo Rom Long USA No Zp</v>
      </c>
    </row>
    <row r="1265" spans="1:8" x14ac:dyDescent="0.25">
      <c r="C1265" s="131" t="s">
        <v>1045</v>
      </c>
      <c r="D1265" s="132" t="s">
        <v>1046</v>
      </c>
      <c r="E1265" s="163">
        <v>14301</v>
      </c>
      <c r="F1265" s="197">
        <v>30156</v>
      </c>
      <c r="G1265" s="110">
        <v>50.24</v>
      </c>
      <c r="H1265" s="150" t="str">
        <f t="shared" si="8"/>
        <v>002-40-55010-07DOLE 6Ct Rom Hrt Bil USA</v>
      </c>
    </row>
    <row r="1266" spans="1:8" x14ac:dyDescent="0.25">
      <c r="C1266" s="131" t="s">
        <v>1047</v>
      </c>
      <c r="D1266" s="132" t="s">
        <v>1048</v>
      </c>
      <c r="E1266" s="163">
        <v>14313</v>
      </c>
      <c r="F1266" s="197">
        <v>30076</v>
      </c>
      <c r="G1266" s="110">
        <v>97.76</v>
      </c>
      <c r="H1266" s="150" t="str">
        <f t="shared" si="8"/>
        <v>002-40-56045-01DOLE 4CT/48oz ARTICHOKE USA</v>
      </c>
    </row>
    <row r="1267" spans="1:8" x14ac:dyDescent="0.25">
      <c r="C1267" s="131" t="s">
        <v>950</v>
      </c>
      <c r="D1267" s="132" t="s">
        <v>833</v>
      </c>
      <c r="E1267" s="227">
        <v>14374</v>
      </c>
      <c r="F1267" s="197" t="s">
        <v>1049</v>
      </c>
      <c r="G1267" s="110">
        <v>38.5</v>
      </c>
      <c r="H1267" s="150" t="str">
        <f t="shared" si="8"/>
        <v>9801993 - 787274TFR COSTCO 5ct Petite Romaine</v>
      </c>
    </row>
    <row r="1268" spans="1:8" x14ac:dyDescent="0.25">
      <c r="C1268" s="131" t="s">
        <v>1042</v>
      </c>
      <c r="D1268" s="132" t="s">
        <v>1043</v>
      </c>
      <c r="E1268" s="227">
        <v>14460</v>
      </c>
      <c r="F1268" s="197">
        <v>30528</v>
      </c>
      <c r="G1268" s="110">
        <v>22.5</v>
      </c>
      <c r="H1268" s="150" t="str">
        <f t="shared" si="8"/>
        <v>1587V2TJ's 3Ct Little Gem 14oz</v>
      </c>
    </row>
    <row r="1269" spans="1:8" x14ac:dyDescent="0.25">
      <c r="C1269" s="131" t="s">
        <v>1028</v>
      </c>
      <c r="D1269" s="133" t="s">
        <v>760</v>
      </c>
      <c r="E1269" s="227">
        <v>13944</v>
      </c>
      <c r="F1269" s="197">
        <v>29749</v>
      </c>
      <c r="G1269" s="110">
        <v>35.549999999999997</v>
      </c>
      <c r="H1269" s="150" t="str">
        <f t="shared" si="8"/>
        <v>5TSSAMSPP-15lb TS Sams Perfect Pair Wkt</v>
      </c>
    </row>
    <row r="1270" spans="1:8" x14ac:dyDescent="0.25">
      <c r="C1270" s="131" t="s">
        <v>932</v>
      </c>
      <c r="D1270" s="132" t="s">
        <v>624</v>
      </c>
      <c r="E1270" s="227">
        <v>14373</v>
      </c>
      <c r="F1270" s="197">
        <v>30094</v>
      </c>
      <c r="G1270" s="110">
        <v>72.73</v>
      </c>
      <c r="H1270" s="150" t="str">
        <f t="shared" si="8"/>
        <v>9801902 - 783913TFR COSTCO 6Ct Rom Hrts USA</v>
      </c>
    </row>
    <row r="1271" spans="1:8" x14ac:dyDescent="0.25">
      <c r="C1271" s="131" t="s">
        <v>213</v>
      </c>
      <c r="D1271" s="132" t="s">
        <v>582</v>
      </c>
      <c r="E1271" s="195">
        <v>14384</v>
      </c>
      <c r="F1271" s="197">
        <v>30231</v>
      </c>
      <c r="G1271" s="110">
        <v>99.79</v>
      </c>
      <c r="H1271" s="150" t="str">
        <f t="shared" si="8"/>
        <v>61953-11KROGER 2Ct Artsn Rom SUP</v>
      </c>
    </row>
    <row r="1272" spans="1:8" x14ac:dyDescent="0.25">
      <c r="C1272" s="131" t="s">
        <v>616</v>
      </c>
      <c r="D1272" s="132" t="s">
        <v>617</v>
      </c>
      <c r="E1272" s="227">
        <v>13991</v>
      </c>
      <c r="F1272" s="197" t="s">
        <v>1050</v>
      </c>
      <c r="G1272" s="110">
        <v>68.239999999999995</v>
      </c>
      <c r="H1272" s="150" t="str">
        <f t="shared" si="8"/>
        <v>3000008595/8OZ DOLE SLC STRAW/BAN- OUT</v>
      </c>
    </row>
    <row r="1273" spans="1:8" x14ac:dyDescent="0.25">
      <c r="C1273" s="131" t="s">
        <v>893</v>
      </c>
      <c r="D1273" s="132" t="s">
        <v>894</v>
      </c>
      <c r="E1273" s="227">
        <v>14289</v>
      </c>
      <c r="F1273" s="197">
        <v>29898</v>
      </c>
      <c r="G1273" s="110">
        <v>14.59</v>
      </c>
      <c r="H1273" s="150" t="str">
        <f t="shared" si="8"/>
        <v>1292591LB WHOLESOME PANTRY ORG RS CF</v>
      </c>
    </row>
    <row r="1274" spans="1:8" x14ac:dyDescent="0.25">
      <c r="C1274" s="131" t="s">
        <v>428</v>
      </c>
      <c r="D1274" s="132" t="s">
        <v>406</v>
      </c>
      <c r="E1274" s="227">
        <v>14277</v>
      </c>
      <c r="F1274" s="197">
        <v>29897</v>
      </c>
      <c r="G1274" s="110">
        <v>16.5</v>
      </c>
      <c r="H1274" s="150" t="str">
        <f t="shared" si="8"/>
        <v>97886-12LB PRESIDENTS CHOICE ORG CAN</v>
      </c>
    </row>
    <row r="1275" spans="1:8" x14ac:dyDescent="0.25">
      <c r="C1275" s="131" t="s">
        <v>930</v>
      </c>
      <c r="D1275" s="132" t="s">
        <v>931</v>
      </c>
      <c r="E1275" s="227">
        <v>12955</v>
      </c>
      <c r="F1275" s="197" t="s">
        <v>1051</v>
      </c>
      <c r="G1275" s="110">
        <v>17.36</v>
      </c>
      <c r="H1275" s="150" t="str">
        <f t="shared" si="8"/>
        <v>S2BFT-A12LB BOLTHOUSE FRESH TZIP RS</v>
      </c>
    </row>
    <row r="1276" spans="1:8" x14ac:dyDescent="0.25">
      <c r="A1276" s="1">
        <v>300002273</v>
      </c>
      <c r="B1276" t="s">
        <v>314</v>
      </c>
      <c r="C1276" s="131">
        <v>300001482</v>
      </c>
      <c r="D1276" s="133" t="s">
        <v>398</v>
      </c>
      <c r="E1276" s="163">
        <v>11127</v>
      </c>
      <c r="F1276" s="197">
        <v>18663</v>
      </c>
      <c r="G1276" s="110">
        <v>62.75</v>
      </c>
      <c r="H1276" s="150" t="str">
        <f t="shared" si="8"/>
        <v>3000014825LB CHEF READY CUBED MANGO</v>
      </c>
    </row>
    <row r="1277" spans="1:8" hidden="1" x14ac:dyDescent="0.25">
      <c r="A1277" s="1">
        <v>300002307</v>
      </c>
      <c r="B1277" t="s">
        <v>315</v>
      </c>
      <c r="C1277" s="134"/>
      <c r="D1277" s="125"/>
      <c r="G1277" s="124"/>
    </row>
    <row r="1278" spans="1:8" hidden="1" x14ac:dyDescent="0.25">
      <c r="A1278" s="1" t="s">
        <v>192</v>
      </c>
      <c r="B1278" t="s">
        <v>316</v>
      </c>
      <c r="C1278" s="134"/>
      <c r="D1278" s="125"/>
      <c r="G1278" s="124"/>
    </row>
    <row r="1279" spans="1:8" hidden="1" x14ac:dyDescent="0.25">
      <c r="A1279" s="1" t="s">
        <v>193</v>
      </c>
      <c r="B1279" t="s">
        <v>317</v>
      </c>
      <c r="C1279" s="134"/>
      <c r="D1279" s="125"/>
      <c r="G1279" s="124"/>
    </row>
    <row r="1280" spans="1:8" hidden="1" x14ac:dyDescent="0.25">
      <c r="A1280" s="1">
        <v>1579</v>
      </c>
      <c r="B1280" t="s">
        <v>145</v>
      </c>
      <c r="C1280" s="134"/>
      <c r="D1280" s="125"/>
      <c r="G1280" s="124"/>
    </row>
    <row r="1281" spans="1:7" hidden="1" x14ac:dyDescent="0.25">
      <c r="A1281" s="1">
        <v>1580</v>
      </c>
      <c r="B1281" t="s">
        <v>132</v>
      </c>
      <c r="C1281" s="134"/>
      <c r="D1281" s="125"/>
      <c r="G1281" s="124"/>
    </row>
    <row r="1282" spans="1:7" hidden="1" x14ac:dyDescent="0.25">
      <c r="A1282" s="1">
        <v>40040956</v>
      </c>
      <c r="B1282" t="s">
        <v>318</v>
      </c>
      <c r="C1282" s="134"/>
      <c r="D1282" s="125"/>
      <c r="G1282" s="124"/>
    </row>
    <row r="1283" spans="1:7" hidden="1" x14ac:dyDescent="0.25">
      <c r="A1283" s="1" t="s">
        <v>194</v>
      </c>
      <c r="B1283" t="s">
        <v>319</v>
      </c>
      <c r="C1283" s="134"/>
      <c r="D1283" s="125"/>
      <c r="G1283" s="124"/>
    </row>
    <row r="1284" spans="1:7" hidden="1" x14ac:dyDescent="0.25">
      <c r="A1284" s="1" t="s">
        <v>195</v>
      </c>
      <c r="B1284" t="s">
        <v>320</v>
      </c>
      <c r="C1284" s="134"/>
      <c r="D1284" s="125"/>
    </row>
    <row r="1285" spans="1:7" hidden="1" x14ac:dyDescent="0.25">
      <c r="A1285" s="1" t="s">
        <v>196</v>
      </c>
      <c r="B1285" t="s">
        <v>321</v>
      </c>
      <c r="C1285" s="134"/>
      <c r="D1285" s="125"/>
      <c r="G1285" s="124"/>
    </row>
    <row r="1286" spans="1:7" hidden="1" x14ac:dyDescent="0.25">
      <c r="A1286" s="1" t="s">
        <v>195</v>
      </c>
      <c r="B1286" t="s">
        <v>322</v>
      </c>
      <c r="C1286" s="134"/>
      <c r="D1286" s="125"/>
    </row>
    <row r="1287" spans="1:7" hidden="1" x14ac:dyDescent="0.25">
      <c r="A1287" s="1">
        <v>300000795</v>
      </c>
      <c r="B1287" t="s">
        <v>323</v>
      </c>
      <c r="C1287" s="134"/>
      <c r="D1287" s="125"/>
      <c r="G1287" s="124"/>
    </row>
    <row r="1288" spans="1:7" hidden="1" x14ac:dyDescent="0.25">
      <c r="A1288" s="1" t="s">
        <v>197</v>
      </c>
      <c r="B1288" t="s">
        <v>324</v>
      </c>
      <c r="C1288" s="134"/>
      <c r="D1288" s="125"/>
      <c r="G1288" s="124"/>
    </row>
    <row r="1289" spans="1:7" hidden="1" x14ac:dyDescent="0.25">
      <c r="A1289" s="1" t="s">
        <v>164</v>
      </c>
      <c r="B1289" t="s">
        <v>325</v>
      </c>
      <c r="C1289" s="134"/>
      <c r="D1289" s="125"/>
      <c r="G1289" s="124"/>
    </row>
    <row r="1290" spans="1:7" hidden="1" x14ac:dyDescent="0.25">
      <c r="A1290" s="1" t="s">
        <v>164</v>
      </c>
      <c r="B1290" t="s">
        <v>325</v>
      </c>
      <c r="C1290" s="134"/>
      <c r="D1290" s="125"/>
      <c r="G1290" s="124"/>
    </row>
    <row r="1291" spans="1:7" hidden="1" x14ac:dyDescent="0.25">
      <c r="A1291" s="1" t="s">
        <v>198</v>
      </c>
      <c r="B1291" t="s">
        <v>326</v>
      </c>
      <c r="C1291" s="134"/>
      <c r="D1291" s="125"/>
    </row>
    <row r="1292" spans="1:7" hidden="1" x14ac:dyDescent="0.25">
      <c r="A1292" s="1" t="s">
        <v>131</v>
      </c>
      <c r="B1292" t="s">
        <v>327</v>
      </c>
      <c r="C1292" s="134"/>
      <c r="D1292" s="125"/>
      <c r="G1292" s="124"/>
    </row>
    <row r="1293" spans="1:7" hidden="1" x14ac:dyDescent="0.25">
      <c r="A1293" s="1">
        <v>300001585</v>
      </c>
      <c r="B1293" t="s">
        <v>328</v>
      </c>
      <c r="C1293" s="134"/>
      <c r="D1293" s="125"/>
      <c r="G1293" s="124"/>
    </row>
    <row r="1294" spans="1:7" hidden="1" x14ac:dyDescent="0.25">
      <c r="A1294" s="1" t="s">
        <v>131</v>
      </c>
      <c r="B1294" t="s">
        <v>329</v>
      </c>
      <c r="C1294" s="134"/>
      <c r="D1294" s="125"/>
      <c r="G1294" s="124"/>
    </row>
    <row r="1295" spans="1:7" hidden="1" x14ac:dyDescent="0.25">
      <c r="A1295" s="1" t="s">
        <v>199</v>
      </c>
      <c r="B1295" t="s">
        <v>330</v>
      </c>
      <c r="C1295" s="134"/>
      <c r="D1295" s="125"/>
      <c r="G1295" s="124"/>
    </row>
    <row r="1296" spans="1:7" hidden="1" x14ac:dyDescent="0.25">
      <c r="A1296" s="1" t="s">
        <v>200</v>
      </c>
      <c r="B1296" t="s">
        <v>331</v>
      </c>
      <c r="C1296" s="134"/>
      <c r="D1296" s="125"/>
      <c r="G1296" s="124"/>
    </row>
    <row r="1297" spans="1:7" hidden="1" x14ac:dyDescent="0.25">
      <c r="A1297" s="1" t="s">
        <v>201</v>
      </c>
      <c r="B1297" t="s">
        <v>332</v>
      </c>
      <c r="C1297" s="134"/>
      <c r="D1297" s="125"/>
      <c r="G1297" s="124"/>
    </row>
    <row r="1298" spans="1:7" hidden="1" x14ac:dyDescent="0.25">
      <c r="A1298" s="1" t="s">
        <v>175</v>
      </c>
      <c r="B1298" t="s">
        <v>333</v>
      </c>
      <c r="C1298" s="134"/>
      <c r="D1298" s="125"/>
      <c r="G1298" s="124"/>
    </row>
    <row r="1299" spans="1:7" hidden="1" x14ac:dyDescent="0.25">
      <c r="A1299" s="1" t="s">
        <v>202</v>
      </c>
      <c r="B1299" t="s">
        <v>334</v>
      </c>
      <c r="C1299" s="134"/>
      <c r="D1299" s="125"/>
    </row>
    <row r="1300" spans="1:7" hidden="1" x14ac:dyDescent="0.25">
      <c r="A1300" s="1" t="s">
        <v>203</v>
      </c>
      <c r="B1300" t="s">
        <v>335</v>
      </c>
      <c r="C1300" s="134"/>
      <c r="D1300" s="125"/>
      <c r="G1300" s="124"/>
    </row>
    <row r="1301" spans="1:7" hidden="1" x14ac:dyDescent="0.25">
      <c r="A1301" s="1" t="s">
        <v>146</v>
      </c>
      <c r="B1301" t="s">
        <v>336</v>
      </c>
      <c r="C1301" s="134"/>
      <c r="D1301" s="125"/>
      <c r="G1301" s="124"/>
    </row>
    <row r="1302" spans="1:7" hidden="1" x14ac:dyDescent="0.25">
      <c r="A1302" s="1" t="s">
        <v>84</v>
      </c>
      <c r="B1302" t="s">
        <v>337</v>
      </c>
      <c r="C1302" s="134"/>
      <c r="D1302" s="125"/>
      <c r="G1302" s="124"/>
    </row>
    <row r="1303" spans="1:7" hidden="1" x14ac:dyDescent="0.25">
      <c r="A1303" s="1" t="s">
        <v>139</v>
      </c>
      <c r="B1303" t="s">
        <v>140</v>
      </c>
      <c r="C1303" s="134"/>
      <c r="D1303" s="125"/>
      <c r="G1303" s="124"/>
    </row>
    <row r="1304" spans="1:7" hidden="1" x14ac:dyDescent="0.25">
      <c r="A1304" s="1">
        <v>1318</v>
      </c>
      <c r="B1304" t="s">
        <v>338</v>
      </c>
      <c r="C1304" s="134"/>
      <c r="D1304" s="125"/>
      <c r="G1304" s="124"/>
    </row>
    <row r="1305" spans="1:7" hidden="1" x14ac:dyDescent="0.25">
      <c r="A1305" s="1" t="s">
        <v>204</v>
      </c>
      <c r="B1305" t="s">
        <v>339</v>
      </c>
      <c r="C1305" s="134"/>
      <c r="D1305" s="125"/>
      <c r="G1305" s="124"/>
    </row>
    <row r="1306" spans="1:7" hidden="1" x14ac:dyDescent="0.25">
      <c r="A1306" s="1">
        <v>1312</v>
      </c>
      <c r="B1306" t="s">
        <v>238</v>
      </c>
      <c r="C1306" s="134"/>
      <c r="D1306" s="125"/>
      <c r="G1306" s="124"/>
    </row>
    <row r="1307" spans="1:7" hidden="1" x14ac:dyDescent="0.25">
      <c r="A1307" s="1">
        <v>1351</v>
      </c>
      <c r="B1307" t="s">
        <v>340</v>
      </c>
      <c r="C1307" s="134"/>
      <c r="D1307" s="125"/>
      <c r="G1307" s="124"/>
    </row>
    <row r="1308" spans="1:7" hidden="1" x14ac:dyDescent="0.25">
      <c r="A1308" s="1">
        <v>300001669</v>
      </c>
      <c r="B1308" t="s">
        <v>341</v>
      </c>
      <c r="C1308" s="134"/>
      <c r="D1308" s="125"/>
      <c r="G1308" s="124"/>
    </row>
    <row r="1309" spans="1:7" hidden="1" x14ac:dyDescent="0.25">
      <c r="A1309" s="1">
        <v>300001062</v>
      </c>
      <c r="B1309" t="s">
        <v>342</v>
      </c>
      <c r="C1309" s="134"/>
      <c r="D1309" s="125"/>
      <c r="G1309" s="124"/>
    </row>
    <row r="1310" spans="1:7" hidden="1" x14ac:dyDescent="0.25">
      <c r="A1310" s="1" t="s">
        <v>205</v>
      </c>
      <c r="B1310" t="s">
        <v>343</v>
      </c>
      <c r="C1310" s="134"/>
      <c r="D1310" s="125"/>
      <c r="G1310" s="124"/>
    </row>
    <row r="1311" spans="1:7" hidden="1" x14ac:dyDescent="0.25">
      <c r="A1311" s="1">
        <v>40040956</v>
      </c>
      <c r="B1311" t="s">
        <v>344</v>
      </c>
      <c r="C1311" s="134"/>
      <c r="D1311" s="125"/>
      <c r="G1311" s="124"/>
    </row>
    <row r="1312" spans="1:7" hidden="1" x14ac:dyDescent="0.25">
      <c r="A1312" s="1">
        <v>40040956</v>
      </c>
      <c r="B1312" t="s">
        <v>344</v>
      </c>
      <c r="C1312" s="134"/>
      <c r="D1312" s="125"/>
      <c r="G1312" s="124"/>
    </row>
    <row r="1313" spans="1:7" hidden="1" x14ac:dyDescent="0.25">
      <c r="A1313" s="1" t="s">
        <v>172</v>
      </c>
      <c r="B1313" t="s">
        <v>345</v>
      </c>
      <c r="C1313" s="134"/>
      <c r="D1313" s="125"/>
      <c r="G1313" s="124"/>
    </row>
    <row r="1314" spans="1:7" hidden="1" x14ac:dyDescent="0.25">
      <c r="A1314" s="1">
        <v>930</v>
      </c>
      <c r="B1314" t="s">
        <v>346</v>
      </c>
      <c r="C1314" s="134"/>
      <c r="D1314" s="125"/>
      <c r="G1314" s="124"/>
    </row>
    <row r="1315" spans="1:7" hidden="1" x14ac:dyDescent="0.25">
      <c r="A1315" s="1" t="s">
        <v>206</v>
      </c>
      <c r="B1315" t="s">
        <v>347</v>
      </c>
      <c r="C1315" s="134"/>
      <c r="D1315" s="125"/>
      <c r="G1315" s="124"/>
    </row>
    <row r="1316" spans="1:7" hidden="1" x14ac:dyDescent="0.25">
      <c r="A1316" s="1" t="s">
        <v>152</v>
      </c>
      <c r="B1316" t="s">
        <v>348</v>
      </c>
      <c r="C1316" s="134"/>
      <c r="D1316" s="125"/>
      <c r="G1316" s="124"/>
    </row>
    <row r="1317" spans="1:7" hidden="1" x14ac:dyDescent="0.25">
      <c r="A1317" s="1" t="s">
        <v>207</v>
      </c>
      <c r="B1317" t="s">
        <v>349</v>
      </c>
      <c r="C1317" s="134"/>
      <c r="D1317" s="125"/>
      <c r="G1317" s="124"/>
    </row>
    <row r="1318" spans="1:7" hidden="1" x14ac:dyDescent="0.25">
      <c r="A1318" s="1" t="s">
        <v>163</v>
      </c>
      <c r="B1318" t="s">
        <v>350</v>
      </c>
      <c r="C1318" s="134"/>
      <c r="D1318" s="125"/>
      <c r="G1318" s="124"/>
    </row>
    <row r="1319" spans="1:7" hidden="1" x14ac:dyDescent="0.25">
      <c r="A1319" s="1">
        <v>1312</v>
      </c>
      <c r="B1319" t="s">
        <v>351</v>
      </c>
      <c r="C1319" s="134"/>
      <c r="D1319" s="125"/>
      <c r="G1319" s="124"/>
    </row>
    <row r="1320" spans="1:7" hidden="1" x14ac:dyDescent="0.25">
      <c r="A1320" s="1">
        <v>1318</v>
      </c>
      <c r="B1320" t="s">
        <v>352</v>
      </c>
      <c r="C1320" s="134"/>
      <c r="D1320" s="125"/>
      <c r="G1320" s="124"/>
    </row>
    <row r="1321" spans="1:7" hidden="1" x14ac:dyDescent="0.25">
      <c r="A1321" s="1">
        <v>1579</v>
      </c>
      <c r="B1321" t="s">
        <v>353</v>
      </c>
      <c r="C1321" s="134"/>
      <c r="D1321" s="125"/>
      <c r="G1321" s="124"/>
    </row>
    <row r="1322" spans="1:7" hidden="1" x14ac:dyDescent="0.25">
      <c r="A1322" s="1">
        <v>5022</v>
      </c>
      <c r="B1322" t="s">
        <v>354</v>
      </c>
      <c r="C1322" s="134"/>
      <c r="D1322" s="125"/>
      <c r="G1322" s="124"/>
    </row>
    <row r="1323" spans="1:7" hidden="1" x14ac:dyDescent="0.25">
      <c r="A1323" s="1">
        <v>1350</v>
      </c>
      <c r="B1323" t="s">
        <v>355</v>
      </c>
      <c r="C1323" s="134"/>
      <c r="D1323" s="125"/>
      <c r="G1323" s="124"/>
    </row>
    <row r="1324" spans="1:7" hidden="1" x14ac:dyDescent="0.25">
      <c r="A1324" s="1" t="s">
        <v>208</v>
      </c>
      <c r="B1324" t="s">
        <v>141</v>
      </c>
      <c r="C1324" s="134"/>
      <c r="D1324" s="125"/>
      <c r="G1324" s="124"/>
    </row>
    <row r="1325" spans="1:7" hidden="1" x14ac:dyDescent="0.25">
      <c r="A1325" s="1">
        <v>9800093</v>
      </c>
      <c r="B1325" t="s">
        <v>356</v>
      </c>
      <c r="C1325" s="134"/>
      <c r="D1325" s="125"/>
      <c r="G1325" s="124"/>
    </row>
    <row r="1326" spans="1:7" hidden="1" x14ac:dyDescent="0.25">
      <c r="A1326" s="1">
        <v>9801164</v>
      </c>
      <c r="B1326" t="s">
        <v>294</v>
      </c>
      <c r="C1326" s="134"/>
      <c r="D1326" s="125"/>
      <c r="G1326" s="124"/>
    </row>
    <row r="1327" spans="1:7" hidden="1" x14ac:dyDescent="0.25">
      <c r="A1327" s="1" t="s">
        <v>163</v>
      </c>
      <c r="B1327" t="s">
        <v>290</v>
      </c>
      <c r="C1327" s="134"/>
      <c r="D1327" s="125"/>
      <c r="G1327" s="124"/>
    </row>
    <row r="1328" spans="1:7" hidden="1" x14ac:dyDescent="0.25">
      <c r="A1328" s="1" t="s">
        <v>209</v>
      </c>
      <c r="B1328" t="s">
        <v>138</v>
      </c>
      <c r="C1328" s="134"/>
      <c r="D1328" s="125"/>
      <c r="G1328" s="124"/>
    </row>
    <row r="1329" spans="1:7" hidden="1" x14ac:dyDescent="0.25">
      <c r="A1329" s="1">
        <v>19800975</v>
      </c>
      <c r="B1329" t="s">
        <v>358</v>
      </c>
      <c r="C1329" s="134"/>
      <c r="D1329" s="125"/>
      <c r="G1329" s="124"/>
    </row>
    <row r="1330" spans="1:7" hidden="1" x14ac:dyDescent="0.25">
      <c r="A1330" s="1" t="s">
        <v>210</v>
      </c>
      <c r="B1330" t="s">
        <v>359</v>
      </c>
      <c r="C1330" s="134"/>
      <c r="D1330" s="125"/>
      <c r="G1330" s="124"/>
    </row>
    <row r="1331" spans="1:7" hidden="1" x14ac:dyDescent="0.25">
      <c r="A1331" s="1" t="s">
        <v>211</v>
      </c>
      <c r="B1331" t="s">
        <v>360</v>
      </c>
      <c r="C1331" s="134"/>
      <c r="D1331" s="125"/>
      <c r="G1331" s="124"/>
    </row>
    <row r="1332" spans="1:7" hidden="1" x14ac:dyDescent="0.25">
      <c r="A1332" s="1">
        <v>9801231</v>
      </c>
      <c r="B1332" t="s">
        <v>244</v>
      </c>
      <c r="C1332" s="134"/>
      <c r="D1332" s="125"/>
      <c r="G1332" s="124"/>
    </row>
    <row r="1333" spans="1:7" hidden="1" x14ac:dyDescent="0.25">
      <c r="A1333" s="1" t="s">
        <v>179</v>
      </c>
      <c r="B1333" t="s">
        <v>361</v>
      </c>
      <c r="C1333" s="134"/>
      <c r="D1333" s="125"/>
      <c r="G1333" s="124"/>
    </row>
    <row r="1334" spans="1:7" hidden="1" x14ac:dyDescent="0.25">
      <c r="A1334" s="1" t="s">
        <v>84</v>
      </c>
      <c r="B1334" t="s">
        <v>362</v>
      </c>
      <c r="C1334" s="134"/>
      <c r="D1334" s="125"/>
      <c r="G1334" s="124"/>
    </row>
    <row r="1335" spans="1:7" hidden="1" x14ac:dyDescent="0.25">
      <c r="A1335" s="1" t="s">
        <v>212</v>
      </c>
      <c r="B1335" t="s">
        <v>363</v>
      </c>
      <c r="C1335" s="134"/>
      <c r="D1335" s="125"/>
      <c r="G1335" s="124"/>
    </row>
    <row r="1336" spans="1:7" hidden="1" x14ac:dyDescent="0.25">
      <c r="A1336" s="1" t="s">
        <v>213</v>
      </c>
      <c r="B1336" t="s">
        <v>364</v>
      </c>
      <c r="C1336" s="134"/>
      <c r="D1336" s="125"/>
      <c r="G1336" s="124"/>
    </row>
    <row r="1337" spans="1:7" hidden="1" x14ac:dyDescent="0.25">
      <c r="A1337" s="1" t="s">
        <v>214</v>
      </c>
      <c r="B1337" t="s">
        <v>365</v>
      </c>
      <c r="C1337" s="134"/>
      <c r="D1337" s="125"/>
      <c r="G1337" s="124"/>
    </row>
    <row r="1338" spans="1:7" hidden="1" x14ac:dyDescent="0.25">
      <c r="A1338" s="1" t="s">
        <v>215</v>
      </c>
      <c r="B1338" t="s">
        <v>366</v>
      </c>
      <c r="C1338" s="134"/>
      <c r="D1338" s="125"/>
      <c r="G1338" s="124"/>
    </row>
    <row r="1339" spans="1:7" hidden="1" x14ac:dyDescent="0.25">
      <c r="A1339" s="1">
        <v>129261</v>
      </c>
      <c r="B1339" t="s">
        <v>367</v>
      </c>
      <c r="C1339" s="134"/>
      <c r="D1339" s="125"/>
      <c r="G1339" s="124"/>
    </row>
    <row r="1340" spans="1:7" hidden="1" x14ac:dyDescent="0.25">
      <c r="A1340" s="1">
        <v>300002303</v>
      </c>
      <c r="B1340" t="s">
        <v>368</v>
      </c>
      <c r="C1340" s="134"/>
      <c r="D1340" s="125"/>
      <c r="G1340" s="124"/>
    </row>
    <row r="1341" spans="1:7" hidden="1" x14ac:dyDescent="0.25">
      <c r="A1341" s="1">
        <v>300002306</v>
      </c>
      <c r="B1341" t="s">
        <v>369</v>
      </c>
      <c r="C1341" s="134"/>
      <c r="D1341" s="125"/>
      <c r="G1341" s="124"/>
    </row>
    <row r="1342" spans="1:7" hidden="1" x14ac:dyDescent="0.25">
      <c r="A1342" s="1">
        <v>300002307</v>
      </c>
      <c r="B1342" t="s">
        <v>370</v>
      </c>
      <c r="C1342" s="134"/>
      <c r="D1342" s="125"/>
      <c r="G1342" s="124"/>
    </row>
    <row r="1343" spans="1:7" hidden="1" x14ac:dyDescent="0.25">
      <c r="A1343" s="1" t="s">
        <v>179</v>
      </c>
      <c r="B1343" t="s">
        <v>361</v>
      </c>
      <c r="C1343" s="134"/>
      <c r="D1343" s="125"/>
      <c r="G1343" s="124"/>
    </row>
    <row r="1344" spans="1:7" hidden="1" x14ac:dyDescent="0.25">
      <c r="A1344" s="1" t="s">
        <v>216</v>
      </c>
      <c r="B1344" t="s">
        <v>371</v>
      </c>
      <c r="C1344" s="134"/>
      <c r="D1344" s="125"/>
      <c r="G1344" s="124"/>
    </row>
    <row r="1345" spans="1:7" hidden="1" x14ac:dyDescent="0.25">
      <c r="A1345" s="1" t="s">
        <v>217</v>
      </c>
      <c r="B1345" t="s">
        <v>372</v>
      </c>
      <c r="C1345" s="134"/>
      <c r="D1345" s="125"/>
      <c r="G1345" s="124"/>
    </row>
    <row r="1346" spans="1:7" hidden="1" x14ac:dyDescent="0.25">
      <c r="A1346" s="1" t="s">
        <v>213</v>
      </c>
      <c r="B1346" t="s">
        <v>373</v>
      </c>
      <c r="C1346" s="134"/>
      <c r="D1346" s="125"/>
      <c r="G1346" s="124"/>
    </row>
    <row r="1347" spans="1:7" hidden="1" x14ac:dyDescent="0.25">
      <c r="A1347" s="1">
        <v>300001784</v>
      </c>
      <c r="B1347" t="s">
        <v>374</v>
      </c>
      <c r="C1347" s="134"/>
      <c r="D1347" s="125"/>
      <c r="G1347" s="124"/>
    </row>
    <row r="1348" spans="1:7" hidden="1" x14ac:dyDescent="0.25">
      <c r="A1348" s="1" t="s">
        <v>218</v>
      </c>
      <c r="B1348" t="s">
        <v>375</v>
      </c>
      <c r="C1348" s="134"/>
      <c r="D1348" s="125"/>
      <c r="G1348" s="124"/>
    </row>
    <row r="1349" spans="1:7" hidden="1" x14ac:dyDescent="0.25">
      <c r="A1349" s="1">
        <v>300002259</v>
      </c>
      <c r="B1349" t="s">
        <v>376</v>
      </c>
      <c r="C1349" s="134"/>
      <c r="D1349" s="125"/>
      <c r="G1349" s="124"/>
    </row>
    <row r="1350" spans="1:7" hidden="1" x14ac:dyDescent="0.25">
      <c r="A1350" s="1">
        <v>300002260</v>
      </c>
      <c r="B1350" t="s">
        <v>377</v>
      </c>
      <c r="C1350" s="134"/>
      <c r="D1350" s="125"/>
      <c r="G1350" s="124"/>
    </row>
    <row r="1351" spans="1:7" hidden="1" x14ac:dyDescent="0.25">
      <c r="A1351" s="1">
        <v>300001783</v>
      </c>
      <c r="B1351" t="s">
        <v>378</v>
      </c>
      <c r="C1351" s="134"/>
      <c r="D1351" s="125"/>
      <c r="G1351" s="124"/>
    </row>
    <row r="1352" spans="1:7" hidden="1" x14ac:dyDescent="0.25">
      <c r="A1352" s="1" t="s">
        <v>219</v>
      </c>
      <c r="B1352" t="s">
        <v>379</v>
      </c>
      <c r="C1352" s="134"/>
      <c r="D1352" s="125"/>
      <c r="G1352" s="124"/>
    </row>
    <row r="1353" spans="1:7" hidden="1" x14ac:dyDescent="0.25">
      <c r="A1353" s="1">
        <v>4090</v>
      </c>
      <c r="B1353" t="s">
        <v>251</v>
      </c>
      <c r="C1353" s="134"/>
      <c r="D1353" s="125"/>
      <c r="G1353" s="124"/>
    </row>
    <row r="1354" spans="1:7" hidden="1" x14ac:dyDescent="0.25">
      <c r="A1354" s="1">
        <v>300001754</v>
      </c>
      <c r="B1354" t="s">
        <v>380</v>
      </c>
      <c r="C1354" s="134"/>
      <c r="D1354" s="125"/>
      <c r="G1354" s="124"/>
    </row>
    <row r="1355" spans="1:7" hidden="1" x14ac:dyDescent="0.25">
      <c r="A1355" s="1">
        <v>300000908</v>
      </c>
      <c r="B1355" t="s">
        <v>381</v>
      </c>
      <c r="C1355" s="134"/>
      <c r="D1355" s="125"/>
      <c r="G1355" s="124"/>
    </row>
    <row r="1356" spans="1:7" hidden="1" x14ac:dyDescent="0.25">
      <c r="A1356" s="1">
        <v>300000867</v>
      </c>
      <c r="B1356" t="s">
        <v>382</v>
      </c>
      <c r="C1356" s="134"/>
      <c r="D1356" s="125"/>
      <c r="G1356" s="124"/>
    </row>
    <row r="1357" spans="1:7" hidden="1" x14ac:dyDescent="0.25">
      <c r="A1357" s="1">
        <v>300000869</v>
      </c>
      <c r="B1357" t="s">
        <v>383</v>
      </c>
      <c r="C1357" s="134"/>
      <c r="D1357" s="125"/>
      <c r="G1357" s="124"/>
    </row>
    <row r="1358" spans="1:7" hidden="1" x14ac:dyDescent="0.25">
      <c r="A1358" s="1">
        <v>300000906</v>
      </c>
      <c r="B1358" t="s">
        <v>301</v>
      </c>
      <c r="C1358" s="134"/>
      <c r="D1358" s="125"/>
      <c r="G1358" s="124"/>
    </row>
    <row r="1359" spans="1:7" hidden="1" x14ac:dyDescent="0.25">
      <c r="A1359" s="1" t="s">
        <v>210</v>
      </c>
      <c r="B1359" t="s">
        <v>384</v>
      </c>
      <c r="C1359" s="134"/>
      <c r="D1359" s="125"/>
      <c r="G1359" s="124"/>
    </row>
    <row r="1360" spans="1:7" hidden="1" x14ac:dyDescent="0.25">
      <c r="A1360" s="1">
        <v>9502992</v>
      </c>
      <c r="B1360" t="s">
        <v>385</v>
      </c>
      <c r="C1360" s="134"/>
      <c r="D1360" s="125"/>
      <c r="G1360" s="124"/>
    </row>
    <row r="1361" spans="1:7" hidden="1" x14ac:dyDescent="0.25">
      <c r="A1361" s="1" t="s">
        <v>220</v>
      </c>
      <c r="B1361" t="s">
        <v>130</v>
      </c>
      <c r="C1361" s="134"/>
      <c r="D1361" s="125"/>
      <c r="G1361" s="124"/>
    </row>
    <row r="1362" spans="1:7" hidden="1" x14ac:dyDescent="0.25">
      <c r="A1362" s="1">
        <v>300002264</v>
      </c>
      <c r="B1362" t="s">
        <v>386</v>
      </c>
      <c r="C1362" s="134"/>
      <c r="D1362" s="125"/>
      <c r="G1362" s="124"/>
    </row>
    <row r="1363" spans="1:7" hidden="1" x14ac:dyDescent="0.25">
      <c r="A1363" s="1">
        <v>300001905</v>
      </c>
      <c r="B1363" t="s">
        <v>387</v>
      </c>
      <c r="C1363" s="134"/>
      <c r="D1363" s="125"/>
      <c r="G1363" s="124"/>
    </row>
    <row r="1364" spans="1:7" hidden="1" x14ac:dyDescent="0.25">
      <c r="A1364" s="1">
        <v>300001902</v>
      </c>
      <c r="B1364" t="s">
        <v>388</v>
      </c>
      <c r="C1364" s="134"/>
      <c r="D1364" s="125"/>
      <c r="G1364" s="124"/>
    </row>
    <row r="1365" spans="1:7" hidden="1" x14ac:dyDescent="0.25">
      <c r="A1365" s="1">
        <v>300002273</v>
      </c>
      <c r="B1365" t="s">
        <v>389</v>
      </c>
      <c r="C1365" s="134"/>
      <c r="D1365" s="125"/>
      <c r="G1365" s="124"/>
    </row>
    <row r="1366" spans="1:7" hidden="1" x14ac:dyDescent="0.25">
      <c r="A1366" s="1">
        <v>300002268</v>
      </c>
      <c r="B1366" t="s">
        <v>136</v>
      </c>
      <c r="C1366" s="134"/>
      <c r="D1366" s="125"/>
      <c r="G1366" s="124"/>
    </row>
    <row r="1367" spans="1:7" hidden="1" x14ac:dyDescent="0.25">
      <c r="A1367" s="1">
        <v>300002269</v>
      </c>
      <c r="B1367" t="s">
        <v>274</v>
      </c>
      <c r="C1367" s="134"/>
      <c r="D1367" s="125"/>
      <c r="G1367" s="124"/>
    </row>
    <row r="1368" spans="1:7" hidden="1" x14ac:dyDescent="0.25">
      <c r="A1368" s="1">
        <v>300002271</v>
      </c>
      <c r="B1368" t="s">
        <v>275</v>
      </c>
      <c r="C1368" s="134"/>
      <c r="D1368" s="125"/>
      <c r="G1368" s="124"/>
    </row>
    <row r="1369" spans="1:7" hidden="1" x14ac:dyDescent="0.25">
      <c r="A1369" s="1">
        <v>300002272</v>
      </c>
      <c r="B1369" t="s">
        <v>312</v>
      </c>
      <c r="C1369" s="134"/>
      <c r="D1369" s="125"/>
      <c r="G1369" s="124"/>
    </row>
    <row r="1370" spans="1:7" hidden="1" x14ac:dyDescent="0.25">
      <c r="A1370" s="1">
        <v>300002306</v>
      </c>
      <c r="B1370" t="s">
        <v>390</v>
      </c>
      <c r="C1370" s="134"/>
      <c r="D1370" s="125"/>
      <c r="G1370" s="124"/>
    </row>
    <row r="1371" spans="1:7" hidden="1" x14ac:dyDescent="0.25">
      <c r="A1371" s="1">
        <v>300002307</v>
      </c>
      <c r="B1371" t="s">
        <v>391</v>
      </c>
      <c r="C1371" s="134"/>
      <c r="D1371" s="125"/>
      <c r="G1371" s="124"/>
    </row>
    <row r="1372" spans="1:7" hidden="1" x14ac:dyDescent="0.25">
      <c r="A1372" s="1" t="s">
        <v>221</v>
      </c>
      <c r="B1372" t="s">
        <v>392</v>
      </c>
      <c r="C1372" s="134"/>
      <c r="D1372" s="125"/>
      <c r="G1372" s="124"/>
    </row>
    <row r="1373" spans="1:7" ht="19.5" customHeight="1" x14ac:dyDescent="0.25">
      <c r="A1373" s="1">
        <v>300002256</v>
      </c>
      <c r="B1373" t="s">
        <v>393</v>
      </c>
      <c r="C1373" s="134"/>
      <c r="D1373" s="125"/>
      <c r="G1373" s="124"/>
    </row>
    <row r="1374" spans="1:7" ht="28.5" customHeight="1" x14ac:dyDescent="0.25">
      <c r="A1374" s="1">
        <v>300002303</v>
      </c>
      <c r="B1374" t="s">
        <v>394</v>
      </c>
      <c r="C1374" s="125"/>
      <c r="G1374" s="124"/>
    </row>
    <row r="1375" spans="1:7" ht="24" customHeight="1" x14ac:dyDescent="0.25">
      <c r="A1375" s="1" t="s">
        <v>158</v>
      </c>
      <c r="B1375" t="s">
        <v>243</v>
      </c>
      <c r="C1375" s="125"/>
      <c r="G1375" s="124"/>
    </row>
    <row r="1376" spans="1:7" x14ac:dyDescent="0.25">
      <c r="G1376" s="124"/>
    </row>
    <row r="1377" spans="1:7" x14ac:dyDescent="0.25">
      <c r="B1377" t="s">
        <v>395</v>
      </c>
      <c r="G1377" s="124"/>
    </row>
    <row r="1378" spans="1:7" x14ac:dyDescent="0.25">
      <c r="A1378" s="1">
        <v>300002360</v>
      </c>
      <c r="B1378" t="s">
        <v>396</v>
      </c>
      <c r="G1378" s="124"/>
    </row>
    <row r="1379" spans="1:7" x14ac:dyDescent="0.25">
      <c r="A1379" s="1">
        <v>300001685</v>
      </c>
      <c r="B1379" t="s">
        <v>397</v>
      </c>
      <c r="G1379" s="124"/>
    </row>
    <row r="1380" spans="1:7" x14ac:dyDescent="0.25">
      <c r="G1380" s="124"/>
    </row>
    <row r="1381" spans="1:7" x14ac:dyDescent="0.25">
      <c r="A1381" s="1">
        <v>300001482</v>
      </c>
      <c r="B1381" t="s">
        <v>398</v>
      </c>
      <c r="G1381" s="124"/>
    </row>
    <row r="1382" spans="1:7" x14ac:dyDescent="0.25">
      <c r="G1382" s="124"/>
    </row>
    <row r="1383" spans="1:7" x14ac:dyDescent="0.25">
      <c r="G1383" s="124"/>
    </row>
    <row r="1385" spans="1:7" x14ac:dyDescent="0.25">
      <c r="G1385" s="124"/>
    </row>
  </sheetData>
  <autoFilter ref="A1:I1375" xr:uid="{9927D716-4839-4B50-81D0-80A4588CFF59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7E07-4310-4EA9-BDE8-0C3A6CFAFEC8}">
  <dimension ref="A1"/>
  <sheetViews>
    <sheetView workbookViewId="0">
      <selection activeCell="A6" sqref="A6"/>
    </sheetView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4605-6811-42C8-B348-2EC4C6C5BE8B}">
  <dimension ref="A2:S61"/>
  <sheetViews>
    <sheetView workbookViewId="0">
      <selection activeCell="C7" sqref="C7"/>
    </sheetView>
  </sheetViews>
  <sheetFormatPr baseColWidth="10" defaultColWidth="11.42578125" defaultRowHeight="15" x14ac:dyDescent="0.25"/>
  <cols>
    <col min="2" max="2" width="8.42578125" style="24" customWidth="1"/>
    <col min="4" max="4" width="11.42578125" style="63"/>
    <col min="5" max="5" width="4.5703125" style="34" customWidth="1"/>
    <col min="8" max="8" width="12.7109375" bestFit="1" customWidth="1"/>
    <col min="10" max="10" width="16.5703125" customWidth="1"/>
    <col min="11" max="11" width="39.85546875" customWidth="1"/>
    <col min="13" max="13" width="15.5703125" customWidth="1"/>
    <col min="14" max="14" width="17.7109375" customWidth="1"/>
  </cols>
  <sheetData>
    <row r="2" spans="1:5" x14ac:dyDescent="0.25">
      <c r="A2" s="34" t="s">
        <v>46</v>
      </c>
    </row>
    <row r="3" spans="1:5" x14ac:dyDescent="0.25">
      <c r="A3" s="59" t="s">
        <v>47</v>
      </c>
      <c r="B3" s="61"/>
      <c r="C3" s="60"/>
    </row>
    <row r="4" spans="1:5" x14ac:dyDescent="0.25">
      <c r="A4" s="60" t="s">
        <v>48</v>
      </c>
      <c r="B4" s="61">
        <v>8706</v>
      </c>
      <c r="C4" s="60"/>
    </row>
    <row r="5" spans="1:5" x14ac:dyDescent="0.25">
      <c r="A5" s="60" t="s">
        <v>16</v>
      </c>
      <c r="B5" s="61">
        <v>10720</v>
      </c>
      <c r="C5" s="60"/>
    </row>
    <row r="6" spans="1:5" x14ac:dyDescent="0.25">
      <c r="A6" s="60" t="s">
        <v>49</v>
      </c>
      <c r="B6" s="62">
        <v>38.5</v>
      </c>
      <c r="C6" s="60"/>
    </row>
    <row r="7" spans="1:5" x14ac:dyDescent="0.25">
      <c r="A7" s="60"/>
      <c r="B7" s="61">
        <v>50</v>
      </c>
      <c r="C7" s="60">
        <v>1000</v>
      </c>
      <c r="D7" s="64">
        <v>50</v>
      </c>
      <c r="E7" s="34" t="s">
        <v>50</v>
      </c>
    </row>
    <row r="9" spans="1:5" x14ac:dyDescent="0.25">
      <c r="A9" s="34" t="s">
        <v>51</v>
      </c>
    </row>
    <row r="10" spans="1:5" x14ac:dyDescent="0.25">
      <c r="A10" s="59" t="s">
        <v>52</v>
      </c>
      <c r="B10" s="61"/>
      <c r="C10" s="60"/>
      <c r="D10" s="65"/>
    </row>
    <row r="11" spans="1:5" x14ac:dyDescent="0.25">
      <c r="A11" s="60" t="s">
        <v>48</v>
      </c>
      <c r="B11" s="61">
        <v>8731</v>
      </c>
      <c r="C11" s="60"/>
    </row>
    <row r="12" spans="1:5" x14ac:dyDescent="0.25">
      <c r="A12" s="60" t="s">
        <v>16</v>
      </c>
      <c r="B12" s="61">
        <v>10772</v>
      </c>
      <c r="C12" s="60"/>
    </row>
    <row r="13" spans="1:5" x14ac:dyDescent="0.25">
      <c r="A13" s="60" t="s">
        <v>49</v>
      </c>
      <c r="B13" s="62">
        <v>31.7</v>
      </c>
      <c r="C13" s="60"/>
    </row>
    <row r="14" spans="1:5" x14ac:dyDescent="0.25">
      <c r="A14" s="60"/>
      <c r="B14" s="61">
        <v>50</v>
      </c>
      <c r="C14" s="60">
        <v>3000</v>
      </c>
      <c r="D14" s="64">
        <v>150</v>
      </c>
      <c r="E14" s="34" t="s">
        <v>50</v>
      </c>
    </row>
    <row r="15" spans="1:5" x14ac:dyDescent="0.25">
      <c r="A15" s="34" t="s">
        <v>53</v>
      </c>
    </row>
    <row r="16" spans="1:5" x14ac:dyDescent="0.25">
      <c r="A16" s="59" t="s">
        <v>54</v>
      </c>
    </row>
    <row r="17" spans="1:10" x14ac:dyDescent="0.25">
      <c r="A17" s="60" t="s">
        <v>48</v>
      </c>
      <c r="B17" s="61">
        <v>8707</v>
      </c>
    </row>
    <row r="18" spans="1:10" x14ac:dyDescent="0.25">
      <c r="A18" s="60" t="s">
        <v>16</v>
      </c>
      <c r="B18" s="61">
        <v>10676</v>
      </c>
    </row>
    <row r="19" spans="1:10" x14ac:dyDescent="0.25">
      <c r="A19" s="60" t="s">
        <v>49</v>
      </c>
      <c r="B19" s="62">
        <v>19.79</v>
      </c>
    </row>
    <row r="20" spans="1:10" x14ac:dyDescent="0.25">
      <c r="B20" s="61">
        <v>50</v>
      </c>
      <c r="C20" s="60">
        <v>3000</v>
      </c>
      <c r="D20" s="64">
        <v>900</v>
      </c>
      <c r="E20" s="34" t="s">
        <v>50</v>
      </c>
    </row>
    <row r="21" spans="1:10" x14ac:dyDescent="0.25">
      <c r="A21" s="34" t="s">
        <v>55</v>
      </c>
    </row>
    <row r="22" spans="1:10" x14ac:dyDescent="0.25">
      <c r="A22" s="59" t="s">
        <v>56</v>
      </c>
    </row>
    <row r="23" spans="1:10" x14ac:dyDescent="0.25">
      <c r="A23" s="60" t="s">
        <v>48</v>
      </c>
      <c r="B23" s="61">
        <v>8693</v>
      </c>
    </row>
    <row r="24" spans="1:10" x14ac:dyDescent="0.25">
      <c r="A24" s="60" t="s">
        <v>16</v>
      </c>
      <c r="B24" s="61">
        <v>10651</v>
      </c>
    </row>
    <row r="25" spans="1:10" x14ac:dyDescent="0.25">
      <c r="A25" s="60" t="s">
        <v>49</v>
      </c>
      <c r="B25" s="62">
        <v>50.53</v>
      </c>
    </row>
    <row r="26" spans="1:10" x14ac:dyDescent="0.25">
      <c r="B26" s="61">
        <v>50</v>
      </c>
      <c r="C26" s="60">
        <v>1000</v>
      </c>
      <c r="D26" s="64">
        <v>258</v>
      </c>
      <c r="E26" s="34" t="s">
        <v>50</v>
      </c>
    </row>
    <row r="28" spans="1:10" x14ac:dyDescent="0.25">
      <c r="A28" s="34" t="s">
        <v>57</v>
      </c>
    </row>
    <row r="29" spans="1:10" x14ac:dyDescent="0.25">
      <c r="A29" s="59" t="s">
        <v>58</v>
      </c>
      <c r="J29" s="66">
        <v>1994000</v>
      </c>
    </row>
    <row r="30" spans="1:10" x14ac:dyDescent="0.25">
      <c r="A30" s="60" t="s">
        <v>48</v>
      </c>
      <c r="B30" s="61">
        <v>8713</v>
      </c>
    </row>
    <row r="31" spans="1:10" x14ac:dyDescent="0.25">
      <c r="A31" s="60" t="s">
        <v>16</v>
      </c>
      <c r="B31" s="61">
        <v>10640</v>
      </c>
    </row>
    <row r="32" spans="1:10" x14ac:dyDescent="0.25">
      <c r="A32" s="60" t="s">
        <v>49</v>
      </c>
      <c r="B32" s="62">
        <v>35.26</v>
      </c>
    </row>
    <row r="33" spans="1:5" x14ac:dyDescent="0.25">
      <c r="B33" s="61">
        <v>50</v>
      </c>
      <c r="C33" s="60">
        <v>1000</v>
      </c>
      <c r="D33" s="64">
        <v>136</v>
      </c>
      <c r="E33" s="34" t="s">
        <v>50</v>
      </c>
    </row>
    <row r="34" spans="1:5" x14ac:dyDescent="0.25">
      <c r="A34" s="34" t="s">
        <v>59</v>
      </c>
    </row>
    <row r="35" spans="1:5" x14ac:dyDescent="0.25">
      <c r="A35" s="59" t="s">
        <v>60</v>
      </c>
    </row>
    <row r="36" spans="1:5" x14ac:dyDescent="0.25">
      <c r="A36" s="60" t="s">
        <v>48</v>
      </c>
      <c r="B36" s="61">
        <v>8355</v>
      </c>
    </row>
    <row r="37" spans="1:5" x14ac:dyDescent="0.25">
      <c r="A37" s="60" t="s">
        <v>16</v>
      </c>
      <c r="B37" s="61">
        <v>9552</v>
      </c>
    </row>
    <row r="38" spans="1:5" x14ac:dyDescent="0.25">
      <c r="A38" s="60" t="s">
        <v>49</v>
      </c>
      <c r="B38" s="62">
        <v>45.5</v>
      </c>
    </row>
    <row r="39" spans="1:5" x14ac:dyDescent="0.25">
      <c r="B39" s="61">
        <v>50</v>
      </c>
      <c r="C39" s="60">
        <v>2000</v>
      </c>
      <c r="D39" s="64">
        <v>500</v>
      </c>
      <c r="E39" s="34" t="s">
        <v>50</v>
      </c>
    </row>
    <row r="49" spans="7:19" ht="15.75" thickBot="1" x14ac:dyDescent="0.3"/>
    <row r="50" spans="7:19" ht="16.5" thickBot="1" x14ac:dyDescent="0.3">
      <c r="G50" s="67"/>
      <c r="H50" s="68" t="s">
        <v>61</v>
      </c>
      <c r="I50" s="68" t="s">
        <v>48</v>
      </c>
      <c r="J50" s="68" t="s">
        <v>62</v>
      </c>
      <c r="K50" s="68" t="s">
        <v>63</v>
      </c>
      <c r="L50" s="234" t="s">
        <v>64</v>
      </c>
      <c r="M50" s="234" t="s">
        <v>65</v>
      </c>
      <c r="N50" s="234" t="s">
        <v>66</v>
      </c>
      <c r="O50" s="68" t="s">
        <v>67</v>
      </c>
      <c r="P50" s="68" t="s">
        <v>68</v>
      </c>
      <c r="Q50" s="69"/>
      <c r="R50" s="68" t="s">
        <v>69</v>
      </c>
      <c r="S50" s="68" t="s">
        <v>19</v>
      </c>
    </row>
    <row r="51" spans="7:19" ht="16.5" thickBot="1" x14ac:dyDescent="0.3">
      <c r="G51" s="70"/>
      <c r="H51" s="71" t="s">
        <v>70</v>
      </c>
      <c r="I51" s="71"/>
      <c r="J51" s="71"/>
      <c r="K51" s="71"/>
      <c r="L51" s="235"/>
      <c r="M51" s="235"/>
      <c r="N51" s="236"/>
      <c r="O51" s="71" t="s">
        <v>71</v>
      </c>
      <c r="P51" s="71" t="s">
        <v>72</v>
      </c>
      <c r="Q51" s="71" t="s">
        <v>73</v>
      </c>
      <c r="R51" s="71" t="s">
        <v>74</v>
      </c>
      <c r="S51" s="71" t="s">
        <v>75</v>
      </c>
    </row>
    <row r="52" spans="7:19" ht="16.5" thickBot="1" x14ac:dyDescent="0.3">
      <c r="G52" s="72" t="s">
        <v>76</v>
      </c>
      <c r="H52" s="73">
        <v>44926</v>
      </c>
      <c r="I52" s="74">
        <v>8706</v>
      </c>
      <c r="J52" s="75">
        <v>5022</v>
      </c>
      <c r="K52" s="75" t="s">
        <v>77</v>
      </c>
      <c r="L52" s="76"/>
      <c r="M52" s="80">
        <v>50000</v>
      </c>
      <c r="N52" s="74">
        <v>3</v>
      </c>
      <c r="O52" s="76"/>
      <c r="P52" s="76"/>
      <c r="Q52" s="77"/>
      <c r="R52" s="78"/>
      <c r="S52" s="78"/>
    </row>
    <row r="53" spans="7:19" ht="16.5" thickBot="1" x14ac:dyDescent="0.3">
      <c r="G53" s="72" t="s">
        <v>76</v>
      </c>
      <c r="H53" s="73">
        <v>44926</v>
      </c>
      <c r="I53" s="74">
        <v>8731</v>
      </c>
      <c r="J53" s="75" t="s">
        <v>78</v>
      </c>
      <c r="K53" s="75" t="s">
        <v>79</v>
      </c>
      <c r="L53" s="76"/>
      <c r="M53" s="80">
        <v>150000</v>
      </c>
      <c r="N53" s="74">
        <v>1</v>
      </c>
      <c r="O53" s="76"/>
      <c r="P53" s="76"/>
      <c r="Q53" s="77"/>
      <c r="R53" s="78"/>
      <c r="S53" s="78"/>
    </row>
    <row r="54" spans="7:19" ht="16.5" thickBot="1" x14ac:dyDescent="0.3">
      <c r="G54" s="72" t="s">
        <v>76</v>
      </c>
      <c r="H54" s="73">
        <v>44926</v>
      </c>
      <c r="I54" s="74">
        <v>8707</v>
      </c>
      <c r="J54" s="75" t="s">
        <v>80</v>
      </c>
      <c r="K54" s="75" t="s">
        <v>81</v>
      </c>
      <c r="L54" s="76"/>
      <c r="M54" s="80">
        <v>900000</v>
      </c>
      <c r="N54" s="74">
        <v>6</v>
      </c>
      <c r="O54" s="76"/>
      <c r="P54" s="76"/>
      <c r="Q54" s="77"/>
      <c r="R54" s="78"/>
      <c r="S54" s="78"/>
    </row>
    <row r="55" spans="7:19" ht="16.5" thickBot="1" x14ac:dyDescent="0.3">
      <c r="G55" s="72" t="s">
        <v>76</v>
      </c>
      <c r="H55" s="73">
        <v>44926</v>
      </c>
      <c r="I55" s="74">
        <v>8693</v>
      </c>
      <c r="J55" s="75">
        <v>9503025</v>
      </c>
      <c r="K55" s="75" t="s">
        <v>82</v>
      </c>
      <c r="L55" s="76"/>
      <c r="M55" s="80">
        <v>258000</v>
      </c>
      <c r="N55" s="74" t="s">
        <v>83</v>
      </c>
      <c r="O55" s="76"/>
      <c r="P55" s="76"/>
      <c r="Q55" s="77"/>
      <c r="R55" s="78"/>
      <c r="S55" s="78"/>
    </row>
    <row r="56" spans="7:19" ht="16.5" thickBot="1" x14ac:dyDescent="0.3">
      <c r="G56" s="72" t="s">
        <v>76</v>
      </c>
      <c r="H56" s="73">
        <v>44926</v>
      </c>
      <c r="I56" s="74">
        <v>8713</v>
      </c>
      <c r="J56" s="75" t="s">
        <v>84</v>
      </c>
      <c r="K56" s="75" t="s">
        <v>85</v>
      </c>
      <c r="L56" s="76"/>
      <c r="M56" s="80">
        <v>136000</v>
      </c>
      <c r="N56" s="74" t="s">
        <v>86</v>
      </c>
      <c r="O56" s="76"/>
      <c r="P56" s="76"/>
      <c r="Q56" s="77"/>
      <c r="R56" s="78"/>
      <c r="S56" s="78"/>
    </row>
    <row r="57" spans="7:19" ht="16.5" thickBot="1" x14ac:dyDescent="0.3">
      <c r="G57" s="72" t="s">
        <v>76</v>
      </c>
      <c r="H57" s="73">
        <v>44926</v>
      </c>
      <c r="I57" s="74">
        <v>8355</v>
      </c>
      <c r="J57" s="75" t="s">
        <v>87</v>
      </c>
      <c r="K57" s="75" t="s">
        <v>60</v>
      </c>
      <c r="L57" s="76"/>
      <c r="M57" s="80">
        <v>500000</v>
      </c>
      <c r="N57" s="74">
        <v>10</v>
      </c>
      <c r="O57" s="76"/>
      <c r="P57" s="76"/>
      <c r="Q57" s="77"/>
      <c r="R57" s="78"/>
      <c r="S57" s="78"/>
    </row>
    <row r="58" spans="7:19" x14ac:dyDescent="0.25">
      <c r="N58" s="1" t="s">
        <v>88</v>
      </c>
    </row>
    <row r="59" spans="7:19" x14ac:dyDescent="0.25">
      <c r="J59" s="79"/>
    </row>
    <row r="61" spans="7:19" x14ac:dyDescent="0.25">
      <c r="J61" s="79"/>
    </row>
  </sheetData>
  <mergeCells count="3">
    <mergeCell ref="L50:L51"/>
    <mergeCell ref="M50:M51"/>
    <mergeCell ref="N50:N51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A99D-7228-4F70-9014-68F71DD43AC9}">
  <dimension ref="A1:AF16"/>
  <sheetViews>
    <sheetView workbookViewId="0">
      <selection activeCell="J10" sqref="J10"/>
    </sheetView>
  </sheetViews>
  <sheetFormatPr baseColWidth="10" defaultColWidth="11.42578125" defaultRowHeight="15" x14ac:dyDescent="0.25"/>
  <sheetData>
    <row r="1" spans="1:32" ht="45" customHeight="1" thickBot="1" x14ac:dyDescent="0.3">
      <c r="A1" s="237" t="s">
        <v>89</v>
      </c>
      <c r="B1" s="238"/>
      <c r="C1" s="239"/>
      <c r="D1" s="44"/>
      <c r="E1" s="237" t="s">
        <v>90</v>
      </c>
      <c r="F1" s="238"/>
      <c r="G1" s="239"/>
      <c r="H1" s="44"/>
      <c r="I1" s="237" t="s">
        <v>91</v>
      </c>
      <c r="J1" s="238"/>
      <c r="K1" s="239"/>
      <c r="L1" s="44"/>
      <c r="M1" s="237" t="s">
        <v>92</v>
      </c>
      <c r="N1" s="238"/>
      <c r="O1" s="239"/>
      <c r="P1" s="44"/>
      <c r="Q1" s="237" t="s">
        <v>93</v>
      </c>
      <c r="R1" s="238"/>
      <c r="S1" s="239"/>
      <c r="T1" s="44"/>
      <c r="U1" s="237" t="s">
        <v>94</v>
      </c>
      <c r="V1" s="238"/>
      <c r="W1" s="239"/>
      <c r="X1" s="44"/>
      <c r="Y1" s="237" t="s">
        <v>95</v>
      </c>
      <c r="Z1" s="238"/>
      <c r="AA1" s="239"/>
      <c r="AB1" s="44"/>
      <c r="AC1" s="237" t="s">
        <v>96</v>
      </c>
      <c r="AD1" s="238"/>
      <c r="AE1" s="239"/>
      <c r="AF1" s="44"/>
    </row>
    <row r="2" spans="1:32" ht="15.75" thickBot="1" x14ac:dyDescent="0.3">
      <c r="A2" s="45" t="s">
        <v>10</v>
      </c>
      <c r="B2" s="46" t="s">
        <v>11</v>
      </c>
      <c r="C2" s="47" t="s">
        <v>12</v>
      </c>
      <c r="D2" s="43"/>
      <c r="E2" s="45" t="s">
        <v>10</v>
      </c>
      <c r="F2" s="46" t="s">
        <v>11</v>
      </c>
      <c r="G2" s="47" t="s">
        <v>12</v>
      </c>
      <c r="H2" s="43"/>
      <c r="I2" s="45" t="s">
        <v>10</v>
      </c>
      <c r="J2" s="46" t="s">
        <v>11</v>
      </c>
      <c r="K2" s="47" t="s">
        <v>12</v>
      </c>
      <c r="L2" s="43"/>
      <c r="M2" s="45" t="s">
        <v>10</v>
      </c>
      <c r="N2" s="46" t="s">
        <v>11</v>
      </c>
      <c r="O2" s="47" t="s">
        <v>12</v>
      </c>
      <c r="P2" s="43"/>
      <c r="Q2" s="45" t="s">
        <v>10</v>
      </c>
      <c r="R2" s="46" t="s">
        <v>11</v>
      </c>
      <c r="S2" s="47" t="s">
        <v>12</v>
      </c>
      <c r="T2" s="43"/>
      <c r="U2" s="45" t="s">
        <v>10</v>
      </c>
      <c r="V2" s="46" t="s">
        <v>11</v>
      </c>
      <c r="W2" s="47" t="s">
        <v>12</v>
      </c>
      <c r="X2" s="43"/>
      <c r="Y2" s="45" t="s">
        <v>10</v>
      </c>
      <c r="Z2" s="46" t="s">
        <v>11</v>
      </c>
      <c r="AA2" s="47" t="s">
        <v>12</v>
      </c>
      <c r="AB2" s="43"/>
      <c r="AC2" s="45" t="s">
        <v>10</v>
      </c>
      <c r="AD2" s="46" t="s">
        <v>11</v>
      </c>
      <c r="AE2" s="47" t="s">
        <v>12</v>
      </c>
      <c r="AF2" s="43"/>
    </row>
    <row r="3" spans="1:32" ht="15.75" thickBot="1" x14ac:dyDescent="0.3">
      <c r="A3" s="48">
        <v>1</v>
      </c>
      <c r="B3" s="49">
        <v>812</v>
      </c>
      <c r="C3" s="49">
        <v>775</v>
      </c>
      <c r="D3" s="43"/>
      <c r="E3" s="48">
        <v>1</v>
      </c>
      <c r="F3" s="49">
        <v>606</v>
      </c>
      <c r="G3" s="49">
        <v>569</v>
      </c>
      <c r="H3" s="43"/>
      <c r="I3" s="48">
        <v>1</v>
      </c>
      <c r="J3" s="49">
        <v>822</v>
      </c>
      <c r="K3" s="49">
        <v>785</v>
      </c>
      <c r="L3" s="43"/>
      <c r="M3" s="48">
        <v>1</v>
      </c>
      <c r="N3" s="49">
        <v>627</v>
      </c>
      <c r="O3" s="49">
        <v>592</v>
      </c>
      <c r="P3" s="43"/>
      <c r="Q3" s="48" t="s">
        <v>97</v>
      </c>
      <c r="R3" s="49">
        <v>645</v>
      </c>
      <c r="S3" s="49">
        <v>608</v>
      </c>
      <c r="T3" s="43"/>
      <c r="U3" s="48">
        <v>1</v>
      </c>
      <c r="V3" s="49">
        <v>873</v>
      </c>
      <c r="W3" s="49">
        <v>836</v>
      </c>
      <c r="X3" s="43"/>
      <c r="Y3" s="48" t="s">
        <v>98</v>
      </c>
      <c r="Z3" s="49">
        <v>347</v>
      </c>
      <c r="AA3" s="49">
        <v>330</v>
      </c>
      <c r="AB3" s="43"/>
      <c r="AC3" s="48">
        <v>1</v>
      </c>
      <c r="AD3" s="49">
        <v>796</v>
      </c>
      <c r="AE3" s="49">
        <v>759</v>
      </c>
      <c r="AF3" s="43"/>
    </row>
    <row r="4" spans="1:32" ht="15.75" thickBot="1" x14ac:dyDescent="0.3">
      <c r="A4" s="50">
        <v>2</v>
      </c>
      <c r="B4" s="51">
        <v>828</v>
      </c>
      <c r="C4" s="51">
        <v>791</v>
      </c>
      <c r="D4" s="43"/>
      <c r="E4" s="50" t="s">
        <v>14</v>
      </c>
      <c r="F4" s="51">
        <v>404</v>
      </c>
      <c r="G4" s="51">
        <v>364</v>
      </c>
      <c r="H4" s="43"/>
      <c r="I4" s="50">
        <v>2</v>
      </c>
      <c r="J4" s="51">
        <v>820</v>
      </c>
      <c r="K4" s="51">
        <v>783</v>
      </c>
      <c r="L4" s="43"/>
      <c r="M4" s="50">
        <v>2</v>
      </c>
      <c r="N4" s="51">
        <v>623</v>
      </c>
      <c r="O4" s="51">
        <v>588</v>
      </c>
      <c r="P4" s="43"/>
      <c r="Q4" s="50"/>
      <c r="R4" s="51"/>
      <c r="S4" s="51"/>
      <c r="T4" s="43"/>
      <c r="U4" s="50"/>
      <c r="V4" s="51"/>
      <c r="W4" s="51"/>
      <c r="X4" s="43"/>
      <c r="Y4" s="50"/>
      <c r="Z4" s="51"/>
      <c r="AA4" s="51"/>
      <c r="AB4" s="43"/>
      <c r="AC4" s="50">
        <v>2</v>
      </c>
      <c r="AD4" s="51">
        <v>802</v>
      </c>
      <c r="AE4" s="51">
        <v>765</v>
      </c>
      <c r="AF4" s="43"/>
    </row>
    <row r="5" spans="1:32" ht="15.75" thickBot="1" x14ac:dyDescent="0.3">
      <c r="A5" s="50">
        <v>3</v>
      </c>
      <c r="B5" s="51">
        <v>812</v>
      </c>
      <c r="C5" s="51">
        <v>775</v>
      </c>
      <c r="D5" s="43"/>
      <c r="E5" s="50"/>
      <c r="F5" s="51"/>
      <c r="G5" s="51"/>
      <c r="H5" s="43"/>
      <c r="I5" s="50"/>
      <c r="J5" s="51"/>
      <c r="K5" s="51"/>
      <c r="L5" s="43"/>
      <c r="M5" s="50">
        <v>3</v>
      </c>
      <c r="N5" s="51">
        <v>638</v>
      </c>
      <c r="O5" s="51">
        <v>603</v>
      </c>
      <c r="P5" s="43"/>
      <c r="Q5" s="50"/>
      <c r="R5" s="51"/>
      <c r="S5" s="51"/>
      <c r="T5" s="43"/>
      <c r="U5" s="50"/>
      <c r="V5" s="51"/>
      <c r="W5" s="51"/>
      <c r="X5" s="43"/>
      <c r="Y5" s="50"/>
      <c r="Z5" s="51"/>
      <c r="AA5" s="51"/>
      <c r="AB5" s="43"/>
      <c r="AC5" s="50"/>
      <c r="AD5" s="51"/>
      <c r="AE5" s="51"/>
      <c r="AF5" s="43"/>
    </row>
    <row r="6" spans="1:32" ht="15.75" thickBot="1" x14ac:dyDescent="0.3">
      <c r="A6" s="50"/>
      <c r="B6" s="51"/>
      <c r="C6" s="51"/>
      <c r="D6" s="43"/>
      <c r="E6" s="50"/>
      <c r="F6" s="51"/>
      <c r="G6" s="51"/>
      <c r="H6" s="43"/>
      <c r="I6" s="50"/>
      <c r="J6" s="51"/>
      <c r="K6" s="51"/>
      <c r="L6" s="43"/>
      <c r="M6" s="50">
        <v>4</v>
      </c>
      <c r="N6" s="51">
        <v>630</v>
      </c>
      <c r="O6" s="51">
        <v>595</v>
      </c>
      <c r="P6" s="43"/>
      <c r="Q6" s="50"/>
      <c r="R6" s="51"/>
      <c r="S6" s="51"/>
      <c r="T6" s="43"/>
      <c r="U6" s="50"/>
      <c r="V6" s="51"/>
      <c r="W6" s="51"/>
      <c r="X6" s="43"/>
      <c r="Y6" s="50"/>
      <c r="Z6" s="51"/>
      <c r="AA6" s="51"/>
      <c r="AB6" s="43"/>
      <c r="AC6" s="50"/>
      <c r="AD6" s="51"/>
      <c r="AE6" s="51"/>
      <c r="AF6" s="43"/>
    </row>
    <row r="7" spans="1:32" ht="15.75" thickBot="1" x14ac:dyDescent="0.3">
      <c r="A7" s="50"/>
      <c r="B7" s="51"/>
      <c r="C7" s="51"/>
      <c r="D7" s="43"/>
      <c r="E7" s="50"/>
      <c r="F7" s="51"/>
      <c r="G7" s="51"/>
      <c r="H7" s="43"/>
      <c r="I7" s="50"/>
      <c r="J7" s="51"/>
      <c r="K7" s="51"/>
      <c r="L7" s="43"/>
      <c r="M7" s="50">
        <v>5</v>
      </c>
      <c r="N7" s="51">
        <v>618</v>
      </c>
      <c r="O7" s="51">
        <v>583</v>
      </c>
      <c r="P7" s="43"/>
      <c r="Q7" s="50"/>
      <c r="R7" s="51"/>
      <c r="S7" s="51"/>
      <c r="T7" s="43"/>
      <c r="U7" s="50"/>
      <c r="V7" s="51"/>
      <c r="W7" s="51"/>
      <c r="X7" s="43"/>
      <c r="Y7" s="50"/>
      <c r="Z7" s="51"/>
      <c r="AA7" s="51"/>
      <c r="AB7" s="43"/>
      <c r="AC7" s="50"/>
      <c r="AD7" s="51"/>
      <c r="AE7" s="51"/>
      <c r="AF7" s="43"/>
    </row>
    <row r="8" spans="1:32" ht="15.75" thickBot="1" x14ac:dyDescent="0.3">
      <c r="A8" s="50"/>
      <c r="B8" s="51"/>
      <c r="C8" s="51"/>
      <c r="D8" s="43"/>
      <c r="E8" s="50"/>
      <c r="F8" s="51"/>
      <c r="G8" s="51"/>
      <c r="H8" s="43"/>
      <c r="I8" s="50"/>
      <c r="J8" s="51"/>
      <c r="K8" s="51"/>
      <c r="L8" s="43"/>
      <c r="M8" s="50">
        <v>6</v>
      </c>
      <c r="N8" s="51">
        <v>627</v>
      </c>
      <c r="O8" s="51">
        <v>592</v>
      </c>
      <c r="P8" s="43"/>
      <c r="Q8" s="50"/>
      <c r="R8" s="51"/>
      <c r="S8" s="51"/>
      <c r="T8" s="43"/>
      <c r="U8" s="50"/>
      <c r="V8" s="51"/>
      <c r="W8" s="51"/>
      <c r="X8" s="43"/>
      <c r="Y8" s="50"/>
      <c r="Z8" s="51"/>
      <c r="AA8" s="51"/>
      <c r="AB8" s="43"/>
      <c r="AC8" s="50"/>
      <c r="AD8" s="51"/>
      <c r="AE8" s="51"/>
      <c r="AF8" s="43"/>
    </row>
    <row r="9" spans="1:32" ht="15.75" thickBot="1" x14ac:dyDescent="0.3">
      <c r="A9" s="50"/>
      <c r="B9" s="51"/>
      <c r="C9" s="51"/>
      <c r="D9" s="43"/>
      <c r="E9" s="50"/>
      <c r="F9" s="51"/>
      <c r="G9" s="51"/>
      <c r="H9" s="43"/>
      <c r="I9" s="50"/>
      <c r="J9" s="51"/>
      <c r="K9" s="51"/>
      <c r="L9" s="43"/>
      <c r="M9" s="50">
        <v>7</v>
      </c>
      <c r="N9" s="51">
        <v>630</v>
      </c>
      <c r="O9" s="51">
        <v>595</v>
      </c>
      <c r="P9" s="43"/>
      <c r="Q9" s="50"/>
      <c r="R9" s="51"/>
      <c r="S9" s="51"/>
      <c r="T9" s="43"/>
      <c r="U9" s="50"/>
      <c r="V9" s="51"/>
      <c r="W9" s="51"/>
      <c r="X9" s="43"/>
      <c r="Y9" s="50"/>
      <c r="Z9" s="51"/>
      <c r="AA9" s="51"/>
      <c r="AB9" s="43"/>
      <c r="AC9" s="50"/>
      <c r="AD9" s="51"/>
      <c r="AE9" s="51"/>
      <c r="AF9" s="43"/>
    </row>
    <row r="10" spans="1:32" ht="15.75" thickBot="1" x14ac:dyDescent="0.3">
      <c r="A10" s="52"/>
      <c r="B10" s="51"/>
      <c r="C10" s="51"/>
      <c r="D10" s="43"/>
      <c r="E10" s="50"/>
      <c r="F10" s="51"/>
      <c r="G10" s="51"/>
      <c r="H10" s="43"/>
      <c r="I10" s="50"/>
      <c r="J10" s="51"/>
      <c r="K10" s="51"/>
      <c r="L10" s="43"/>
      <c r="M10" s="50">
        <v>8</v>
      </c>
      <c r="N10" s="51">
        <v>644</v>
      </c>
      <c r="O10" s="51">
        <v>609</v>
      </c>
      <c r="P10" s="43"/>
      <c r="Q10" s="50"/>
      <c r="R10" s="51"/>
      <c r="S10" s="51"/>
      <c r="T10" s="43"/>
      <c r="U10" s="50"/>
      <c r="V10" s="51"/>
      <c r="W10" s="51"/>
      <c r="X10" s="43"/>
      <c r="Y10" s="50"/>
      <c r="Z10" s="51"/>
      <c r="AA10" s="51"/>
      <c r="AB10" s="43"/>
      <c r="AC10" s="50"/>
      <c r="AD10" s="51"/>
      <c r="AE10" s="51"/>
      <c r="AF10" s="43"/>
    </row>
    <row r="11" spans="1:32" ht="15.75" thickBot="1" x14ac:dyDescent="0.3">
      <c r="A11" s="50"/>
      <c r="B11" s="51"/>
      <c r="C11" s="51"/>
      <c r="D11" s="43"/>
      <c r="E11" s="50"/>
      <c r="F11" s="51"/>
      <c r="G11" s="51"/>
      <c r="H11" s="43"/>
      <c r="I11" s="50"/>
      <c r="J11" s="51"/>
      <c r="K11" s="51"/>
      <c r="L11" s="43"/>
      <c r="M11" s="50">
        <v>9</v>
      </c>
      <c r="N11" s="51">
        <v>630</v>
      </c>
      <c r="O11" s="51">
        <v>595</v>
      </c>
      <c r="P11" s="43"/>
      <c r="Q11" s="50"/>
      <c r="R11" s="51"/>
      <c r="S11" s="51"/>
      <c r="T11" s="43"/>
      <c r="U11" s="50"/>
      <c r="V11" s="51"/>
      <c r="W11" s="51"/>
      <c r="X11" s="43"/>
      <c r="Y11" s="50"/>
      <c r="Z11" s="51"/>
      <c r="AA11" s="51"/>
      <c r="AB11" s="43"/>
      <c r="AC11" s="50"/>
      <c r="AD11" s="51"/>
      <c r="AE11" s="51"/>
      <c r="AF11" s="43"/>
    </row>
    <row r="12" spans="1:32" ht="15.75" thickBot="1" x14ac:dyDescent="0.3">
      <c r="A12" s="50"/>
      <c r="B12" s="51"/>
      <c r="C12" s="51"/>
      <c r="D12" s="43"/>
      <c r="E12" s="50"/>
      <c r="F12" s="51"/>
      <c r="G12" s="51"/>
      <c r="H12" s="43"/>
      <c r="I12" s="50"/>
      <c r="J12" s="51"/>
      <c r="K12" s="51"/>
      <c r="L12" s="43"/>
      <c r="M12" s="50">
        <v>10</v>
      </c>
      <c r="N12" s="51">
        <v>627</v>
      </c>
      <c r="O12" s="51">
        <v>592</v>
      </c>
      <c r="P12" s="43"/>
      <c r="Q12" s="50"/>
      <c r="R12" s="51"/>
      <c r="S12" s="51"/>
      <c r="T12" s="43"/>
      <c r="U12" s="50"/>
      <c r="V12" s="51"/>
      <c r="W12" s="51"/>
      <c r="X12" s="43"/>
      <c r="Y12" s="50"/>
      <c r="Z12" s="51"/>
      <c r="AA12" s="51"/>
      <c r="AB12" s="43"/>
      <c r="AC12" s="50"/>
      <c r="AD12" s="51"/>
      <c r="AE12" s="51"/>
      <c r="AF12" s="43"/>
    </row>
    <row r="13" spans="1:32" ht="15.75" thickBot="1" x14ac:dyDescent="0.3">
      <c r="A13" s="50"/>
      <c r="B13" s="51"/>
      <c r="C13" s="51"/>
      <c r="D13" s="43"/>
      <c r="E13" s="50"/>
      <c r="F13" s="51"/>
      <c r="G13" s="51"/>
      <c r="H13" s="43"/>
      <c r="I13" s="50"/>
      <c r="J13" s="51"/>
      <c r="K13" s="51"/>
      <c r="L13" s="43"/>
      <c r="M13" s="50">
        <v>11</v>
      </c>
      <c r="N13" s="51">
        <v>618</v>
      </c>
      <c r="O13" s="51">
        <v>583</v>
      </c>
      <c r="P13" s="43"/>
      <c r="Q13" s="50"/>
      <c r="R13" s="51"/>
      <c r="S13" s="51"/>
      <c r="T13" s="43"/>
      <c r="U13" s="50"/>
      <c r="V13" s="51"/>
      <c r="W13" s="51"/>
      <c r="X13" s="43"/>
    </row>
    <row r="14" spans="1:32" x14ac:dyDescent="0.25">
      <c r="A14" s="54" t="s">
        <v>99</v>
      </c>
    </row>
    <row r="15" spans="1:32" x14ac:dyDescent="0.25">
      <c r="A15" s="53"/>
    </row>
    <row r="16" spans="1:32" ht="60" x14ac:dyDescent="0.25">
      <c r="A16" s="55" t="s">
        <v>100</v>
      </c>
    </row>
  </sheetData>
  <mergeCells count="8">
    <mergeCell ref="Y1:AA1"/>
    <mergeCell ref="AC1:AE1"/>
    <mergeCell ref="A1:C1"/>
    <mergeCell ref="E1:G1"/>
    <mergeCell ref="I1:K1"/>
    <mergeCell ref="M1:O1"/>
    <mergeCell ref="Q1:S1"/>
    <mergeCell ref="U1:W1"/>
  </mergeCells>
  <hyperlinks>
    <hyperlink ref="A16" r:id="rId1" display="https://mail.google.com/mail/u/0?ui=2&amp;ik=13fb7760ea&amp;view=lg&amp;permmsgid=msg-f:1750590131124269829" xr:uid="{6FB8FB66-DFD2-42FF-B279-DF010C0BCE5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4395C-D240-4218-8AAA-46A11338BAEE}">
  <dimension ref="A2:Q19"/>
  <sheetViews>
    <sheetView workbookViewId="0">
      <selection activeCell="S12" sqref="S12"/>
    </sheetView>
  </sheetViews>
  <sheetFormatPr baseColWidth="10" defaultColWidth="11.42578125" defaultRowHeight="15" x14ac:dyDescent="0.25"/>
  <cols>
    <col min="3" max="3" width="3" customWidth="1"/>
    <col min="4" max="16" width="6.85546875" customWidth="1"/>
  </cols>
  <sheetData>
    <row r="2" spans="1:17" ht="15.75" thickBot="1" x14ac:dyDescent="0.3"/>
    <row r="3" spans="1:17" x14ac:dyDescent="0.25">
      <c r="A3" s="242" t="s">
        <v>101</v>
      </c>
      <c r="B3" s="243"/>
      <c r="D3" s="240"/>
      <c r="E3" s="240"/>
      <c r="F3" s="240"/>
      <c r="G3" s="240" t="s">
        <v>102</v>
      </c>
      <c r="H3" s="240" t="s">
        <v>102</v>
      </c>
      <c r="I3" s="240" t="s">
        <v>103</v>
      </c>
      <c r="J3" s="240" t="s">
        <v>103</v>
      </c>
      <c r="K3" s="240" t="s">
        <v>103</v>
      </c>
      <c r="L3" s="240" t="s">
        <v>104</v>
      </c>
      <c r="M3" s="240"/>
      <c r="N3" s="240"/>
      <c r="O3" s="240"/>
      <c r="P3" s="240"/>
      <c r="Q3" s="249" t="s">
        <v>105</v>
      </c>
    </row>
    <row r="4" spans="1:17" x14ac:dyDescent="0.25">
      <c r="A4" s="244"/>
      <c r="B4" s="245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9"/>
    </row>
    <row r="5" spans="1:17" x14ac:dyDescent="0.25">
      <c r="A5" s="244"/>
      <c r="B5" s="245"/>
      <c r="D5" s="241" t="s">
        <v>106</v>
      </c>
      <c r="E5" s="241" t="s">
        <v>107</v>
      </c>
      <c r="F5" s="241" t="s">
        <v>107</v>
      </c>
      <c r="G5" s="241" t="s">
        <v>102</v>
      </c>
      <c r="H5" s="241" t="s">
        <v>102</v>
      </c>
      <c r="I5" s="241" t="s">
        <v>103</v>
      </c>
      <c r="J5" s="241" t="s">
        <v>103</v>
      </c>
      <c r="K5" s="241" t="s">
        <v>103</v>
      </c>
      <c r="L5" s="241" t="s">
        <v>104</v>
      </c>
      <c r="M5" s="241" t="s">
        <v>108</v>
      </c>
      <c r="N5" s="241" t="s">
        <v>108</v>
      </c>
      <c r="O5" s="241" t="s">
        <v>108</v>
      </c>
      <c r="P5" s="241" t="s">
        <v>109</v>
      </c>
      <c r="Q5" s="249" t="s">
        <v>110</v>
      </c>
    </row>
    <row r="6" spans="1:17" ht="15.75" thickBot="1" x14ac:dyDescent="0.3">
      <c r="A6" s="244"/>
      <c r="B6" s="245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9"/>
    </row>
    <row r="7" spans="1:17" x14ac:dyDescent="0.25">
      <c r="A7" s="244"/>
      <c r="B7" s="245"/>
      <c r="D7" s="240"/>
      <c r="E7" s="240"/>
      <c r="F7" s="240"/>
      <c r="G7" s="240" t="s">
        <v>102</v>
      </c>
      <c r="H7" s="240" t="s">
        <v>102</v>
      </c>
      <c r="I7" s="240" t="s">
        <v>102</v>
      </c>
      <c r="J7" s="240" t="s">
        <v>103</v>
      </c>
      <c r="K7" s="240" t="s">
        <v>103</v>
      </c>
      <c r="L7" s="240" t="s">
        <v>104</v>
      </c>
      <c r="M7" s="240"/>
      <c r="N7" s="240"/>
      <c r="O7" s="240"/>
      <c r="P7" s="250" t="s">
        <v>111</v>
      </c>
      <c r="Q7" s="249" t="s">
        <v>105</v>
      </c>
    </row>
    <row r="8" spans="1:17" x14ac:dyDescent="0.25">
      <c r="A8" s="244"/>
      <c r="B8" s="245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51"/>
      <c r="Q8" s="249"/>
    </row>
    <row r="9" spans="1:17" x14ac:dyDescent="0.25">
      <c r="A9" s="244"/>
      <c r="B9" s="245"/>
      <c r="D9" s="241" t="s">
        <v>106</v>
      </c>
      <c r="E9" s="241" t="s">
        <v>107</v>
      </c>
      <c r="F9" s="241" t="s">
        <v>107</v>
      </c>
      <c r="G9" s="241" t="s">
        <v>102</v>
      </c>
      <c r="H9" s="241" t="s">
        <v>102</v>
      </c>
      <c r="I9" s="241" t="s">
        <v>102</v>
      </c>
      <c r="J9" s="241" t="s">
        <v>103</v>
      </c>
      <c r="K9" s="241" t="s">
        <v>103</v>
      </c>
      <c r="L9" s="241" t="s">
        <v>104</v>
      </c>
      <c r="M9" s="241" t="s">
        <v>108</v>
      </c>
      <c r="N9" s="241" t="s">
        <v>108</v>
      </c>
      <c r="O9" s="241" t="s">
        <v>108</v>
      </c>
      <c r="P9" s="252" t="s">
        <v>112</v>
      </c>
      <c r="Q9" s="249" t="s">
        <v>110</v>
      </c>
    </row>
    <row r="10" spans="1:17" ht="15.75" thickBot="1" x14ac:dyDescent="0.3">
      <c r="A10" s="246"/>
      <c r="B10" s="247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53"/>
      <c r="Q10" s="249"/>
    </row>
    <row r="13" spans="1:17" ht="15.75" thickBot="1" x14ac:dyDescent="0.3">
      <c r="C13" t="s">
        <v>113</v>
      </c>
      <c r="D13">
        <v>4</v>
      </c>
      <c r="E13" s="1">
        <v>786</v>
      </c>
      <c r="F13" s="29" t="s">
        <v>114</v>
      </c>
      <c r="M13" s="21" t="s">
        <v>11</v>
      </c>
      <c r="N13" s="254">
        <v>20049</v>
      </c>
      <c r="O13" s="255"/>
    </row>
    <row r="14" spans="1:17" ht="15.75" thickBot="1" x14ac:dyDescent="0.3">
      <c r="C14" t="s">
        <v>113</v>
      </c>
      <c r="D14">
        <v>4</v>
      </c>
      <c r="E14" s="1">
        <v>685</v>
      </c>
      <c r="F14" s="29" t="s">
        <v>115</v>
      </c>
      <c r="M14" s="21" t="s">
        <v>12</v>
      </c>
      <c r="N14" s="254">
        <v>15479</v>
      </c>
      <c r="O14" s="255"/>
    </row>
    <row r="15" spans="1:17" x14ac:dyDescent="0.25">
      <c r="C15" t="s">
        <v>113</v>
      </c>
      <c r="D15" t="s">
        <v>116</v>
      </c>
      <c r="E15" s="1">
        <v>737</v>
      </c>
      <c r="F15" s="28" t="s">
        <v>117</v>
      </c>
    </row>
    <row r="16" spans="1:17" x14ac:dyDescent="0.25">
      <c r="C16" t="s">
        <v>113</v>
      </c>
      <c r="D16">
        <v>10</v>
      </c>
      <c r="E16" s="1">
        <v>320</v>
      </c>
      <c r="F16" s="29" t="s">
        <v>118</v>
      </c>
    </row>
    <row r="17" spans="3:6" x14ac:dyDescent="0.25">
      <c r="C17" t="s">
        <v>113</v>
      </c>
      <c r="D17">
        <v>2</v>
      </c>
      <c r="E17" s="1">
        <v>800</v>
      </c>
      <c r="F17" s="28" t="s">
        <v>119</v>
      </c>
    </row>
    <row r="18" spans="3:6" x14ac:dyDescent="0.25">
      <c r="C18" t="s">
        <v>113</v>
      </c>
      <c r="D18">
        <v>10</v>
      </c>
      <c r="E18" s="1">
        <v>404</v>
      </c>
      <c r="F18" s="29" t="s">
        <v>120</v>
      </c>
    </row>
    <row r="19" spans="3:6" x14ac:dyDescent="0.25">
      <c r="D19">
        <v>1</v>
      </c>
      <c r="E19" s="1">
        <v>740</v>
      </c>
      <c r="F19" s="28" t="s">
        <v>121</v>
      </c>
    </row>
  </sheetData>
  <mergeCells count="59">
    <mergeCell ref="O9:O10"/>
    <mergeCell ref="P9:P10"/>
    <mergeCell ref="Q9:Q10"/>
    <mergeCell ref="N13:O13"/>
    <mergeCell ref="N14:O14"/>
    <mergeCell ref="N9:N10"/>
    <mergeCell ref="I9:I10"/>
    <mergeCell ref="J9:J10"/>
    <mergeCell ref="K9:K10"/>
    <mergeCell ref="L9:L10"/>
    <mergeCell ref="M9:M10"/>
    <mergeCell ref="M7:M8"/>
    <mergeCell ref="N7:N8"/>
    <mergeCell ref="O7:O8"/>
    <mergeCell ref="P7:P8"/>
    <mergeCell ref="Q7:Q8"/>
    <mergeCell ref="Q5:Q6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K5:K6"/>
    <mergeCell ref="L5:L6"/>
    <mergeCell ref="M5:M6"/>
    <mergeCell ref="N5:N6"/>
    <mergeCell ref="O5:O6"/>
    <mergeCell ref="P5:P6"/>
    <mergeCell ref="O3:O4"/>
    <mergeCell ref="P3:P4"/>
    <mergeCell ref="Q3:Q4"/>
    <mergeCell ref="D5:D6"/>
    <mergeCell ref="E5:E6"/>
    <mergeCell ref="F5:F6"/>
    <mergeCell ref="G5:G6"/>
    <mergeCell ref="H5:H6"/>
    <mergeCell ref="I5:I6"/>
    <mergeCell ref="J5:J6"/>
    <mergeCell ref="I3:I4"/>
    <mergeCell ref="J3:J4"/>
    <mergeCell ref="K3:K4"/>
    <mergeCell ref="L3:L4"/>
    <mergeCell ref="M3:M4"/>
    <mergeCell ref="N3:N4"/>
    <mergeCell ref="H3:H4"/>
    <mergeCell ref="A3:B10"/>
    <mergeCell ref="D3:D4"/>
    <mergeCell ref="E3:E4"/>
    <mergeCell ref="F3:F4"/>
    <mergeCell ref="G3:G4"/>
    <mergeCell ref="D9:D10"/>
    <mergeCell ref="E9:E10"/>
    <mergeCell ref="F9:F10"/>
    <mergeCell ref="G9:G10"/>
    <mergeCell ref="H9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17 de julio sin HEB</vt:lpstr>
      <vt:lpstr>Envío</vt:lpstr>
      <vt:lpstr>Hoja4</vt:lpstr>
      <vt:lpstr>catálogo</vt:lpstr>
      <vt:lpstr>Hoja3</vt:lpstr>
      <vt:lpstr>Hoja2</vt:lpstr>
      <vt:lpstr>Hoja1</vt:lpstr>
      <vt:lpstr>Acomodo en camión Final</vt:lpstr>
      <vt:lpstr>DATOS1</vt:lpstr>
      <vt:lpstr>DATOS2</vt:lpstr>
      <vt:lpstr>DATOS3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Moisés</dc:creator>
  <cp:keywords/>
  <dc:description/>
  <cp:lastModifiedBy>Rebeca Franco</cp:lastModifiedBy>
  <cp:revision/>
  <cp:lastPrinted>2025-04-16T20:08:26Z</cp:lastPrinted>
  <dcterms:created xsi:type="dcterms:W3CDTF">2020-11-16T17:07:16Z</dcterms:created>
  <dcterms:modified xsi:type="dcterms:W3CDTF">2026-02-18T22:16:17Z</dcterms:modified>
  <cp:category/>
  <cp:contentStatus/>
</cp:coreProperties>
</file>