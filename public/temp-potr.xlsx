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franco\Desktop\"/>
    </mc:Choice>
  </mc:AlternateContent>
  <xr:revisionPtr revIDLastSave="0" documentId="13_ncr:1_{AB17FCCE-C8C5-49D7-B1E2-CFE27EE4D68C}" xr6:coauthVersionLast="47" xr6:coauthVersionMax="47" xr10:uidLastSave="{00000000-0000-0000-0000-000000000000}"/>
  <bookViews>
    <workbookView xWindow="-24120" yWindow="-120" windowWidth="24240" windowHeight="13020" xr2:uid="{57C09DD1-E64B-463A-822F-C00CBA3EA499}"/>
  </bookViews>
  <sheets>
    <sheet name="Open POs" sheetId="2" r:id="rId1"/>
    <sheet name="Shipped Orders" sheetId="3" r:id="rId2"/>
    <sheet name="Closed POs" sheetId="4" r:id="rId3"/>
    <sheet name="Scheduled Facility Closures" sheetId="7" r:id="rId4"/>
    <sheet name="Capacity" sheetId="5" r:id="rId5"/>
    <sheet name="Freight Invoices" sheetId="6" r:id="rId6"/>
  </sheets>
  <definedNames>
    <definedName name="_xlnm._FilterDatabase" localSheetId="2" hidden="1">'Closed POs'!$D$4:$I$584</definedName>
    <definedName name="_xlnm._FilterDatabase" localSheetId="0" hidden="1">'Open POs'!$D$4:$I$200</definedName>
    <definedName name="_xlnm._FilterDatabase" localSheetId="1" hidden="1">'Shipped Orders'!$D$4:$I$1262</definedName>
    <definedName name="_xlnm.Print_Area" localSheetId="2">'Closed POs'!$A$1:$Y$4</definedName>
    <definedName name="_xlnm.Print_Area" localSheetId="5">'Freight Invoices'!$B$2:$K$5</definedName>
    <definedName name="_xlnm.Print_Area" localSheetId="0">'Open POs'!$A$1:$AA$194</definedName>
    <definedName name="Date">'Open POs'!$B$1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8" i="2" l="1"/>
  <c r="C117" i="2"/>
  <c r="C111" i="2"/>
  <c r="C61" i="2"/>
  <c r="C56" i="2"/>
  <c r="C57" i="2"/>
  <c r="C152" i="2"/>
  <c r="C165" i="2" l="1"/>
  <c r="C115" i="2" l="1"/>
  <c r="C62" i="2" l="1"/>
  <c r="C55" i="2"/>
  <c r="C20" i="2"/>
  <c r="C19" i="2"/>
  <c r="N8" i="2"/>
  <c r="N79" i="2"/>
  <c r="N31" i="2" l="1"/>
  <c r="C130" i="2"/>
  <c r="T1306" i="3"/>
  <c r="Q1306" i="3"/>
  <c r="T131" i="2"/>
  <c r="P131" i="2"/>
  <c r="S131" i="2" s="1"/>
  <c r="M131" i="2"/>
  <c r="Q1300" i="3"/>
  <c r="Q1324" i="3"/>
  <c r="AG1324" i="3"/>
  <c r="T1323" i="3"/>
  <c r="P1323" i="3"/>
  <c r="S1323" i="3" s="1"/>
  <c r="M1323" i="3"/>
  <c r="C1323" i="3"/>
  <c r="T1322" i="3"/>
  <c r="P1322" i="3"/>
  <c r="S1322" i="3" s="1"/>
  <c r="M1322" i="3"/>
  <c r="C1322" i="3"/>
  <c r="T1321" i="3"/>
  <c r="P1321" i="3"/>
  <c r="S1321" i="3" s="1"/>
  <c r="M1321" i="3"/>
  <c r="C1321" i="3"/>
  <c r="T1320" i="3"/>
  <c r="P1320" i="3"/>
  <c r="S1320" i="3" s="1"/>
  <c r="M1320" i="3"/>
  <c r="C1320" i="3"/>
  <c r="T1319" i="3"/>
  <c r="P1319" i="3"/>
  <c r="S1319" i="3" s="1"/>
  <c r="M1319" i="3"/>
  <c r="C1319" i="3"/>
  <c r="T1318" i="3"/>
  <c r="P1318" i="3"/>
  <c r="S1318" i="3" s="1"/>
  <c r="M1318" i="3"/>
  <c r="C1318" i="3"/>
  <c r="T1317" i="3"/>
  <c r="P1317" i="3"/>
  <c r="S1317" i="3" s="1"/>
  <c r="M1317" i="3"/>
  <c r="C1317" i="3"/>
  <c r="T1316" i="3"/>
  <c r="P1316" i="3"/>
  <c r="S1316" i="3" s="1"/>
  <c r="M1316" i="3"/>
  <c r="C1316" i="3"/>
  <c r="T1315" i="3"/>
  <c r="P1315" i="3"/>
  <c r="S1315" i="3" s="1"/>
  <c r="M1315" i="3"/>
  <c r="C1315" i="3"/>
  <c r="T1314" i="3"/>
  <c r="P1314" i="3"/>
  <c r="S1314" i="3" s="1"/>
  <c r="M1314" i="3"/>
  <c r="C1314" i="3"/>
  <c r="T1313" i="3"/>
  <c r="P1313" i="3"/>
  <c r="S1313" i="3" s="1"/>
  <c r="M1313" i="3"/>
  <c r="C1313" i="3"/>
  <c r="G8" i="6"/>
  <c r="I8" i="6"/>
  <c r="J8" i="6" s="1"/>
  <c r="T1324" i="3" l="1"/>
  <c r="G7" i="6"/>
  <c r="I7" i="6"/>
  <c r="J7" i="6" s="1"/>
  <c r="G6" i="6"/>
  <c r="I6" i="6"/>
  <c r="J6" i="6" s="1"/>
  <c r="M575" i="4"/>
  <c r="P575" i="4"/>
  <c r="S575" i="4"/>
  <c r="T575" i="4"/>
  <c r="M576" i="4"/>
  <c r="P576" i="4"/>
  <c r="S576" i="4"/>
  <c r="T576" i="4"/>
  <c r="T20" i="2"/>
  <c r="P20" i="2"/>
  <c r="S20" i="2" s="1"/>
  <c r="M20" i="2"/>
  <c r="Q1312" i="3"/>
  <c r="T1311" i="3"/>
  <c r="P1311" i="3"/>
  <c r="S1311" i="3" s="1"/>
  <c r="M1311" i="3"/>
  <c r="C1311" i="3"/>
  <c r="M1303" i="3"/>
  <c r="M1302" i="3"/>
  <c r="M1301" i="3"/>
  <c r="M1305" i="3"/>
  <c r="T1310" i="3"/>
  <c r="P1310" i="3"/>
  <c r="S1310" i="3" s="1"/>
  <c r="M1310" i="3"/>
  <c r="C1310" i="3"/>
  <c r="T1309" i="3"/>
  <c r="P1309" i="3"/>
  <c r="S1309" i="3" s="1"/>
  <c r="M1309" i="3"/>
  <c r="C1309" i="3"/>
  <c r="T1303" i="3"/>
  <c r="P1303" i="3"/>
  <c r="S1303" i="3" s="1"/>
  <c r="C1303" i="3"/>
  <c r="T1305" i="3"/>
  <c r="P1305" i="3"/>
  <c r="S1305" i="3" s="1"/>
  <c r="C1305" i="3"/>
  <c r="AG1312" i="3"/>
  <c r="T1308" i="3"/>
  <c r="P1308" i="3"/>
  <c r="S1308" i="3" s="1"/>
  <c r="M1308" i="3"/>
  <c r="C1308" i="3"/>
  <c r="T1307" i="3"/>
  <c r="P1307" i="3"/>
  <c r="S1307" i="3" s="1"/>
  <c r="M1307" i="3"/>
  <c r="C1307" i="3"/>
  <c r="AG1306" i="3"/>
  <c r="T1301" i="3"/>
  <c r="P1301" i="3"/>
  <c r="S1301" i="3" s="1"/>
  <c r="C1301" i="3"/>
  <c r="T1302" i="3"/>
  <c r="P1302" i="3"/>
  <c r="S1302" i="3" s="1"/>
  <c r="C1302" i="3"/>
  <c r="T1304" i="3"/>
  <c r="P1304" i="3"/>
  <c r="S1304" i="3" s="1"/>
  <c r="M1304" i="3"/>
  <c r="C1304" i="3"/>
  <c r="T128" i="2"/>
  <c r="P128" i="2"/>
  <c r="S128" i="2" s="1"/>
  <c r="M128" i="2"/>
  <c r="Q1292" i="3"/>
  <c r="M1294" i="3"/>
  <c r="M1297" i="3"/>
  <c r="M1293" i="3"/>
  <c r="M1296" i="3"/>
  <c r="M1283" i="3"/>
  <c r="M1284" i="3"/>
  <c r="T1283" i="3"/>
  <c r="P1283" i="3"/>
  <c r="S1283" i="3" s="1"/>
  <c r="C1283" i="3"/>
  <c r="T1296" i="3"/>
  <c r="P1296" i="3"/>
  <c r="S1296" i="3" s="1"/>
  <c r="C1296" i="3"/>
  <c r="T1297" i="3"/>
  <c r="P1297" i="3"/>
  <c r="S1297" i="3" s="1"/>
  <c r="C1297" i="3"/>
  <c r="Q1282" i="3"/>
  <c r="T62" i="2"/>
  <c r="P62" i="2"/>
  <c r="S62" i="2" s="1"/>
  <c r="M62" i="2"/>
  <c r="T1312" i="3" l="1"/>
  <c r="AG1300" i="3"/>
  <c r="T1295" i="3"/>
  <c r="P1295" i="3"/>
  <c r="S1295" i="3" s="1"/>
  <c r="M1295" i="3"/>
  <c r="C1295" i="3"/>
  <c r="T1299" i="3"/>
  <c r="P1299" i="3"/>
  <c r="S1299" i="3" s="1"/>
  <c r="M1299" i="3"/>
  <c r="C1299" i="3"/>
  <c r="T1298" i="3"/>
  <c r="P1298" i="3"/>
  <c r="S1298" i="3" s="1"/>
  <c r="M1298" i="3"/>
  <c r="C1298" i="3"/>
  <c r="T1293" i="3"/>
  <c r="P1293" i="3"/>
  <c r="S1293" i="3" s="1"/>
  <c r="C1293" i="3"/>
  <c r="T1294" i="3"/>
  <c r="P1294" i="3"/>
  <c r="S1294" i="3" s="1"/>
  <c r="C1294" i="3"/>
  <c r="M138" i="2"/>
  <c r="M139" i="2"/>
  <c r="M141" i="2"/>
  <c r="M142" i="2"/>
  <c r="M140" i="2"/>
  <c r="T140" i="2"/>
  <c r="P140" i="2"/>
  <c r="S140" i="2" s="1"/>
  <c r="T19" i="2"/>
  <c r="P19" i="2"/>
  <c r="S19" i="2" s="1"/>
  <c r="M19" i="2"/>
  <c r="C571" i="4"/>
  <c r="M571" i="4"/>
  <c r="P571" i="4"/>
  <c r="S571" i="4" s="1"/>
  <c r="T571" i="4"/>
  <c r="M572" i="4"/>
  <c r="P572" i="4"/>
  <c r="S572" i="4"/>
  <c r="T572" i="4"/>
  <c r="M573" i="4"/>
  <c r="P573" i="4"/>
  <c r="S573" i="4"/>
  <c r="T573" i="4"/>
  <c r="C574" i="4"/>
  <c r="M574" i="4"/>
  <c r="P574" i="4"/>
  <c r="S574" i="4"/>
  <c r="T574" i="4"/>
  <c r="C570" i="4"/>
  <c r="M570" i="4"/>
  <c r="P570" i="4"/>
  <c r="S570" i="4"/>
  <c r="T570" i="4"/>
  <c r="C86" i="2"/>
  <c r="T1300" i="3" l="1"/>
  <c r="T152" i="2"/>
  <c r="P152" i="2"/>
  <c r="S152" i="2" s="1"/>
  <c r="M152" i="2"/>
  <c r="M129" i="2"/>
  <c r="M130" i="2"/>
  <c r="C141" i="2"/>
  <c r="C123" i="2"/>
  <c r="C60" i="2"/>
  <c r="C59" i="2"/>
  <c r="C58" i="2"/>
  <c r="C49" i="2"/>
  <c r="C50" i="2"/>
  <c r="C51" i="2"/>
  <c r="C52" i="2"/>
  <c r="C53" i="2"/>
  <c r="C54" i="2"/>
  <c r="C33" i="2"/>
  <c r="C21" i="2"/>
  <c r="T130" i="2" l="1"/>
  <c r="P130" i="2"/>
  <c r="S130" i="2" s="1"/>
  <c r="T129" i="2"/>
  <c r="P129" i="2"/>
  <c r="S129" i="2" s="1"/>
  <c r="T165" i="2"/>
  <c r="P165" i="2"/>
  <c r="S165" i="2" s="1"/>
  <c r="M165" i="2"/>
  <c r="T57" i="2"/>
  <c r="P57" i="2"/>
  <c r="S57" i="2" s="1"/>
  <c r="M57" i="2"/>
  <c r="T61" i="2"/>
  <c r="P61" i="2"/>
  <c r="S61" i="2" s="1"/>
  <c r="M61" i="2"/>
  <c r="M1276" i="3"/>
  <c r="M1281" i="3"/>
  <c r="M1280" i="3"/>
  <c r="M1279" i="3"/>
  <c r="T1280" i="3"/>
  <c r="P1280" i="3"/>
  <c r="S1280" i="3" s="1"/>
  <c r="C1280" i="3"/>
  <c r="T1279" i="3"/>
  <c r="P1279" i="3"/>
  <c r="S1279" i="3" s="1"/>
  <c r="C1279" i="3"/>
  <c r="T1281" i="3"/>
  <c r="P1281" i="3"/>
  <c r="S1281" i="3" s="1"/>
  <c r="C1281" i="3"/>
  <c r="T1276" i="3"/>
  <c r="P1276" i="3"/>
  <c r="S1276" i="3" s="1"/>
  <c r="C1276" i="3"/>
  <c r="Q1274" i="3"/>
  <c r="AG1292" i="3"/>
  <c r="T1289" i="3"/>
  <c r="P1289" i="3"/>
  <c r="S1289" i="3" s="1"/>
  <c r="M1289" i="3"/>
  <c r="C1289" i="3"/>
  <c r="T1290" i="3"/>
  <c r="P1290" i="3"/>
  <c r="S1290" i="3" s="1"/>
  <c r="M1290" i="3"/>
  <c r="C1290" i="3"/>
  <c r="T1286" i="3"/>
  <c r="P1286" i="3"/>
  <c r="S1286" i="3" s="1"/>
  <c r="M1286" i="3"/>
  <c r="C1286" i="3"/>
  <c r="T1287" i="3"/>
  <c r="P1287" i="3"/>
  <c r="S1287" i="3" s="1"/>
  <c r="M1287" i="3"/>
  <c r="C1287" i="3"/>
  <c r="T1291" i="3"/>
  <c r="P1291" i="3"/>
  <c r="S1291" i="3" s="1"/>
  <c r="M1291" i="3"/>
  <c r="C1291" i="3"/>
  <c r="T1288" i="3"/>
  <c r="P1288" i="3"/>
  <c r="S1288" i="3" s="1"/>
  <c r="M1288" i="3"/>
  <c r="C1288" i="3"/>
  <c r="T1285" i="3"/>
  <c r="P1285" i="3"/>
  <c r="S1285" i="3" s="1"/>
  <c r="M1285" i="3"/>
  <c r="C1285" i="3"/>
  <c r="T1284" i="3"/>
  <c r="P1284" i="3"/>
  <c r="S1284" i="3" s="1"/>
  <c r="C1284" i="3"/>
  <c r="T139" i="2"/>
  <c r="P139" i="2"/>
  <c r="S139" i="2" s="1"/>
  <c r="T21" i="2"/>
  <c r="P21" i="2"/>
  <c r="S21" i="2" s="1"/>
  <c r="M21" i="2"/>
  <c r="T1269" i="3"/>
  <c r="P1269" i="3"/>
  <c r="S1269" i="3" s="1"/>
  <c r="M1269" i="3"/>
  <c r="C1269" i="3"/>
  <c r="T1268" i="3"/>
  <c r="P1268" i="3"/>
  <c r="S1268" i="3" s="1"/>
  <c r="M1268" i="3"/>
  <c r="C1268" i="3"/>
  <c r="C110" i="2"/>
  <c r="C109" i="2"/>
  <c r="C108" i="2"/>
  <c r="C101" i="2"/>
  <c r="C112" i="2"/>
  <c r="C113" i="2"/>
  <c r="C122" i="2"/>
  <c r="C132" i="2"/>
  <c r="C138" i="2"/>
  <c r="C94" i="2"/>
  <c r="C92" i="2"/>
  <c r="C91" i="2"/>
  <c r="T1292" i="3" l="1"/>
  <c r="C155" i="2"/>
  <c r="C83" i="2"/>
  <c r="M58" i="2"/>
  <c r="M59" i="2"/>
  <c r="M60" i="2"/>
  <c r="M63" i="2"/>
  <c r="M55" i="2"/>
  <c r="M56" i="2"/>
  <c r="T1273" i="3" l="1"/>
  <c r="P1273" i="3"/>
  <c r="S1273" i="3" s="1"/>
  <c r="M1273" i="3"/>
  <c r="C1273" i="3"/>
  <c r="AG1282" i="3"/>
  <c r="T1277" i="3"/>
  <c r="P1277" i="3"/>
  <c r="S1277" i="3" s="1"/>
  <c r="M1277" i="3"/>
  <c r="C1277" i="3"/>
  <c r="T1275" i="3"/>
  <c r="P1275" i="3"/>
  <c r="S1275" i="3" s="1"/>
  <c r="M1275" i="3"/>
  <c r="C1275" i="3"/>
  <c r="T1278" i="3"/>
  <c r="P1278" i="3"/>
  <c r="S1278" i="3" s="1"/>
  <c r="M1278" i="3"/>
  <c r="C1278" i="3"/>
  <c r="T1271" i="3"/>
  <c r="P1271" i="3"/>
  <c r="S1271" i="3" s="1"/>
  <c r="M1271" i="3"/>
  <c r="C1271" i="3"/>
  <c r="T1272" i="3"/>
  <c r="P1272" i="3"/>
  <c r="S1272" i="3" s="1"/>
  <c r="M1272" i="3"/>
  <c r="C1272" i="3"/>
  <c r="AG1274" i="3"/>
  <c r="T1270" i="3"/>
  <c r="P1270" i="3"/>
  <c r="S1270" i="3" s="1"/>
  <c r="M1270" i="3"/>
  <c r="C1270" i="3"/>
  <c r="T56" i="2"/>
  <c r="P56" i="2"/>
  <c r="S56" i="2" s="1"/>
  <c r="T55" i="2"/>
  <c r="P55" i="2"/>
  <c r="S55" i="2" s="1"/>
  <c r="T1282" i="3" l="1"/>
  <c r="T1274" i="3"/>
  <c r="Q1267" i="3"/>
  <c r="M1265" i="3"/>
  <c r="M1266" i="3"/>
  <c r="Q64" i="2"/>
  <c r="Q143" i="2"/>
  <c r="Q167" i="2"/>
  <c r="Q22" i="2"/>
  <c r="T33" i="2"/>
  <c r="P33" i="2"/>
  <c r="S33" i="2" s="1"/>
  <c r="M33" i="2"/>
  <c r="P26" i="2"/>
  <c r="T1263" i="3"/>
  <c r="T1266" i="3"/>
  <c r="T1264" i="3"/>
  <c r="T1265" i="3"/>
  <c r="T1261" i="3"/>
  <c r="T1260" i="3"/>
  <c r="T1259" i="3"/>
  <c r="T1258" i="3"/>
  <c r="T1257" i="3"/>
  <c r="T1256" i="3"/>
  <c r="T1254" i="3"/>
  <c r="T1253" i="3"/>
  <c r="T1252" i="3"/>
  <c r="T1251" i="3"/>
  <c r="T1250" i="3"/>
  <c r="T1249" i="3"/>
  <c r="T1247" i="3"/>
  <c r="T1246" i="3"/>
  <c r="T1244" i="3"/>
  <c r="T1243" i="3"/>
  <c r="T1242" i="3"/>
  <c r="T1241" i="3"/>
  <c r="T1240" i="3"/>
  <c r="T1239" i="3"/>
  <c r="T1238" i="3"/>
  <c r="T1226" i="3"/>
  <c r="T1227" i="3"/>
  <c r="T1228" i="3"/>
  <c r="T1229" i="3"/>
  <c r="T1230" i="3"/>
  <c r="T1231" i="3"/>
  <c r="T1232" i="3"/>
  <c r="T1233" i="3"/>
  <c r="T1234" i="3"/>
  <c r="T1235" i="3"/>
  <c r="T1236" i="3"/>
  <c r="T1225" i="3"/>
  <c r="T1223" i="3"/>
  <c r="T1222" i="3"/>
  <c r="T1221" i="3"/>
  <c r="T1220" i="3"/>
  <c r="T1219" i="3"/>
  <c r="T1217" i="3"/>
  <c r="T1216" i="3"/>
  <c r="T1215" i="3"/>
  <c r="T1214" i="3"/>
  <c r="T1213" i="3"/>
  <c r="T1212" i="3"/>
  <c r="T1211" i="3"/>
  <c r="T1210" i="3"/>
  <c r="T1208" i="3"/>
  <c r="T1207" i="3"/>
  <c r="T1206" i="3"/>
  <c r="T1205" i="3"/>
  <c r="T1204" i="3"/>
  <c r="T1202" i="3"/>
  <c r="T1201" i="3"/>
  <c r="T1200" i="3"/>
  <c r="T1199" i="3"/>
  <c r="T1198" i="3"/>
  <c r="T1197" i="3"/>
  <c r="T1195" i="3"/>
  <c r="T1194" i="3"/>
  <c r="T1193" i="3"/>
  <c r="T1192" i="3"/>
  <c r="T1191" i="3"/>
  <c r="T1190" i="3"/>
  <c r="T1189" i="3"/>
  <c r="T1188" i="3"/>
  <c r="T1187" i="3"/>
  <c r="T1186" i="3"/>
  <c r="T1185" i="3"/>
  <c r="T1184" i="3"/>
  <c r="T1175" i="3"/>
  <c r="T1176" i="3"/>
  <c r="T1177" i="3"/>
  <c r="T1178" i="3"/>
  <c r="T1179" i="3"/>
  <c r="T1180" i="3"/>
  <c r="T1181" i="3"/>
  <c r="T1182" i="3"/>
  <c r="T1174" i="3"/>
  <c r="T1172" i="3"/>
  <c r="T1171" i="3"/>
  <c r="T1168" i="3"/>
  <c r="T1167" i="3"/>
  <c r="T1166" i="3"/>
  <c r="T1165" i="3"/>
  <c r="T1169" i="3"/>
  <c r="T1164" i="3"/>
  <c r="T1163" i="3"/>
  <c r="T1162" i="3"/>
  <c r="T1161" i="3"/>
  <c r="T1160" i="3"/>
  <c r="T1159" i="3"/>
  <c r="T1158" i="3"/>
  <c r="T1157" i="3"/>
  <c r="T1156" i="3"/>
  <c r="T1154" i="3"/>
  <c r="T1153" i="3"/>
  <c r="T1152" i="3"/>
  <c r="T1150" i="3"/>
  <c r="T1149" i="3"/>
  <c r="T1148" i="3"/>
  <c r="T1147" i="3"/>
  <c r="T1146" i="3"/>
  <c r="T1145" i="3"/>
  <c r="T1144" i="3"/>
  <c r="T1142" i="3"/>
  <c r="T1141" i="3"/>
  <c r="T1140" i="3"/>
  <c r="T1139" i="3"/>
  <c r="T1138" i="3"/>
  <c r="T1137" i="3"/>
  <c r="T1136" i="3"/>
  <c r="T1135" i="3"/>
  <c r="T1133" i="3"/>
  <c r="T1132" i="3"/>
  <c r="T1131" i="3"/>
  <c r="T1130" i="3"/>
  <c r="T1129" i="3"/>
  <c r="T1128" i="3"/>
  <c r="T1127" i="3"/>
  <c r="T1126" i="3"/>
  <c r="T1124" i="3"/>
  <c r="T1123" i="3"/>
  <c r="T1122" i="3"/>
  <c r="T1111" i="3"/>
  <c r="T1112" i="3"/>
  <c r="T1113" i="3"/>
  <c r="T1114" i="3"/>
  <c r="T1115" i="3"/>
  <c r="T1116" i="3"/>
  <c r="T1117" i="3"/>
  <c r="T1118" i="3"/>
  <c r="T1119" i="3"/>
  <c r="T1120" i="3"/>
  <c r="T1110" i="3"/>
  <c r="T1108" i="3"/>
  <c r="T1107" i="3"/>
  <c r="T1106" i="3"/>
  <c r="T1105" i="3"/>
  <c r="T1103" i="3"/>
  <c r="T1102" i="3"/>
  <c r="T1099" i="3"/>
  <c r="T1098" i="3"/>
  <c r="T1100" i="3"/>
  <c r="T1097" i="3"/>
  <c r="T1096" i="3"/>
  <c r="T1095" i="3"/>
  <c r="T1094" i="3"/>
  <c r="T1092" i="3"/>
  <c r="T1091" i="3"/>
  <c r="T1090" i="3"/>
  <c r="T1089" i="3"/>
  <c r="T1088" i="3"/>
  <c r="T1087" i="3"/>
  <c r="T1086" i="3"/>
  <c r="T1084" i="3"/>
  <c r="T1083" i="3"/>
  <c r="T1082" i="3"/>
  <c r="T1081" i="3"/>
  <c r="T1080" i="3"/>
  <c r="T1079" i="3"/>
  <c r="T1078" i="3"/>
  <c r="T1076" i="3"/>
  <c r="T1075" i="3"/>
  <c r="T1074" i="3"/>
  <c r="T1073" i="3"/>
  <c r="T1072" i="3"/>
  <c r="T1070" i="3"/>
  <c r="T1069" i="3"/>
  <c r="T1068" i="3"/>
  <c r="T1067" i="3"/>
  <c r="T1065" i="3"/>
  <c r="T1064" i="3"/>
  <c r="T1063" i="3"/>
  <c r="T1062" i="3"/>
  <c r="T1061" i="3"/>
  <c r="T1060" i="3"/>
  <c r="T1057" i="3"/>
  <c r="T1058" i="3"/>
  <c r="T1056" i="3"/>
  <c r="T1055" i="3"/>
  <c r="T1054" i="3"/>
  <c r="T1053" i="3"/>
  <c r="T1052" i="3"/>
  <c r="T1051" i="3"/>
  <c r="T1049" i="3"/>
  <c r="T1048" i="3"/>
  <c r="T1047" i="3"/>
  <c r="T1046" i="3"/>
  <c r="T1045" i="3"/>
  <c r="T1044" i="3"/>
  <c r="T1043" i="3"/>
  <c r="T1042" i="3"/>
  <c r="T1041" i="3"/>
  <c r="T1040" i="3"/>
  <c r="T1038" i="3"/>
  <c r="T1037" i="3"/>
  <c r="T1036" i="3"/>
  <c r="T1035" i="3"/>
  <c r="T1034" i="3"/>
  <c r="T1033" i="3"/>
  <c r="T1032" i="3"/>
  <c r="T1029" i="3"/>
  <c r="T1030" i="3"/>
  <c r="T1028" i="3"/>
  <c r="T1027" i="3"/>
  <c r="T1026" i="3"/>
  <c r="T1025" i="3"/>
  <c r="T1024" i="3"/>
  <c r="T1023" i="3"/>
  <c r="T1022" i="3"/>
  <c r="T1021" i="3"/>
  <c r="T1020" i="3"/>
  <c r="T1019" i="3"/>
  <c r="T1018" i="3"/>
  <c r="T1017" i="3"/>
  <c r="T1016" i="3"/>
  <c r="T1014" i="3"/>
  <c r="T1013" i="3"/>
  <c r="T1012" i="3"/>
  <c r="T1011" i="3"/>
  <c r="T1010" i="3"/>
  <c r="T1009" i="3"/>
  <c r="T1008" i="3"/>
  <c r="T1006" i="3"/>
  <c r="T1005" i="3"/>
  <c r="T1004" i="3"/>
  <c r="T1003" i="3"/>
  <c r="T1002" i="3"/>
  <c r="T1001" i="3"/>
  <c r="T1000" i="3"/>
  <c r="T999" i="3"/>
  <c r="T998" i="3"/>
  <c r="T997" i="3"/>
  <c r="T996" i="3"/>
  <c r="T995" i="3"/>
  <c r="T994" i="3"/>
  <c r="T992" i="3"/>
  <c r="T991" i="3"/>
  <c r="T990" i="3"/>
  <c r="T989" i="3"/>
  <c r="T988" i="3"/>
  <c r="T987" i="3"/>
  <c r="T986" i="3"/>
  <c r="T983" i="3"/>
  <c r="T982" i="3"/>
  <c r="T981" i="3"/>
  <c r="T980" i="3"/>
  <c r="T979" i="3"/>
  <c r="T984" i="3"/>
  <c r="T978" i="3"/>
  <c r="T977" i="3"/>
  <c r="T976" i="3"/>
  <c r="T974" i="3"/>
  <c r="T973" i="3"/>
  <c r="T972" i="3"/>
  <c r="T971" i="3"/>
  <c r="T970" i="3"/>
  <c r="T969" i="3"/>
  <c r="T967" i="3"/>
  <c r="T966" i="3"/>
  <c r="T965" i="3"/>
  <c r="T964" i="3"/>
  <c r="T963" i="3"/>
  <c r="T962" i="3"/>
  <c r="T961" i="3"/>
  <c r="T959" i="3"/>
  <c r="T958" i="3"/>
  <c r="T957" i="3"/>
  <c r="T956" i="3"/>
  <c r="T955" i="3"/>
  <c r="T954" i="3"/>
  <c r="T952" i="3"/>
  <c r="T951" i="3"/>
  <c r="T950" i="3"/>
  <c r="T949" i="3"/>
  <c r="T948" i="3"/>
  <c r="T947" i="3"/>
  <c r="T946" i="3"/>
  <c r="T945" i="3"/>
  <c r="T943" i="3"/>
  <c r="T942" i="3"/>
  <c r="T941" i="3"/>
  <c r="T940" i="3"/>
  <c r="T939" i="3"/>
  <c r="T938" i="3"/>
  <c r="T928" i="3"/>
  <c r="T929" i="3"/>
  <c r="T930" i="3"/>
  <c r="T931" i="3"/>
  <c r="T932" i="3"/>
  <c r="T933" i="3"/>
  <c r="T934" i="3"/>
  <c r="T935" i="3"/>
  <c r="T936" i="3"/>
  <c r="T927" i="3"/>
  <c r="T926" i="3"/>
  <c r="T925" i="3"/>
  <c r="T923" i="3"/>
  <c r="T922" i="3"/>
  <c r="T921" i="3"/>
  <c r="T920" i="3"/>
  <c r="T919" i="3"/>
  <c r="T918" i="3"/>
  <c r="T917" i="3"/>
  <c r="T916" i="3"/>
  <c r="T915" i="3"/>
  <c r="T914" i="3"/>
  <c r="T912" i="3"/>
  <c r="T911" i="3"/>
  <c r="T910" i="3"/>
  <c r="T909" i="3"/>
  <c r="T908" i="3"/>
  <c r="T907" i="3"/>
  <c r="T905" i="3"/>
  <c r="T904" i="3"/>
  <c r="T903" i="3"/>
  <c r="T902" i="3"/>
  <c r="T901" i="3"/>
  <c r="T899" i="3"/>
  <c r="T898" i="3"/>
  <c r="T897" i="3"/>
  <c r="T896" i="3"/>
  <c r="T895" i="3"/>
  <c r="T894" i="3"/>
  <c r="T893" i="3"/>
  <c r="T892" i="3"/>
  <c r="T891" i="3"/>
  <c r="T889" i="3"/>
  <c r="T888" i="3"/>
  <c r="T887" i="3"/>
  <c r="T886" i="3"/>
  <c r="T885" i="3"/>
  <c r="T884" i="3"/>
  <c r="T883" i="3"/>
  <c r="T882" i="3"/>
  <c r="T881" i="3"/>
  <c r="T880" i="3"/>
  <c r="T878" i="3"/>
  <c r="T874" i="3"/>
  <c r="T875" i="3"/>
  <c r="T876" i="3"/>
  <c r="T873" i="3"/>
  <c r="T872" i="3"/>
  <c r="T871" i="3"/>
  <c r="T870" i="3"/>
  <c r="T868" i="3"/>
  <c r="T867" i="3"/>
  <c r="T866" i="3"/>
  <c r="T865" i="3"/>
  <c r="T864" i="3"/>
  <c r="T862" i="3"/>
  <c r="T861" i="3"/>
  <c r="T860" i="3"/>
  <c r="T859" i="3"/>
  <c r="T858" i="3"/>
  <c r="T856" i="3"/>
  <c r="T855" i="3"/>
  <c r="T854" i="3"/>
  <c r="T852" i="3"/>
  <c r="T851" i="3"/>
  <c r="T850" i="3"/>
  <c r="T849" i="3"/>
  <c r="T848" i="3"/>
  <c r="T840" i="3"/>
  <c r="T847" i="3"/>
  <c r="T845" i="3"/>
  <c r="T844" i="3"/>
  <c r="T843" i="3"/>
  <c r="T842" i="3"/>
  <c r="T839" i="3"/>
  <c r="T838" i="3"/>
  <c r="T837" i="3"/>
  <c r="T835" i="3"/>
  <c r="T834" i="3"/>
  <c r="T833" i="3"/>
  <c r="T832" i="3"/>
  <c r="T831" i="3"/>
  <c r="T830" i="3"/>
  <c r="T829" i="3"/>
  <c r="T828" i="3"/>
  <c r="T827" i="3"/>
  <c r="T825" i="3"/>
  <c r="T824" i="3"/>
  <c r="T823" i="3"/>
  <c r="T822" i="3"/>
  <c r="T821" i="3"/>
  <c r="T820" i="3"/>
  <c r="T819" i="3"/>
  <c r="T818" i="3"/>
  <c r="T817" i="3"/>
  <c r="T815" i="3"/>
  <c r="T814" i="3"/>
  <c r="T813" i="3"/>
  <c r="T812" i="3"/>
  <c r="T811" i="3"/>
  <c r="T810" i="3"/>
  <c r="T809" i="3"/>
  <c r="T807" i="3"/>
  <c r="T806" i="3"/>
  <c r="T803" i="3"/>
  <c r="T802" i="3"/>
  <c r="T804" i="3"/>
  <c r="T801" i="3"/>
  <c r="T800" i="3"/>
  <c r="T799" i="3"/>
  <c r="T798" i="3"/>
  <c r="T797" i="3"/>
  <c r="T795" i="3"/>
  <c r="T794" i="3"/>
  <c r="T793" i="3"/>
  <c r="T792" i="3"/>
  <c r="T791" i="3"/>
  <c r="T790" i="3"/>
  <c r="T789" i="3"/>
  <c r="T787" i="3"/>
  <c r="T786" i="3"/>
  <c r="T785" i="3"/>
  <c r="T784" i="3"/>
  <c r="T782" i="3"/>
  <c r="T781" i="3"/>
  <c r="T780" i="3"/>
  <c r="T779" i="3"/>
  <c r="T778" i="3"/>
  <c r="T776" i="3"/>
  <c r="T775" i="3"/>
  <c r="T774" i="3"/>
  <c r="T773" i="3"/>
  <c r="T772" i="3"/>
  <c r="T770" i="3"/>
  <c r="T769" i="3"/>
  <c r="T768" i="3"/>
  <c r="T767" i="3"/>
  <c r="T766" i="3"/>
  <c r="T765" i="3"/>
  <c r="T764" i="3"/>
  <c r="T763" i="3"/>
  <c r="T762" i="3"/>
  <c r="T761" i="3"/>
  <c r="T760" i="3"/>
  <c r="T759" i="3"/>
  <c r="T758" i="3"/>
  <c r="T757" i="3"/>
  <c r="T755" i="3"/>
  <c r="T754" i="3"/>
  <c r="T753" i="3"/>
  <c r="T752" i="3"/>
  <c r="T751" i="3"/>
  <c r="T750" i="3"/>
  <c r="T748" i="3"/>
  <c r="T747" i="3"/>
  <c r="T746" i="3"/>
  <c r="T745" i="3"/>
  <c r="T744" i="3"/>
  <c r="T743" i="3"/>
  <c r="T741" i="3"/>
  <c r="T740" i="3"/>
  <c r="T739" i="3"/>
  <c r="T738" i="3"/>
  <c r="T737" i="3"/>
  <c r="T735" i="3"/>
  <c r="T734" i="3"/>
  <c r="T733" i="3"/>
  <c r="T732" i="3"/>
  <c r="T731" i="3"/>
  <c r="T730" i="3"/>
  <c r="T729" i="3"/>
  <c r="T728" i="3"/>
  <c r="T726" i="3"/>
  <c r="T725" i="3"/>
  <c r="T724" i="3"/>
  <c r="T722" i="3"/>
  <c r="T721" i="3"/>
  <c r="T720" i="3"/>
  <c r="T719" i="3"/>
  <c r="T718" i="3"/>
  <c r="T716" i="3"/>
  <c r="T715" i="3"/>
  <c r="T714" i="3"/>
  <c r="T713" i="3"/>
  <c r="T712" i="3"/>
  <c r="T710" i="3"/>
  <c r="T709" i="3"/>
  <c r="T708" i="3"/>
  <c r="T707" i="3"/>
  <c r="T706" i="3"/>
  <c r="T705" i="3"/>
  <c r="T704" i="3"/>
  <c r="T703" i="3"/>
  <c r="T702" i="3"/>
  <c r="T701" i="3"/>
  <c r="T700" i="3"/>
  <c r="T698" i="3"/>
  <c r="T697" i="3"/>
  <c r="T696" i="3"/>
  <c r="T695" i="3"/>
  <c r="T694" i="3"/>
  <c r="T693" i="3"/>
  <c r="T692" i="3"/>
  <c r="T690" i="3"/>
  <c r="T689" i="3"/>
  <c r="T688" i="3"/>
  <c r="T687" i="3"/>
  <c r="T686" i="3"/>
  <c r="T684" i="3"/>
  <c r="T683" i="3"/>
  <c r="T681" i="3"/>
  <c r="T680" i="3"/>
  <c r="T679" i="3"/>
  <c r="T678" i="3"/>
  <c r="T677" i="3"/>
  <c r="T676" i="3"/>
  <c r="T675" i="3"/>
  <c r="T673" i="3"/>
  <c r="T672" i="3"/>
  <c r="T671" i="3"/>
  <c r="T670" i="3"/>
  <c r="T669" i="3"/>
  <c r="T668" i="3"/>
  <c r="T666" i="3"/>
  <c r="T665" i="3"/>
  <c r="T664" i="3"/>
  <c r="T663" i="3"/>
  <c r="T662" i="3"/>
  <c r="T661" i="3"/>
  <c r="T660" i="3"/>
  <c r="T658" i="3"/>
  <c r="T657" i="3"/>
  <c r="T656" i="3"/>
  <c r="T655" i="3"/>
  <c r="T654" i="3"/>
  <c r="T653" i="3"/>
  <c r="T652" i="3"/>
  <c r="T651" i="3"/>
  <c r="T650" i="3"/>
  <c r="T648" i="3"/>
  <c r="T647" i="3"/>
  <c r="T646" i="3"/>
  <c r="T644" i="3"/>
  <c r="T643" i="3"/>
  <c r="T642" i="3"/>
  <c r="T641" i="3"/>
  <c r="T640" i="3"/>
  <c r="T639" i="3"/>
  <c r="T638" i="3"/>
  <c r="T637" i="3"/>
  <c r="T636" i="3"/>
  <c r="T635" i="3"/>
  <c r="T634" i="3"/>
  <c r="T633" i="3"/>
  <c r="T631" i="3"/>
  <c r="T630" i="3"/>
  <c r="T629" i="3"/>
  <c r="T628" i="3"/>
  <c r="T627" i="3"/>
  <c r="T626" i="3"/>
  <c r="T625" i="3"/>
  <c r="T624" i="3"/>
  <c r="T623" i="3"/>
  <c r="T621" i="3"/>
  <c r="T620" i="3"/>
  <c r="T619" i="3"/>
  <c r="T618" i="3"/>
  <c r="T617" i="3"/>
  <c r="T616" i="3"/>
  <c r="T615" i="3"/>
  <c r="T614" i="3"/>
  <c r="T613" i="3"/>
  <c r="T612" i="3"/>
  <c r="T611" i="3"/>
  <c r="T609" i="3"/>
  <c r="T608" i="3"/>
  <c r="T607" i="3"/>
  <c r="T606" i="3"/>
  <c r="T605" i="3"/>
  <c r="T604" i="3"/>
  <c r="T603" i="3"/>
  <c r="T602" i="3"/>
  <c r="T601" i="3"/>
  <c r="T600" i="3"/>
  <c r="T598" i="3"/>
  <c r="T597" i="3"/>
  <c r="T596" i="3"/>
  <c r="T595" i="3"/>
  <c r="T594" i="3"/>
  <c r="T593" i="3"/>
  <c r="T592" i="3"/>
  <c r="T590" i="3"/>
  <c r="T589" i="3"/>
  <c r="T588" i="3"/>
  <c r="T587" i="3"/>
  <c r="T586" i="3"/>
  <c r="T585" i="3"/>
  <c r="T584" i="3"/>
  <c r="T583" i="3"/>
  <c r="T582" i="3"/>
  <c r="T581" i="3"/>
  <c r="T580" i="3"/>
  <c r="T579" i="3"/>
  <c r="T577" i="3"/>
  <c r="T576" i="3"/>
  <c r="T575" i="3"/>
  <c r="T574" i="3"/>
  <c r="T573" i="3"/>
  <c r="T571" i="3"/>
  <c r="T570" i="3"/>
  <c r="T568" i="3"/>
  <c r="T567" i="3"/>
  <c r="T566" i="3"/>
  <c r="T565" i="3"/>
  <c r="T564" i="3"/>
  <c r="T563" i="3"/>
  <c r="T562" i="3"/>
  <c r="T561" i="3"/>
  <c r="T560" i="3"/>
  <c r="T559" i="3"/>
  <c r="T557" i="3"/>
  <c r="T556" i="3"/>
  <c r="T555" i="3"/>
  <c r="T554" i="3"/>
  <c r="T553" i="3"/>
  <c r="T552" i="3"/>
  <c r="T551" i="3"/>
  <c r="T550" i="3"/>
  <c r="T549" i="3"/>
  <c r="T548" i="3"/>
  <c r="T546" i="3"/>
  <c r="T545" i="3"/>
  <c r="T544" i="3"/>
  <c r="T543" i="3"/>
  <c r="T542" i="3"/>
  <c r="T541" i="3"/>
  <c r="T540" i="3"/>
  <c r="T539" i="3"/>
  <c r="T538" i="3"/>
  <c r="T536" i="3"/>
  <c r="T535" i="3"/>
  <c r="T534" i="3"/>
  <c r="T533" i="3"/>
  <c r="T532" i="3"/>
  <c r="T531" i="3"/>
  <c r="T530" i="3"/>
  <c r="T528" i="3"/>
  <c r="T527" i="3"/>
  <c r="T526" i="3"/>
  <c r="T525" i="3"/>
  <c r="T524" i="3"/>
  <c r="T523" i="3"/>
  <c r="T521" i="3"/>
  <c r="T520" i="3"/>
  <c r="T519" i="3"/>
  <c r="T518" i="3"/>
  <c r="T517" i="3"/>
  <c r="T516" i="3"/>
  <c r="T515" i="3"/>
  <c r="T514" i="3"/>
  <c r="T513" i="3"/>
  <c r="T511" i="3"/>
  <c r="T510" i="3"/>
  <c r="T509" i="3"/>
  <c r="T508" i="3"/>
  <c r="T507" i="3"/>
  <c r="T506" i="3"/>
  <c r="T505" i="3"/>
  <c r="T502" i="3"/>
  <c r="T501" i="3"/>
  <c r="T503" i="3"/>
  <c r="T500" i="3"/>
  <c r="T499" i="3"/>
  <c r="T498" i="3"/>
  <c r="T497" i="3"/>
  <c r="T496" i="3"/>
  <c r="T495" i="3"/>
  <c r="T494" i="3"/>
  <c r="T492" i="3"/>
  <c r="T491" i="3"/>
  <c r="T489" i="3"/>
  <c r="T488" i="3"/>
  <c r="T487" i="3"/>
  <c r="T486" i="3"/>
  <c r="T485" i="3"/>
  <c r="T484" i="3"/>
  <c r="T483" i="3"/>
  <c r="T482" i="3"/>
  <c r="T480" i="3"/>
  <c r="T479" i="3"/>
  <c r="T478" i="3"/>
  <c r="T477" i="3"/>
  <c r="T476" i="3"/>
  <c r="T475" i="3"/>
  <c r="T474" i="3"/>
  <c r="T473" i="3"/>
  <c r="T471" i="3"/>
  <c r="T470" i="3"/>
  <c r="T469" i="3"/>
  <c r="T468" i="3"/>
  <c r="T466" i="3"/>
  <c r="T467" i="3"/>
  <c r="T465" i="3"/>
  <c r="T464" i="3"/>
  <c r="T463" i="3"/>
  <c r="T462" i="3"/>
  <c r="T461" i="3"/>
  <c r="T460" i="3"/>
  <c r="T459" i="3"/>
  <c r="T458" i="3"/>
  <c r="T456" i="3"/>
  <c r="T455" i="3"/>
  <c r="T454" i="3"/>
  <c r="T453" i="3"/>
  <c r="T452" i="3"/>
  <c r="T451" i="3"/>
  <c r="T450" i="3"/>
  <c r="T449" i="3"/>
  <c r="T448" i="3"/>
  <c r="T447" i="3"/>
  <c r="T446" i="3"/>
  <c r="T444" i="3"/>
  <c r="T443" i="3"/>
  <c r="T442" i="3"/>
  <c r="T440" i="3"/>
  <c r="T439" i="3"/>
  <c r="T438" i="3"/>
  <c r="T437" i="3"/>
  <c r="T435" i="3"/>
  <c r="T434" i="3"/>
  <c r="T433" i="3"/>
  <c r="T432" i="3"/>
  <c r="T431" i="3"/>
  <c r="T429" i="3"/>
  <c r="T428" i="3"/>
  <c r="T427" i="3"/>
  <c r="T426" i="3"/>
  <c r="T425" i="3"/>
  <c r="T424" i="3"/>
  <c r="T422" i="3"/>
  <c r="T421" i="3"/>
  <c r="T420" i="3"/>
  <c r="T419" i="3"/>
  <c r="T418" i="3"/>
  <c r="T417" i="3"/>
  <c r="T415" i="3"/>
  <c r="T414" i="3"/>
  <c r="T413" i="3"/>
  <c r="T411" i="3"/>
  <c r="T410" i="3"/>
  <c r="T409" i="3"/>
  <c r="T408" i="3"/>
  <c r="T407" i="3"/>
  <c r="T405" i="3"/>
  <c r="T404" i="3"/>
  <c r="T403" i="3"/>
  <c r="T402" i="3"/>
  <c r="T401" i="3"/>
  <c r="T400" i="3"/>
  <c r="T398" i="3"/>
  <c r="T397" i="3"/>
  <c r="T396" i="3"/>
  <c r="T395" i="3"/>
  <c r="T394" i="3"/>
  <c r="T392" i="3"/>
  <c r="T391" i="3"/>
  <c r="T390" i="3"/>
  <c r="T389" i="3"/>
  <c r="T387" i="3"/>
  <c r="T386" i="3"/>
  <c r="T385" i="3"/>
  <c r="T384" i="3"/>
  <c r="T383" i="3"/>
  <c r="T382" i="3"/>
  <c r="T381" i="3"/>
  <c r="T380" i="3"/>
  <c r="T379" i="3"/>
  <c r="T377" i="3"/>
  <c r="T376" i="3"/>
  <c r="T375" i="3"/>
  <c r="T374" i="3"/>
  <c r="T373" i="3"/>
  <c r="T372" i="3"/>
  <c r="T370" i="3"/>
  <c r="T369" i="3"/>
  <c r="T368" i="3"/>
  <c r="T367" i="3"/>
  <c r="T366" i="3"/>
  <c r="T365" i="3"/>
  <c r="T364" i="3"/>
  <c r="T363" i="3"/>
  <c r="T362" i="3"/>
  <c r="T360" i="3"/>
  <c r="T359" i="3"/>
  <c r="T358" i="3"/>
  <c r="T357" i="3"/>
  <c r="T355" i="3"/>
  <c r="T354" i="3"/>
  <c r="T353" i="3"/>
  <c r="T352" i="3"/>
  <c r="T351" i="3"/>
  <c r="T350" i="3"/>
  <c r="T349" i="3"/>
  <c r="T348" i="3"/>
  <c r="T346" i="3"/>
  <c r="T345" i="3"/>
  <c r="T344" i="3"/>
  <c r="T343" i="3"/>
  <c r="T342" i="3"/>
  <c r="T341" i="3"/>
  <c r="T340" i="3"/>
  <c r="T339" i="3"/>
  <c r="T338" i="3"/>
  <c r="T337" i="3"/>
  <c r="T336" i="3"/>
  <c r="T335" i="3"/>
  <c r="T333" i="3"/>
  <c r="T332" i="3"/>
  <c r="T331" i="3"/>
  <c r="T330" i="3"/>
  <c r="T329" i="3"/>
  <c r="T328" i="3"/>
  <c r="T326" i="3"/>
  <c r="T325" i="3"/>
  <c r="T324" i="3"/>
  <c r="T323" i="3"/>
  <c r="T322" i="3"/>
  <c r="T321" i="3"/>
  <c r="T320" i="3"/>
  <c r="T319" i="3"/>
  <c r="T318" i="3"/>
  <c r="T316" i="3"/>
  <c r="T315" i="3"/>
  <c r="T314" i="3"/>
  <c r="T313" i="3"/>
  <c r="T312" i="3"/>
  <c r="T311" i="3"/>
  <c r="T310" i="3"/>
  <c r="T309" i="3"/>
  <c r="T308" i="3"/>
  <c r="T307" i="3"/>
  <c r="T305" i="3"/>
  <c r="T304" i="3"/>
  <c r="T303" i="3"/>
  <c r="T302" i="3"/>
  <c r="T301" i="3"/>
  <c r="T300" i="3"/>
  <c r="T299" i="3"/>
  <c r="T297" i="3"/>
  <c r="T296" i="3"/>
  <c r="T295" i="3"/>
  <c r="T294" i="3"/>
  <c r="T293" i="3"/>
  <c r="T292" i="3"/>
  <c r="T290" i="3"/>
  <c r="T289" i="3"/>
  <c r="T288" i="3"/>
  <c r="T287" i="3"/>
  <c r="T286" i="3"/>
  <c r="T284" i="3"/>
  <c r="T283" i="3"/>
  <c r="T282" i="3"/>
  <c r="T281" i="3"/>
  <c r="T280" i="3"/>
  <c r="T279" i="3"/>
  <c r="T278" i="3"/>
  <c r="T277" i="3"/>
  <c r="T276" i="3"/>
  <c r="T274" i="3"/>
  <c r="T273" i="3"/>
  <c r="T272" i="3"/>
  <c r="T271" i="3"/>
  <c r="T270" i="3"/>
  <c r="T269" i="3"/>
  <c r="T268" i="3"/>
  <c r="T267" i="3"/>
  <c r="T266" i="3"/>
  <c r="T265" i="3"/>
  <c r="T264" i="3"/>
  <c r="T262" i="3"/>
  <c r="T261" i="3"/>
  <c r="T260" i="3"/>
  <c r="T259" i="3"/>
  <c r="T258" i="3"/>
  <c r="T257" i="3"/>
  <c r="T256" i="3"/>
  <c r="T255" i="3"/>
  <c r="T254" i="3"/>
  <c r="T253" i="3"/>
  <c r="T251" i="3"/>
  <c r="T250" i="3"/>
  <c r="T249" i="3"/>
  <c r="T248" i="3"/>
  <c r="T247" i="3"/>
  <c r="T246" i="3"/>
  <c r="T244" i="3"/>
  <c r="T243" i="3"/>
  <c r="T242" i="3"/>
  <c r="T241" i="3"/>
  <c r="T240" i="3"/>
  <c r="T239" i="3"/>
  <c r="T237" i="3"/>
  <c r="T236" i="3"/>
  <c r="T235" i="3"/>
  <c r="T234" i="3"/>
  <c r="T233" i="3"/>
  <c r="T232" i="3"/>
  <c r="T231" i="3"/>
  <c r="T230" i="3"/>
  <c r="T229" i="3"/>
  <c r="T227" i="3"/>
  <c r="T226" i="3"/>
  <c r="T225" i="3"/>
  <c r="T224" i="3"/>
  <c r="T222" i="3"/>
  <c r="T221" i="3"/>
  <c r="T220" i="3"/>
  <c r="T219" i="3"/>
  <c r="T218" i="3"/>
  <c r="T216" i="3"/>
  <c r="T215" i="3"/>
  <c r="T214" i="3"/>
  <c r="T213" i="3"/>
  <c r="T212" i="3"/>
  <c r="T211" i="3"/>
  <c r="T209" i="3"/>
  <c r="T208" i="3"/>
  <c r="T207" i="3"/>
  <c r="T205" i="3"/>
  <c r="T204" i="3"/>
  <c r="T203" i="3"/>
  <c r="T202" i="3"/>
  <c r="T201" i="3"/>
  <c r="T200" i="3"/>
  <c r="T199" i="3"/>
  <c r="T198" i="3"/>
  <c r="T196" i="3"/>
  <c r="T195" i="3"/>
  <c r="T194" i="3"/>
  <c r="T193" i="3"/>
  <c r="T192" i="3"/>
  <c r="T191" i="3"/>
  <c r="T190" i="3"/>
  <c r="T189" i="3"/>
  <c r="T187" i="3"/>
  <c r="T186" i="3"/>
  <c r="T185" i="3"/>
  <c r="T183" i="3"/>
  <c r="T182" i="3"/>
  <c r="T181" i="3"/>
  <c r="T180" i="3"/>
  <c r="T179" i="3"/>
  <c r="T178" i="3"/>
  <c r="T177" i="3"/>
  <c r="T176" i="3"/>
  <c r="T175" i="3"/>
  <c r="M638" i="3"/>
  <c r="M639" i="3"/>
  <c r="M640" i="3"/>
  <c r="M641" i="3"/>
  <c r="M642" i="3"/>
  <c r="M643" i="3"/>
  <c r="M644" i="3"/>
  <c r="T173" i="3"/>
  <c r="T172" i="3"/>
  <c r="T171" i="3"/>
  <c r="T170" i="3"/>
  <c r="T169" i="3"/>
  <c r="T168" i="3"/>
  <c r="T167" i="3"/>
  <c r="T166" i="3"/>
  <c r="T165" i="3"/>
  <c r="T164" i="3"/>
  <c r="T163" i="3"/>
  <c r="T162" i="3"/>
  <c r="T161" i="3"/>
  <c r="T160" i="3"/>
  <c r="T158" i="3"/>
  <c r="T157" i="3"/>
  <c r="T156" i="3"/>
  <c r="T155" i="3"/>
  <c r="T154" i="3"/>
  <c r="T153" i="3"/>
  <c r="T151" i="3"/>
  <c r="T150" i="3"/>
  <c r="T149" i="3"/>
  <c r="T147" i="3"/>
  <c r="T146" i="3"/>
  <c r="T145" i="3"/>
  <c r="T144" i="3"/>
  <c r="T143" i="3"/>
  <c r="T142" i="3"/>
  <c r="T141" i="3"/>
  <c r="T140" i="3"/>
  <c r="T138" i="3"/>
  <c r="T137" i="3"/>
  <c r="T136" i="3"/>
  <c r="T135" i="3"/>
  <c r="T134" i="3"/>
  <c r="T133" i="3"/>
  <c r="T132" i="3"/>
  <c r="T131" i="3"/>
  <c r="T130" i="3"/>
  <c r="T129" i="3"/>
  <c r="T128" i="3"/>
  <c r="T127" i="3"/>
  <c r="T125" i="3"/>
  <c r="T124" i="3"/>
  <c r="T123" i="3"/>
  <c r="T122" i="3"/>
  <c r="T121" i="3"/>
  <c r="T120" i="3"/>
  <c r="T118" i="3"/>
  <c r="T117" i="3"/>
  <c r="T116" i="3"/>
  <c r="T115" i="3"/>
  <c r="T114" i="3"/>
  <c r="T113" i="3"/>
  <c r="T112" i="3"/>
  <c r="T110" i="3"/>
  <c r="T109" i="3"/>
  <c r="T108" i="3"/>
  <c r="T107" i="3"/>
  <c r="T106" i="3"/>
  <c r="T105" i="3"/>
  <c r="T104" i="3"/>
  <c r="T102" i="3"/>
  <c r="T101" i="3"/>
  <c r="T100" i="3"/>
  <c r="T99" i="3"/>
  <c r="T98" i="3"/>
  <c r="T97" i="3"/>
  <c r="T96" i="3"/>
  <c r="T95" i="3"/>
  <c r="T93" i="3"/>
  <c r="T92" i="3"/>
  <c r="T91" i="3"/>
  <c r="T90" i="3"/>
  <c r="T89" i="3"/>
  <c r="T88" i="3"/>
  <c r="T87" i="3"/>
  <c r="T86" i="3"/>
  <c r="T85" i="3"/>
  <c r="T83" i="3"/>
  <c r="T82" i="3"/>
  <c r="T81" i="3"/>
  <c r="T80" i="3"/>
  <c r="T79" i="3"/>
  <c r="T78" i="3"/>
  <c r="T77" i="3"/>
  <c r="T76" i="3"/>
  <c r="T75" i="3"/>
  <c r="T74" i="3"/>
  <c r="T73" i="3"/>
  <c r="T71" i="3"/>
  <c r="T70" i="3"/>
  <c r="T68" i="3"/>
  <c r="T67" i="3"/>
  <c r="T66" i="3"/>
  <c r="T65" i="3"/>
  <c r="T64" i="3"/>
  <c r="T63" i="3"/>
  <c r="T62" i="3"/>
  <c r="T61" i="3"/>
  <c r="T60" i="3"/>
  <c r="T58" i="3"/>
  <c r="T57" i="3"/>
  <c r="T56" i="3"/>
  <c r="T55" i="3"/>
  <c r="T54" i="3"/>
  <c r="T53" i="3"/>
  <c r="T52" i="3"/>
  <c r="T50" i="3"/>
  <c r="T49" i="3"/>
  <c r="T48" i="3"/>
  <c r="T47" i="3"/>
  <c r="T46" i="3"/>
  <c r="T44" i="3"/>
  <c r="T43" i="3"/>
  <c r="T42" i="3"/>
  <c r="T41" i="3"/>
  <c r="T40" i="3"/>
  <c r="T39" i="3"/>
  <c r="T38" i="3"/>
  <c r="T36" i="3"/>
  <c r="T35" i="3"/>
  <c r="T34" i="3"/>
  <c r="T33" i="3"/>
  <c r="T32" i="3"/>
  <c r="T31" i="3"/>
  <c r="T30" i="3"/>
  <c r="T29" i="3"/>
  <c r="T28" i="3"/>
  <c r="T27" i="3"/>
  <c r="T26" i="3"/>
  <c r="T25" i="3"/>
  <c r="T24" i="3"/>
  <c r="T22" i="3"/>
  <c r="T20" i="3"/>
  <c r="T21" i="3"/>
  <c r="T19" i="3"/>
  <c r="T18" i="3"/>
  <c r="T17" i="3"/>
  <c r="T16" i="3"/>
  <c r="T15" i="3"/>
  <c r="T14" i="3"/>
  <c r="T12" i="3"/>
  <c r="T11" i="3"/>
  <c r="T10" i="3"/>
  <c r="T9" i="3"/>
  <c r="T8" i="3"/>
  <c r="T7" i="3"/>
  <c r="T6" i="3"/>
  <c r="T5" i="3"/>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146" i="2"/>
  <c r="T147" i="2"/>
  <c r="T148" i="2"/>
  <c r="T149" i="2"/>
  <c r="T150" i="2"/>
  <c r="T151" i="2"/>
  <c r="T153" i="2"/>
  <c r="T154" i="2"/>
  <c r="T155" i="2"/>
  <c r="T156" i="2"/>
  <c r="T157" i="2"/>
  <c r="T158" i="2"/>
  <c r="T159" i="2"/>
  <c r="T160" i="2"/>
  <c r="T161" i="2"/>
  <c r="T162" i="2"/>
  <c r="T163" i="2"/>
  <c r="T164" i="2"/>
  <c r="T166" i="2"/>
  <c r="T145" i="2"/>
  <c r="T67" i="2"/>
  <c r="T68" i="2"/>
  <c r="T69" i="2"/>
  <c r="T71" i="2"/>
  <c r="T72" i="2"/>
  <c r="T73" i="2"/>
  <c r="T74" i="2"/>
  <c r="T76" i="2"/>
  <c r="T77" i="2"/>
  <c r="T78" i="2"/>
  <c r="T79" i="2"/>
  <c r="T80" i="2"/>
  <c r="T82" i="2"/>
  <c r="T114" i="2"/>
  <c r="T88" i="2"/>
  <c r="T87" i="2"/>
  <c r="T89" i="2"/>
  <c r="T90" i="2"/>
  <c r="T91" i="2"/>
  <c r="T81" i="2"/>
  <c r="T70" i="2"/>
  <c r="T75" i="2"/>
  <c r="T85" i="2"/>
  <c r="T83" i="2"/>
  <c r="T84" i="2"/>
  <c r="T92" i="2"/>
  <c r="T93" i="2"/>
  <c r="T94" i="2"/>
  <c r="T95" i="2"/>
  <c r="T96" i="2"/>
  <c r="T97" i="2"/>
  <c r="T98" i="2"/>
  <c r="T99" i="2"/>
  <c r="T100" i="2"/>
  <c r="T101" i="2"/>
  <c r="T102" i="2"/>
  <c r="T103" i="2"/>
  <c r="T104" i="2"/>
  <c r="T105" i="2"/>
  <c r="T106" i="2"/>
  <c r="T107" i="2"/>
  <c r="T108" i="2"/>
  <c r="T109" i="2"/>
  <c r="T110" i="2"/>
  <c r="T111" i="2"/>
  <c r="T112" i="2"/>
  <c r="T113" i="2"/>
  <c r="T115" i="2"/>
  <c r="T116" i="2"/>
  <c r="T117" i="2"/>
  <c r="T118" i="2"/>
  <c r="T119" i="2"/>
  <c r="T120" i="2"/>
  <c r="T121" i="2"/>
  <c r="T122" i="2"/>
  <c r="T86" i="2"/>
  <c r="T123" i="2"/>
  <c r="T124" i="2"/>
  <c r="T125" i="2"/>
  <c r="T126" i="2"/>
  <c r="T127" i="2"/>
  <c r="T132" i="2"/>
  <c r="T133" i="2"/>
  <c r="T134" i="2"/>
  <c r="T135" i="2"/>
  <c r="T136" i="2"/>
  <c r="T137" i="2"/>
  <c r="T138" i="2"/>
  <c r="T141" i="2"/>
  <c r="T142" i="2"/>
  <c r="T66" i="2"/>
  <c r="T25" i="2"/>
  <c r="T26" i="2"/>
  <c r="T28" i="2"/>
  <c r="T29" i="2"/>
  <c r="T30" i="2"/>
  <c r="T31" i="2"/>
  <c r="T34" i="2"/>
  <c r="T35" i="2"/>
  <c r="T36" i="2"/>
  <c r="T37" i="2"/>
  <c r="T38" i="2"/>
  <c r="T39" i="2"/>
  <c r="T40" i="2"/>
  <c r="T41" i="2"/>
  <c r="T27" i="2"/>
  <c r="T42" i="2"/>
  <c r="T43" i="2"/>
  <c r="T44" i="2"/>
  <c r="T45" i="2"/>
  <c r="T46" i="2"/>
  <c r="T32" i="2"/>
  <c r="T47" i="2"/>
  <c r="T48" i="2"/>
  <c r="T49" i="2"/>
  <c r="T50" i="2"/>
  <c r="T51" i="2"/>
  <c r="T52" i="2"/>
  <c r="T53" i="2"/>
  <c r="T54" i="2"/>
  <c r="T58" i="2"/>
  <c r="T59" i="2"/>
  <c r="T60" i="2"/>
  <c r="T63" i="2"/>
  <c r="T24" i="2"/>
  <c r="T6" i="2"/>
  <c r="T7" i="2"/>
  <c r="T11" i="2"/>
  <c r="T12" i="2"/>
  <c r="T13" i="2"/>
  <c r="T14" i="2"/>
  <c r="T8" i="2"/>
  <c r="T15" i="2"/>
  <c r="T9" i="2"/>
  <c r="T10" i="2"/>
  <c r="T16" i="2"/>
  <c r="T17" i="2"/>
  <c r="T18" i="2"/>
  <c r="P7" i="2"/>
  <c r="S7" i="2" s="1"/>
  <c r="T167" i="2" l="1"/>
  <c r="T1267" i="3"/>
  <c r="T22" i="2"/>
  <c r="T143" i="2"/>
  <c r="T64" i="2"/>
  <c r="T13" i="3"/>
  <c r="T504" i="3"/>
  <c r="C80" i="2"/>
  <c r="C569" i="4"/>
  <c r="M569" i="4"/>
  <c r="P569" i="4"/>
  <c r="S569" i="4" s="1"/>
  <c r="M567" i="4"/>
  <c r="P567" i="4"/>
  <c r="S567" i="4" s="1"/>
  <c r="M568" i="4"/>
  <c r="P568" i="4"/>
  <c r="S568" i="4" s="1"/>
  <c r="C566" i="4"/>
  <c r="M566" i="4"/>
  <c r="P566" i="4"/>
  <c r="S566" i="4" s="1"/>
  <c r="C564" i="4"/>
  <c r="M564" i="4"/>
  <c r="P564" i="4"/>
  <c r="S564" i="4" s="1"/>
  <c r="C565" i="4"/>
  <c r="M565" i="4"/>
  <c r="P565" i="4"/>
  <c r="S565" i="4" s="1"/>
  <c r="M54" i="2"/>
  <c r="C562" i="4"/>
  <c r="M562" i="4"/>
  <c r="P562" i="4"/>
  <c r="S562" i="4" s="1"/>
  <c r="C563" i="4"/>
  <c r="M563" i="4"/>
  <c r="P563" i="4"/>
  <c r="S563" i="4" s="1"/>
  <c r="C161" i="2"/>
  <c r="C162" i="2"/>
  <c r="C163" i="2"/>
  <c r="C164" i="2"/>
  <c r="C127" i="2"/>
  <c r="C70" i="2"/>
  <c r="C29" i="2"/>
  <c r="C32" i="2"/>
  <c r="C47" i="2"/>
  <c r="C48" i="2"/>
  <c r="C15" i="2"/>
  <c r="C9" i="2"/>
  <c r="C10" i="2"/>
  <c r="C16" i="2"/>
  <c r="P1263" i="3" l="1"/>
  <c r="S1263" i="3" s="1"/>
  <c r="M1263" i="3"/>
  <c r="C1263" i="3"/>
  <c r="AG1267" i="3"/>
  <c r="P1266" i="3"/>
  <c r="S1266" i="3" s="1"/>
  <c r="C1266" i="3"/>
  <c r="P1264" i="3"/>
  <c r="S1264" i="3" s="1"/>
  <c r="M1264" i="3"/>
  <c r="C1264" i="3"/>
  <c r="P1265" i="3"/>
  <c r="S1265" i="3" s="1"/>
  <c r="C1265" i="3"/>
  <c r="P59" i="2"/>
  <c r="S59" i="2" s="1"/>
  <c r="P86" i="2"/>
  <c r="S86" i="2" s="1"/>
  <c r="M86" i="2"/>
  <c r="P141" i="2"/>
  <c r="S141" i="2" s="1"/>
  <c r="P166" i="2"/>
  <c r="S166" i="2" s="1"/>
  <c r="M166" i="2"/>
  <c r="P60" i="2"/>
  <c r="S60" i="2" s="1"/>
  <c r="P138" i="2"/>
  <c r="S138" i="2" s="1"/>
  <c r="Q1262" i="3"/>
  <c r="P1256" i="3"/>
  <c r="S1256" i="3" s="1"/>
  <c r="M1256" i="3"/>
  <c r="C1256" i="3"/>
  <c r="P1259" i="3"/>
  <c r="S1259" i="3" s="1"/>
  <c r="M1259" i="3"/>
  <c r="C1259" i="3"/>
  <c r="M149" i="2"/>
  <c r="M150" i="2"/>
  <c r="M151" i="2"/>
  <c r="M145" i="2"/>
  <c r="M146" i="2"/>
  <c r="M153" i="2"/>
  <c r="M154" i="2"/>
  <c r="M155" i="2"/>
  <c r="M156" i="2"/>
  <c r="M157" i="2"/>
  <c r="M158" i="2"/>
  <c r="M159" i="2"/>
  <c r="M160" i="2"/>
  <c r="M161" i="2"/>
  <c r="M162" i="2"/>
  <c r="M163" i="2"/>
  <c r="M164" i="2"/>
  <c r="Q1255" i="3"/>
  <c r="M1251" i="3"/>
  <c r="M1252" i="3"/>
  <c r="M1253" i="3"/>
  <c r="M1254" i="3"/>
  <c r="M83" i="2"/>
  <c r="M118" i="2"/>
  <c r="M119" i="2"/>
  <c r="M120" i="2"/>
  <c r="M121" i="2"/>
  <c r="M122" i="2"/>
  <c r="M123" i="2"/>
  <c r="M124" i="2"/>
  <c r="M125" i="2"/>
  <c r="M84" i="2"/>
  <c r="M126" i="2"/>
  <c r="M127" i="2"/>
  <c r="M132" i="2"/>
  <c r="M133" i="2"/>
  <c r="M134" i="2"/>
  <c r="M135" i="2"/>
  <c r="M136" i="2"/>
  <c r="M137" i="2"/>
  <c r="P83" i="2"/>
  <c r="S83" i="2" s="1"/>
  <c r="P155" i="2"/>
  <c r="S155" i="2" s="1"/>
  <c r="P137" i="2"/>
  <c r="S137" i="2" s="1"/>
  <c r="P164" i="2"/>
  <c r="S164" i="2" s="1"/>
  <c r="P163" i="2"/>
  <c r="S163" i="2" s="1"/>
  <c r="P136" i="2"/>
  <c r="S136" i="2" s="1"/>
  <c r="P135" i="2"/>
  <c r="S135" i="2" s="1"/>
  <c r="P134" i="2"/>
  <c r="S134" i="2" s="1"/>
  <c r="P133" i="2"/>
  <c r="S133" i="2" s="1"/>
  <c r="P162" i="2"/>
  <c r="S162" i="2" s="1"/>
  <c r="P161" i="2"/>
  <c r="S161" i="2" s="1"/>
  <c r="C145" i="2"/>
  <c r="C146" i="2"/>
  <c r="P132" i="2"/>
  <c r="S132" i="2" s="1"/>
  <c r="P51" i="2"/>
  <c r="S51" i="2" s="1"/>
  <c r="M51" i="2"/>
  <c r="Q1248" i="3"/>
  <c r="M49" i="2"/>
  <c r="M52" i="2"/>
  <c r="M53" i="2"/>
  <c r="M50" i="2"/>
  <c r="P50" i="2"/>
  <c r="S50" i="2" s="1"/>
  <c r="M1257" i="3"/>
  <c r="M1260" i="3"/>
  <c r="AG1262" i="3"/>
  <c r="P1260" i="3"/>
  <c r="S1260" i="3" s="1"/>
  <c r="C1260" i="3"/>
  <c r="P1257" i="3"/>
  <c r="S1257" i="3" s="1"/>
  <c r="C1257" i="3"/>
  <c r="P1261" i="3"/>
  <c r="S1261" i="3" s="1"/>
  <c r="M1261" i="3"/>
  <c r="C1261" i="3"/>
  <c r="P1258" i="3"/>
  <c r="S1258" i="3" s="1"/>
  <c r="M1258" i="3"/>
  <c r="C1258" i="3"/>
  <c r="P49" i="2"/>
  <c r="S49" i="2" s="1"/>
  <c r="M9" i="2"/>
  <c r="M10" i="2"/>
  <c r="M16" i="2"/>
  <c r="M17" i="2"/>
  <c r="M18" i="2"/>
  <c r="P16" i="2"/>
  <c r="S16" i="2" s="1"/>
  <c r="AG1255" i="3"/>
  <c r="P1252" i="3"/>
  <c r="S1252" i="3" s="1"/>
  <c r="C1252" i="3"/>
  <c r="P1253" i="3"/>
  <c r="S1253" i="3" s="1"/>
  <c r="C1253" i="3"/>
  <c r="P1254" i="3"/>
  <c r="S1254" i="3" s="1"/>
  <c r="C1254" i="3"/>
  <c r="P1251" i="3"/>
  <c r="S1251" i="3" s="1"/>
  <c r="C1251" i="3"/>
  <c r="P1249" i="3"/>
  <c r="S1249" i="3" s="1"/>
  <c r="M1249" i="3"/>
  <c r="C1249" i="3"/>
  <c r="P1250" i="3"/>
  <c r="S1250" i="3" s="1"/>
  <c r="M1250" i="3"/>
  <c r="C1250" i="3"/>
  <c r="C557" i="4"/>
  <c r="M557" i="4"/>
  <c r="P557" i="4"/>
  <c r="S557" i="4" s="1"/>
  <c r="C558" i="4"/>
  <c r="M558" i="4"/>
  <c r="P558" i="4"/>
  <c r="S558" i="4" s="1"/>
  <c r="C559" i="4"/>
  <c r="M559" i="4"/>
  <c r="P559" i="4"/>
  <c r="S559" i="4" s="1"/>
  <c r="C560" i="4"/>
  <c r="M560" i="4"/>
  <c r="P560" i="4"/>
  <c r="S560" i="4" s="1"/>
  <c r="C561" i="4"/>
  <c r="M561" i="4"/>
  <c r="P561" i="4"/>
  <c r="S561" i="4" s="1"/>
  <c r="C556" i="4"/>
  <c r="M556" i="4"/>
  <c r="P556" i="4"/>
  <c r="S556" i="4" s="1"/>
  <c r="C554" i="4"/>
  <c r="M554" i="4"/>
  <c r="P554" i="4"/>
  <c r="S554" i="4" s="1"/>
  <c r="C555" i="4"/>
  <c r="M555" i="4"/>
  <c r="P555" i="4"/>
  <c r="S555" i="4" s="1"/>
  <c r="C553" i="4"/>
  <c r="M553" i="4"/>
  <c r="P553" i="4"/>
  <c r="S553" i="4" s="1"/>
  <c r="M116" i="2"/>
  <c r="M117" i="2"/>
  <c r="C75" i="2"/>
  <c r="C85" i="2"/>
  <c r="C81" i="2"/>
  <c r="C73" i="2"/>
  <c r="C76" i="2"/>
  <c r="C78" i="2"/>
  <c r="C45" i="2"/>
  <c r="C46" i="2"/>
  <c r="T1262" i="3" l="1"/>
  <c r="T1255" i="3"/>
  <c r="P29" i="2"/>
  <c r="S29" i="2" s="1"/>
  <c r="M29" i="2"/>
  <c r="P47" i="2"/>
  <c r="S47" i="2" s="1"/>
  <c r="M47" i="2"/>
  <c r="P32" i="2"/>
  <c r="S32" i="2" s="1"/>
  <c r="M32" i="2"/>
  <c r="C114" i="2"/>
  <c r="P38" i="2"/>
  <c r="S38" i="2" s="1"/>
  <c r="M38" i="2"/>
  <c r="P58" i="2"/>
  <c r="S58" i="2" s="1"/>
  <c r="AG1248" i="3"/>
  <c r="P1246" i="3"/>
  <c r="S1246" i="3" s="1"/>
  <c r="M1246" i="3"/>
  <c r="C1246" i="3"/>
  <c r="P1247" i="3"/>
  <c r="S1247" i="3" s="1"/>
  <c r="M1247" i="3"/>
  <c r="C1247" i="3"/>
  <c r="M1242" i="3"/>
  <c r="M1243" i="3"/>
  <c r="M1244" i="3"/>
  <c r="M15" i="2"/>
  <c r="P121" i="2"/>
  <c r="S121" i="2" s="1"/>
  <c r="P120" i="2"/>
  <c r="S120" i="2" s="1"/>
  <c r="P119" i="2"/>
  <c r="S119" i="2" s="1"/>
  <c r="P125" i="2"/>
  <c r="S125" i="2" s="1"/>
  <c r="P9" i="2"/>
  <c r="S9" i="2" s="1"/>
  <c r="M14" i="2"/>
  <c r="M8" i="2"/>
  <c r="P8" i="2"/>
  <c r="S8" i="2" s="1"/>
  <c r="M552" i="4"/>
  <c r="P552" i="4"/>
  <c r="S552" i="4" s="1"/>
  <c r="M551" i="4"/>
  <c r="P551" i="4"/>
  <c r="S551" i="4" s="1"/>
  <c r="M550" i="4"/>
  <c r="P550" i="4"/>
  <c r="S550" i="4" s="1"/>
  <c r="Q1245" i="3"/>
  <c r="P1243" i="3"/>
  <c r="S1243" i="3" s="1"/>
  <c r="C1243" i="3"/>
  <c r="P1244" i="3"/>
  <c r="S1244" i="3" s="1"/>
  <c r="C1244" i="3"/>
  <c r="P1242" i="3"/>
  <c r="S1242" i="3" s="1"/>
  <c r="C1242" i="3"/>
  <c r="P1239" i="3"/>
  <c r="S1239" i="3" s="1"/>
  <c r="M1239" i="3"/>
  <c r="C1239" i="3"/>
  <c r="P1241" i="3"/>
  <c r="S1241" i="3" s="1"/>
  <c r="M1241" i="3"/>
  <c r="C1241" i="3"/>
  <c r="P118" i="2"/>
  <c r="S118" i="2" s="1"/>
  <c r="P145" i="2"/>
  <c r="P146" i="2"/>
  <c r="S146" i="2" s="1"/>
  <c r="M45" i="2"/>
  <c r="M48" i="2"/>
  <c r="M46" i="2"/>
  <c r="P46" i="2"/>
  <c r="S46" i="2" s="1"/>
  <c r="P116" i="2"/>
  <c r="S116" i="2" s="1"/>
  <c r="P48" i="2"/>
  <c r="S48" i="2" s="1"/>
  <c r="AG1245" i="3"/>
  <c r="P1240" i="3"/>
  <c r="S1240" i="3" s="1"/>
  <c r="M1240" i="3"/>
  <c r="C1240" i="3"/>
  <c r="P1238" i="3"/>
  <c r="S1238" i="3" s="1"/>
  <c r="M1238" i="3"/>
  <c r="C1238" i="3"/>
  <c r="Q1237" i="3"/>
  <c r="M549" i="4"/>
  <c r="P549" i="4"/>
  <c r="S549" i="4" s="1"/>
  <c r="P124" i="2"/>
  <c r="S124" i="2" s="1"/>
  <c r="P54" i="2"/>
  <c r="S54" i="2" s="1"/>
  <c r="P53" i="2"/>
  <c r="S53" i="2" s="1"/>
  <c r="P15" i="2"/>
  <c r="S15" i="2" s="1"/>
  <c r="P45" i="2"/>
  <c r="S45" i="2" s="1"/>
  <c r="P52" i="2"/>
  <c r="S52" i="2" s="1"/>
  <c r="C548" i="4"/>
  <c r="M548" i="4"/>
  <c r="P548" i="4"/>
  <c r="S548" i="4" s="1"/>
  <c r="M547" i="4"/>
  <c r="P547" i="4"/>
  <c r="S547" i="4" s="1"/>
  <c r="C541" i="4"/>
  <c r="M541" i="4"/>
  <c r="P541" i="4"/>
  <c r="S541" i="4" s="1"/>
  <c r="C542" i="4"/>
  <c r="M542" i="4"/>
  <c r="P542" i="4"/>
  <c r="S542" i="4" s="1"/>
  <c r="C543" i="4"/>
  <c r="M543" i="4"/>
  <c r="P543" i="4"/>
  <c r="S543" i="4" s="1"/>
  <c r="C544" i="4"/>
  <c r="M544" i="4"/>
  <c r="P544" i="4"/>
  <c r="S544" i="4" s="1"/>
  <c r="C545" i="4"/>
  <c r="M545" i="4"/>
  <c r="P545" i="4"/>
  <c r="S545" i="4" s="1"/>
  <c r="C546" i="4"/>
  <c r="M546" i="4"/>
  <c r="P546" i="4"/>
  <c r="S546" i="4" s="1"/>
  <c r="C540" i="4"/>
  <c r="M540" i="4"/>
  <c r="P540" i="4"/>
  <c r="S540" i="4" s="1"/>
  <c r="C84" i="2"/>
  <c r="C157" i="2"/>
  <c r="C158" i="2"/>
  <c r="C159" i="2"/>
  <c r="C160" i="2"/>
  <c r="C71" i="2"/>
  <c r="C77" i="2"/>
  <c r="C82" i="2"/>
  <c r="C69" i="2"/>
  <c r="C72" i="2"/>
  <c r="M41" i="2"/>
  <c r="M27" i="2"/>
  <c r="M28" i="2"/>
  <c r="M42" i="2"/>
  <c r="M43" i="2"/>
  <c r="M30" i="2"/>
  <c r="M31" i="2"/>
  <c r="M44" i="2"/>
  <c r="C25" i="2"/>
  <c r="C37" i="2"/>
  <c r="C39" i="2"/>
  <c r="C40" i="2"/>
  <c r="C27" i="2"/>
  <c r="C28" i="2"/>
  <c r="C42" i="2"/>
  <c r="C43" i="2"/>
  <c r="C30" i="2"/>
  <c r="C31" i="2"/>
  <c r="C44" i="2"/>
  <c r="C11" i="2"/>
  <c r="C12" i="2"/>
  <c r="C7" i="2"/>
  <c r="C14" i="2"/>
  <c r="C18" i="2"/>
  <c r="C17" i="2"/>
  <c r="S145" i="2" l="1"/>
  <c r="T1248" i="3"/>
  <c r="T1245" i="3"/>
  <c r="M1236" i="3"/>
  <c r="M1229" i="3"/>
  <c r="P1236" i="3"/>
  <c r="S1236" i="3" s="1"/>
  <c r="C1236" i="3"/>
  <c r="M114" i="2"/>
  <c r="P142" i="2"/>
  <c r="S142" i="2" s="1"/>
  <c r="P1229" i="3"/>
  <c r="S1229" i="3" s="1"/>
  <c r="C1229" i="3"/>
  <c r="P1234" i="3"/>
  <c r="S1234" i="3" s="1"/>
  <c r="M1234" i="3"/>
  <c r="C1234" i="3"/>
  <c r="P1233" i="3"/>
  <c r="S1233" i="3" s="1"/>
  <c r="M1233" i="3"/>
  <c r="C1233" i="3"/>
  <c r="P1232" i="3"/>
  <c r="S1232" i="3" s="1"/>
  <c r="M1232" i="3"/>
  <c r="C1232" i="3"/>
  <c r="P1231" i="3"/>
  <c r="S1231" i="3" s="1"/>
  <c r="M1231" i="3"/>
  <c r="C1231" i="3"/>
  <c r="P1230" i="3"/>
  <c r="S1230" i="3" s="1"/>
  <c r="M1230" i="3"/>
  <c r="C1230" i="3"/>
  <c r="P1235" i="3"/>
  <c r="S1235" i="3" s="1"/>
  <c r="M1235" i="3"/>
  <c r="C1235" i="3"/>
  <c r="P126" i="2"/>
  <c r="S126" i="2" s="1"/>
  <c r="P123" i="2"/>
  <c r="S123" i="2" s="1"/>
  <c r="P114" i="2"/>
  <c r="S114" i="2" s="1"/>
  <c r="P10" i="2"/>
  <c r="S10" i="2" s="1"/>
  <c r="Q1224" i="3"/>
  <c r="P1219" i="3"/>
  <c r="S1219" i="3" s="1"/>
  <c r="M1219" i="3"/>
  <c r="C1219" i="3"/>
  <c r="AG1237" i="3"/>
  <c r="P1228" i="3"/>
  <c r="S1228" i="3" s="1"/>
  <c r="M1228" i="3"/>
  <c r="C1228" i="3"/>
  <c r="P1227" i="3"/>
  <c r="S1227" i="3" s="1"/>
  <c r="M1227" i="3"/>
  <c r="C1227" i="3"/>
  <c r="P1226" i="3"/>
  <c r="S1226" i="3" s="1"/>
  <c r="M1226" i="3"/>
  <c r="C1226" i="3"/>
  <c r="P1225" i="3"/>
  <c r="S1225" i="3" s="1"/>
  <c r="M1225" i="3"/>
  <c r="C1225" i="3"/>
  <c r="Q1218" i="3"/>
  <c r="P17" i="2"/>
  <c r="S17" i="2" s="1"/>
  <c r="P27" i="2"/>
  <c r="S27" i="2" s="1"/>
  <c r="P44" i="2"/>
  <c r="S44" i="2" s="1"/>
  <c r="P122" i="2"/>
  <c r="S122" i="2" s="1"/>
  <c r="T1237" i="3" l="1"/>
  <c r="P115" i="2"/>
  <c r="S115" i="2" s="1"/>
  <c r="M115" i="2"/>
  <c r="P160" i="2"/>
  <c r="S160" i="2" s="1"/>
  <c r="P159" i="2"/>
  <c r="S159" i="2" s="1"/>
  <c r="P158" i="2"/>
  <c r="S158" i="2" s="1"/>
  <c r="P157" i="2"/>
  <c r="S157" i="2" s="1"/>
  <c r="P156" i="2"/>
  <c r="S156" i="2" s="1"/>
  <c r="M539" i="4"/>
  <c r="P539" i="4"/>
  <c r="S539" i="4" s="1"/>
  <c r="AG1224" i="3"/>
  <c r="P1221" i="3"/>
  <c r="S1221" i="3" s="1"/>
  <c r="M1221" i="3"/>
  <c r="C1221" i="3"/>
  <c r="P1223" i="3"/>
  <c r="S1223" i="3" s="1"/>
  <c r="M1223" i="3"/>
  <c r="C1223" i="3"/>
  <c r="P1222" i="3"/>
  <c r="S1222" i="3" s="1"/>
  <c r="M1222" i="3"/>
  <c r="C1222" i="3"/>
  <c r="P1220" i="3"/>
  <c r="S1220" i="3" s="1"/>
  <c r="M1220" i="3"/>
  <c r="C1220" i="3"/>
  <c r="M6" i="2"/>
  <c r="M11" i="2"/>
  <c r="M12" i="2"/>
  <c r="M13" i="2"/>
  <c r="M7" i="2"/>
  <c r="P39" i="2"/>
  <c r="S39" i="2" s="1"/>
  <c r="M39" i="2"/>
  <c r="P6" i="2"/>
  <c r="S6" i="2" s="1"/>
  <c r="M1211" i="3"/>
  <c r="M1216" i="3"/>
  <c r="M1214" i="3"/>
  <c r="M1212" i="3"/>
  <c r="M1217" i="3"/>
  <c r="M1210" i="3"/>
  <c r="AG1218" i="3"/>
  <c r="P1210" i="3"/>
  <c r="S1210" i="3" s="1"/>
  <c r="C1210" i="3"/>
  <c r="P1217" i="3"/>
  <c r="S1217" i="3" s="1"/>
  <c r="C1217" i="3"/>
  <c r="P1212" i="3"/>
  <c r="S1212" i="3" s="1"/>
  <c r="C1212" i="3"/>
  <c r="P1214" i="3"/>
  <c r="S1214" i="3" s="1"/>
  <c r="C1214" i="3"/>
  <c r="P1216" i="3"/>
  <c r="S1216" i="3" s="1"/>
  <c r="C1216" i="3"/>
  <c r="P1211" i="3"/>
  <c r="S1211" i="3" s="1"/>
  <c r="C1211" i="3"/>
  <c r="P1215" i="3"/>
  <c r="S1215" i="3" s="1"/>
  <c r="M1215" i="3"/>
  <c r="C1215" i="3"/>
  <c r="P1213" i="3"/>
  <c r="S1213" i="3" s="1"/>
  <c r="M1213" i="3"/>
  <c r="C1213" i="3"/>
  <c r="C537" i="4"/>
  <c r="M537" i="4"/>
  <c r="P537" i="4"/>
  <c r="S537" i="4" s="1"/>
  <c r="C538" i="4"/>
  <c r="M538" i="4"/>
  <c r="P538" i="4"/>
  <c r="S538" i="4" s="1"/>
  <c r="C535" i="4"/>
  <c r="M535" i="4"/>
  <c r="P535" i="4"/>
  <c r="S535" i="4" s="1"/>
  <c r="C536" i="4"/>
  <c r="M536" i="4"/>
  <c r="P536" i="4"/>
  <c r="S536" i="4" s="1"/>
  <c r="C533" i="4"/>
  <c r="M533" i="4"/>
  <c r="P533" i="4"/>
  <c r="S533" i="4" s="1"/>
  <c r="C534" i="4"/>
  <c r="M534" i="4"/>
  <c r="P534" i="4"/>
  <c r="S534" i="4" s="1"/>
  <c r="C153" i="2"/>
  <c r="C154" i="2"/>
  <c r="M77" i="2"/>
  <c r="M78" i="2"/>
  <c r="M110" i="2"/>
  <c r="M79" i="2"/>
  <c r="M80" i="2"/>
  <c r="M111" i="2"/>
  <c r="M82" i="2"/>
  <c r="M112" i="2"/>
  <c r="M113" i="2"/>
  <c r="M25" i="2"/>
  <c r="T1224" i="3" l="1"/>
  <c r="T1218" i="3"/>
  <c r="Q1209" i="3"/>
  <c r="P113" i="2"/>
  <c r="S113" i="2" s="1"/>
  <c r="P25" i="2"/>
  <c r="S25" i="2" s="1"/>
  <c r="P30" i="2"/>
  <c r="S30" i="2" s="1"/>
  <c r="P31" i="2"/>
  <c r="S31" i="2" s="1"/>
  <c r="P14" i="2"/>
  <c r="S14" i="2" s="1"/>
  <c r="Q1203" i="3"/>
  <c r="P77" i="2"/>
  <c r="S77" i="2" s="1"/>
  <c r="AG1209" i="3"/>
  <c r="P1204" i="3"/>
  <c r="S1204" i="3" s="1"/>
  <c r="M1204" i="3"/>
  <c r="C1204" i="3"/>
  <c r="M1208" i="3"/>
  <c r="M1206" i="3"/>
  <c r="M1205" i="3"/>
  <c r="P1205" i="3"/>
  <c r="S1205" i="3" s="1"/>
  <c r="C1205" i="3"/>
  <c r="P1206" i="3"/>
  <c r="S1206" i="3" s="1"/>
  <c r="C1206" i="3"/>
  <c r="P1208" i="3"/>
  <c r="S1208" i="3" s="1"/>
  <c r="C1208" i="3"/>
  <c r="P1207" i="3"/>
  <c r="S1207" i="3" s="1"/>
  <c r="M1207" i="3"/>
  <c r="C1207" i="3"/>
  <c r="M532" i="4"/>
  <c r="P532" i="4"/>
  <c r="S532" i="4" s="1"/>
  <c r="P112" i="2"/>
  <c r="S112" i="2" s="1"/>
  <c r="P82" i="2"/>
  <c r="S82" i="2" s="1"/>
  <c r="M531" i="4"/>
  <c r="P531" i="4"/>
  <c r="S531" i="4" s="1"/>
  <c r="M1197" i="3"/>
  <c r="M1199" i="3"/>
  <c r="AG1203" i="3"/>
  <c r="P1199" i="3"/>
  <c r="S1199" i="3" s="1"/>
  <c r="C1199" i="3"/>
  <c r="P1197" i="3"/>
  <c r="S1197" i="3" s="1"/>
  <c r="C1197" i="3"/>
  <c r="P1198" i="3"/>
  <c r="S1198" i="3" s="1"/>
  <c r="M1198" i="3"/>
  <c r="C1198" i="3"/>
  <c r="P1201" i="3"/>
  <c r="S1201" i="3" s="1"/>
  <c r="M1201" i="3"/>
  <c r="C1201" i="3"/>
  <c r="P1202" i="3"/>
  <c r="S1202" i="3" s="1"/>
  <c r="M1202" i="3"/>
  <c r="C1202" i="3"/>
  <c r="P1200" i="3"/>
  <c r="S1200" i="3" s="1"/>
  <c r="M1200" i="3"/>
  <c r="C1200" i="3"/>
  <c r="P127" i="2"/>
  <c r="S127" i="2" s="1"/>
  <c r="P18" i="2"/>
  <c r="S18" i="2" s="1"/>
  <c r="M24" i="2"/>
  <c r="M35" i="2"/>
  <c r="M36" i="2"/>
  <c r="M26" i="2"/>
  <c r="M37" i="2"/>
  <c r="M40" i="2"/>
  <c r="P84" i="2"/>
  <c r="S84" i="2" s="1"/>
  <c r="P11" i="2"/>
  <c r="S11" i="2" s="1"/>
  <c r="P12" i="2"/>
  <c r="S12" i="2" s="1"/>
  <c r="P13" i="2"/>
  <c r="S13" i="2" s="1"/>
  <c r="P43" i="2"/>
  <c r="S43" i="2" s="1"/>
  <c r="P28" i="2"/>
  <c r="S28" i="2" s="1"/>
  <c r="M526" i="4"/>
  <c r="P526" i="4"/>
  <c r="S526" i="4" s="1"/>
  <c r="M530" i="4"/>
  <c r="P530" i="4"/>
  <c r="S530" i="4" s="1"/>
  <c r="M529" i="4"/>
  <c r="P529" i="4"/>
  <c r="S529" i="4" s="1"/>
  <c r="M528" i="4"/>
  <c r="P528" i="4"/>
  <c r="S528" i="4" s="1"/>
  <c r="M527" i="4"/>
  <c r="P527" i="4"/>
  <c r="S527" i="4" s="1"/>
  <c r="P40" i="2"/>
  <c r="S40" i="2" s="1"/>
  <c r="P42" i="2"/>
  <c r="S42" i="2" s="1"/>
  <c r="Q1196" i="3"/>
  <c r="P1195" i="3"/>
  <c r="S1195" i="3" s="1"/>
  <c r="M1195" i="3"/>
  <c r="C1195" i="3"/>
  <c r="C525" i="4"/>
  <c r="M525" i="4"/>
  <c r="P525" i="4"/>
  <c r="S525" i="4" s="1"/>
  <c r="C516" i="4"/>
  <c r="M516" i="4"/>
  <c r="P516" i="4"/>
  <c r="S516" i="4" s="1"/>
  <c r="C517" i="4"/>
  <c r="M517" i="4"/>
  <c r="P517" i="4"/>
  <c r="S517" i="4" s="1"/>
  <c r="C518" i="4"/>
  <c r="M518" i="4"/>
  <c r="P518" i="4"/>
  <c r="S518" i="4" s="1"/>
  <c r="C519" i="4"/>
  <c r="M519" i="4"/>
  <c r="P519" i="4"/>
  <c r="S519" i="4" s="1"/>
  <c r="C520" i="4"/>
  <c r="M520" i="4"/>
  <c r="P520" i="4"/>
  <c r="S520" i="4" s="1"/>
  <c r="C521" i="4"/>
  <c r="M521" i="4"/>
  <c r="P521" i="4"/>
  <c r="S521" i="4" s="1"/>
  <c r="C522" i="4"/>
  <c r="M522" i="4"/>
  <c r="P522" i="4"/>
  <c r="S522" i="4" s="1"/>
  <c r="C523" i="4"/>
  <c r="M523" i="4"/>
  <c r="P523" i="4"/>
  <c r="S523" i="4" s="1"/>
  <c r="C524" i="4"/>
  <c r="M524" i="4"/>
  <c r="P524" i="4"/>
  <c r="S524" i="4" s="1"/>
  <c r="M71" i="2"/>
  <c r="P71" i="2"/>
  <c r="S71" i="2" s="1"/>
  <c r="C507" i="4"/>
  <c r="M507" i="4"/>
  <c r="P507" i="4"/>
  <c r="S507" i="4" s="1"/>
  <c r="C508" i="4"/>
  <c r="M508" i="4"/>
  <c r="P508" i="4"/>
  <c r="S508" i="4" s="1"/>
  <c r="C509" i="4"/>
  <c r="M509" i="4"/>
  <c r="P509" i="4"/>
  <c r="S509" i="4" s="1"/>
  <c r="C510" i="4"/>
  <c r="M510" i="4"/>
  <c r="P510" i="4"/>
  <c r="S510" i="4" s="1"/>
  <c r="C511" i="4"/>
  <c r="M511" i="4"/>
  <c r="P511" i="4"/>
  <c r="S511" i="4" s="1"/>
  <c r="C512" i="4"/>
  <c r="M512" i="4"/>
  <c r="P512" i="4"/>
  <c r="S512" i="4" s="1"/>
  <c r="C513" i="4"/>
  <c r="M513" i="4"/>
  <c r="P513" i="4"/>
  <c r="S513" i="4" s="1"/>
  <c r="C514" i="4"/>
  <c r="M514" i="4"/>
  <c r="P514" i="4"/>
  <c r="S514" i="4" s="1"/>
  <c r="C515" i="4"/>
  <c r="M515" i="4"/>
  <c r="P515" i="4"/>
  <c r="S515" i="4" s="1"/>
  <c r="C506" i="4"/>
  <c r="M506" i="4"/>
  <c r="P506" i="4"/>
  <c r="S506" i="4" s="1"/>
  <c r="C151" i="2"/>
  <c r="C67" i="2"/>
  <c r="C26" i="2"/>
  <c r="P22" i="2" l="1"/>
  <c r="S22" i="2"/>
  <c r="T1209" i="3"/>
  <c r="T1203" i="3"/>
  <c r="P1185" i="3"/>
  <c r="S1185" i="3" s="1"/>
  <c r="M1185" i="3"/>
  <c r="C1185" i="3"/>
  <c r="AG1196" i="3"/>
  <c r="P117" i="2"/>
  <c r="S117" i="2" s="1"/>
  <c r="P154" i="2"/>
  <c r="S154" i="2" s="1"/>
  <c r="P153" i="2"/>
  <c r="S153" i="2" s="1"/>
  <c r="C505" i="4"/>
  <c r="M505" i="4"/>
  <c r="P505" i="4"/>
  <c r="S505" i="4" s="1"/>
  <c r="M504" i="4"/>
  <c r="P504" i="4"/>
  <c r="S504" i="4" s="1"/>
  <c r="M503" i="4"/>
  <c r="P503" i="4"/>
  <c r="S503" i="4" s="1"/>
  <c r="M502" i="4"/>
  <c r="P502" i="4"/>
  <c r="S502" i="4" s="1"/>
  <c r="M501" i="4"/>
  <c r="P501" i="4"/>
  <c r="S501" i="4" s="1"/>
  <c r="M500" i="4"/>
  <c r="P500" i="4"/>
  <c r="S500" i="4" s="1"/>
  <c r="M499" i="4"/>
  <c r="P499" i="4"/>
  <c r="S499" i="4" s="1"/>
  <c r="M498" i="4"/>
  <c r="P498" i="4"/>
  <c r="S498" i="4" s="1"/>
  <c r="P1188" i="3"/>
  <c r="S1188" i="3" s="1"/>
  <c r="M1188" i="3"/>
  <c r="C1188" i="3"/>
  <c r="P1189" i="3"/>
  <c r="S1189" i="3" s="1"/>
  <c r="M1189" i="3"/>
  <c r="C1189" i="3"/>
  <c r="P1187" i="3"/>
  <c r="S1187" i="3" s="1"/>
  <c r="M1187" i="3"/>
  <c r="C1187" i="3"/>
  <c r="P1192" i="3"/>
  <c r="S1192" i="3" s="1"/>
  <c r="M1192" i="3"/>
  <c r="C1192" i="3"/>
  <c r="P1186" i="3"/>
  <c r="S1186" i="3" s="1"/>
  <c r="M1186" i="3"/>
  <c r="C1186" i="3"/>
  <c r="P1193" i="3"/>
  <c r="S1193" i="3" s="1"/>
  <c r="M1193" i="3"/>
  <c r="C1193" i="3"/>
  <c r="P1184" i="3"/>
  <c r="S1184" i="3" s="1"/>
  <c r="M1184" i="3"/>
  <c r="C1184" i="3"/>
  <c r="P1194" i="3"/>
  <c r="S1194" i="3" s="1"/>
  <c r="M1194" i="3"/>
  <c r="C1194" i="3"/>
  <c r="P1191" i="3"/>
  <c r="S1191" i="3" s="1"/>
  <c r="M1191" i="3"/>
  <c r="C1191" i="3"/>
  <c r="P1190" i="3"/>
  <c r="S1190" i="3" s="1"/>
  <c r="M1190" i="3"/>
  <c r="C1190" i="3"/>
  <c r="Q1183" i="3"/>
  <c r="M1178" i="3"/>
  <c r="M1179" i="3"/>
  <c r="M1180" i="3"/>
  <c r="M1181" i="3"/>
  <c r="M1182" i="3"/>
  <c r="P41" i="2"/>
  <c r="S41" i="2" s="1"/>
  <c r="F177" i="2" l="1"/>
  <c r="T1196" i="3"/>
  <c r="AG1183" i="3"/>
  <c r="P1175" i="3"/>
  <c r="S1175" i="3" s="1"/>
  <c r="M1175" i="3"/>
  <c r="C1175" i="3"/>
  <c r="P1177" i="3"/>
  <c r="S1177" i="3" s="1"/>
  <c r="M1177" i="3"/>
  <c r="C1177" i="3"/>
  <c r="P1176" i="3"/>
  <c r="S1176" i="3" s="1"/>
  <c r="M1176" i="3"/>
  <c r="C1176" i="3"/>
  <c r="P1178" i="3"/>
  <c r="S1178" i="3" s="1"/>
  <c r="C1178" i="3"/>
  <c r="P1181" i="3"/>
  <c r="S1181" i="3" s="1"/>
  <c r="C1181" i="3"/>
  <c r="P1180" i="3"/>
  <c r="S1180" i="3" s="1"/>
  <c r="C1180" i="3"/>
  <c r="P1182" i="3"/>
  <c r="S1182" i="3" s="1"/>
  <c r="C1182" i="3"/>
  <c r="P1179" i="3"/>
  <c r="S1179" i="3" s="1"/>
  <c r="C1179" i="3"/>
  <c r="P1174" i="3"/>
  <c r="S1174" i="3" s="1"/>
  <c r="M1174" i="3"/>
  <c r="C1174" i="3"/>
  <c r="P150" i="2"/>
  <c r="S150" i="2" s="1"/>
  <c r="P151" i="2"/>
  <c r="S151" i="2" s="1"/>
  <c r="Q1173" i="3"/>
  <c r="AG1173" i="3"/>
  <c r="P1172" i="3"/>
  <c r="S1172" i="3" s="1"/>
  <c r="M1172" i="3"/>
  <c r="C1172" i="3"/>
  <c r="P1171" i="3"/>
  <c r="S1171" i="3" s="1"/>
  <c r="M1171" i="3"/>
  <c r="C1171" i="3"/>
  <c r="P37" i="2"/>
  <c r="S37" i="2" s="1"/>
  <c r="S26" i="2"/>
  <c r="T1183" i="3" l="1"/>
  <c r="T1173" i="3"/>
  <c r="C497" i="4"/>
  <c r="M497" i="4"/>
  <c r="P497" i="4"/>
  <c r="S497" i="4" s="1"/>
  <c r="C495" i="4"/>
  <c r="M495" i="4"/>
  <c r="P495" i="4"/>
  <c r="S495" i="4" s="1"/>
  <c r="C496" i="4"/>
  <c r="M496" i="4"/>
  <c r="P496" i="4"/>
  <c r="S496" i="4" s="1"/>
  <c r="C489" i="4"/>
  <c r="M489" i="4"/>
  <c r="P489" i="4"/>
  <c r="S489" i="4" s="1"/>
  <c r="C490" i="4"/>
  <c r="M490" i="4"/>
  <c r="P490" i="4"/>
  <c r="S490" i="4" s="1"/>
  <c r="C491" i="4"/>
  <c r="M491" i="4"/>
  <c r="P491" i="4"/>
  <c r="S491" i="4" s="1"/>
  <c r="C492" i="4"/>
  <c r="M492" i="4"/>
  <c r="P492" i="4"/>
  <c r="S492" i="4" s="1"/>
  <c r="C493" i="4"/>
  <c r="M493" i="4"/>
  <c r="P493" i="4"/>
  <c r="S493" i="4" s="1"/>
  <c r="C494" i="4"/>
  <c r="M494" i="4"/>
  <c r="P494" i="4"/>
  <c r="S494" i="4" s="1"/>
  <c r="C479" i="4"/>
  <c r="M479" i="4"/>
  <c r="P479" i="4"/>
  <c r="S479" i="4" s="1"/>
  <c r="C480" i="4"/>
  <c r="M480" i="4"/>
  <c r="P480" i="4"/>
  <c r="S480" i="4" s="1"/>
  <c r="C481" i="4"/>
  <c r="M481" i="4"/>
  <c r="P481" i="4"/>
  <c r="S481" i="4" s="1"/>
  <c r="C482" i="4"/>
  <c r="M482" i="4"/>
  <c r="P482" i="4"/>
  <c r="S482" i="4" s="1"/>
  <c r="C483" i="4"/>
  <c r="M483" i="4"/>
  <c r="P483" i="4"/>
  <c r="S483" i="4" s="1"/>
  <c r="C484" i="4"/>
  <c r="M484" i="4"/>
  <c r="P484" i="4"/>
  <c r="S484" i="4" s="1"/>
  <c r="C485" i="4"/>
  <c r="M485" i="4"/>
  <c r="P485" i="4"/>
  <c r="S485" i="4" s="1"/>
  <c r="C486" i="4"/>
  <c r="M486" i="4"/>
  <c r="P486" i="4"/>
  <c r="S486" i="4" s="1"/>
  <c r="C487" i="4"/>
  <c r="M487" i="4"/>
  <c r="P487" i="4"/>
  <c r="S487" i="4" s="1"/>
  <c r="C488" i="4"/>
  <c r="M488" i="4"/>
  <c r="P488" i="4"/>
  <c r="S488" i="4" s="1"/>
  <c r="C475" i="4"/>
  <c r="M475" i="4"/>
  <c r="P475" i="4"/>
  <c r="S475" i="4" s="1"/>
  <c r="C476" i="4"/>
  <c r="M476" i="4"/>
  <c r="P476" i="4"/>
  <c r="S476" i="4" s="1"/>
  <c r="C477" i="4"/>
  <c r="M477" i="4"/>
  <c r="P477" i="4"/>
  <c r="S477" i="4" s="1"/>
  <c r="C478" i="4"/>
  <c r="M478" i="4"/>
  <c r="P478" i="4"/>
  <c r="S478" i="4" s="1"/>
  <c r="C79" i="2" l="1"/>
  <c r="C35" i="2"/>
  <c r="Q1170" i="3" l="1"/>
  <c r="C1163" i="3"/>
  <c r="Q1155" i="3"/>
  <c r="Q1151" i="3"/>
  <c r="P1159" i="3"/>
  <c r="S1159" i="3" s="1"/>
  <c r="M1159" i="3"/>
  <c r="C1159" i="3"/>
  <c r="P79" i="2"/>
  <c r="S79" i="2" s="1"/>
  <c r="M1162" i="3"/>
  <c r="M1169" i="3"/>
  <c r="M1163" i="3"/>
  <c r="P1163" i="3"/>
  <c r="S1163" i="3" s="1"/>
  <c r="P1162" i="3"/>
  <c r="S1162" i="3" s="1"/>
  <c r="C1162" i="3"/>
  <c r="P1164" i="3"/>
  <c r="S1164" i="3" s="1"/>
  <c r="M1164" i="3"/>
  <c r="C1164" i="3"/>
  <c r="P1165" i="3"/>
  <c r="S1165" i="3" s="1"/>
  <c r="M1165" i="3"/>
  <c r="C1165" i="3"/>
  <c r="P1160" i="3"/>
  <c r="S1160" i="3" s="1"/>
  <c r="M1160" i="3"/>
  <c r="C1160" i="3"/>
  <c r="P1158" i="3"/>
  <c r="S1158" i="3" s="1"/>
  <c r="M1158" i="3"/>
  <c r="C1158" i="3"/>
  <c r="P1166" i="3"/>
  <c r="S1166" i="3" s="1"/>
  <c r="M1166" i="3"/>
  <c r="C1166" i="3"/>
  <c r="P1167" i="3"/>
  <c r="S1167" i="3" s="1"/>
  <c r="M1167" i="3"/>
  <c r="C1167" i="3"/>
  <c r="P1169" i="3"/>
  <c r="S1169" i="3" s="1"/>
  <c r="C1169" i="3"/>
  <c r="C36" i="2"/>
  <c r="P35" i="2" l="1"/>
  <c r="S35" i="2" s="1"/>
  <c r="AG1170" i="3"/>
  <c r="P1156" i="3"/>
  <c r="S1156" i="3" s="1"/>
  <c r="M1156" i="3"/>
  <c r="C1156" i="3"/>
  <c r="P1161" i="3"/>
  <c r="S1161" i="3" s="1"/>
  <c r="M1161" i="3"/>
  <c r="C1161" i="3"/>
  <c r="P1168" i="3"/>
  <c r="S1168" i="3" s="1"/>
  <c r="M1168" i="3"/>
  <c r="C1168" i="3"/>
  <c r="P1157" i="3"/>
  <c r="S1157" i="3" s="1"/>
  <c r="M1157" i="3"/>
  <c r="C1157" i="3"/>
  <c r="P1150" i="3"/>
  <c r="S1150" i="3" s="1"/>
  <c r="M1150" i="3"/>
  <c r="C1150" i="3"/>
  <c r="AG1155" i="3"/>
  <c r="P1153" i="3"/>
  <c r="S1153" i="3" s="1"/>
  <c r="M1153" i="3"/>
  <c r="C1153" i="3"/>
  <c r="P1152" i="3"/>
  <c r="S1152" i="3" s="1"/>
  <c r="M1152" i="3"/>
  <c r="C1152" i="3"/>
  <c r="P1154" i="3"/>
  <c r="S1154" i="3" s="1"/>
  <c r="M1154" i="3"/>
  <c r="C1154" i="3"/>
  <c r="AG1151" i="3"/>
  <c r="P1144" i="3"/>
  <c r="S1144" i="3" s="1"/>
  <c r="M1144" i="3"/>
  <c r="C1144" i="3"/>
  <c r="P1149" i="3"/>
  <c r="S1149" i="3" s="1"/>
  <c r="M1149" i="3"/>
  <c r="C1149" i="3"/>
  <c r="P1145" i="3"/>
  <c r="S1145" i="3" s="1"/>
  <c r="M1145" i="3"/>
  <c r="C1145" i="3"/>
  <c r="P1148" i="3"/>
  <c r="S1148" i="3" s="1"/>
  <c r="M1148" i="3"/>
  <c r="C1148" i="3"/>
  <c r="P1147" i="3"/>
  <c r="S1147" i="3" s="1"/>
  <c r="M1147" i="3"/>
  <c r="C1147" i="3"/>
  <c r="P1146" i="3"/>
  <c r="S1146" i="3" s="1"/>
  <c r="M1146" i="3"/>
  <c r="C1146" i="3"/>
  <c r="Q1143" i="3"/>
  <c r="AG1143" i="3"/>
  <c r="P1142" i="3"/>
  <c r="S1142" i="3" s="1"/>
  <c r="M1142" i="3"/>
  <c r="C1142" i="3"/>
  <c r="P1136" i="3"/>
  <c r="S1136" i="3" s="1"/>
  <c r="M1136" i="3"/>
  <c r="C1136" i="3"/>
  <c r="P1141" i="3"/>
  <c r="S1141" i="3" s="1"/>
  <c r="M1141" i="3"/>
  <c r="C1141" i="3"/>
  <c r="P1140" i="3"/>
  <c r="S1140" i="3" s="1"/>
  <c r="M1140" i="3"/>
  <c r="C1140" i="3"/>
  <c r="P1139" i="3"/>
  <c r="S1139" i="3" s="1"/>
  <c r="M1139" i="3"/>
  <c r="C1139" i="3"/>
  <c r="P1138" i="3"/>
  <c r="S1138" i="3" s="1"/>
  <c r="M1138" i="3"/>
  <c r="C1138" i="3"/>
  <c r="P1137" i="3"/>
  <c r="S1137" i="3" s="1"/>
  <c r="M1137" i="3"/>
  <c r="C1137" i="3"/>
  <c r="P1135" i="3"/>
  <c r="S1135" i="3" s="1"/>
  <c r="M1135" i="3"/>
  <c r="C1135" i="3"/>
  <c r="Q1134" i="3"/>
  <c r="M1123" i="3"/>
  <c r="M1124" i="3"/>
  <c r="P36" i="2"/>
  <c r="S36" i="2" s="1"/>
  <c r="P1129" i="3"/>
  <c r="S1129" i="3" s="1"/>
  <c r="M1129" i="3"/>
  <c r="C1129" i="3"/>
  <c r="P1132" i="3"/>
  <c r="S1132" i="3" s="1"/>
  <c r="M1132" i="3"/>
  <c r="C1132" i="3"/>
  <c r="P1127" i="3"/>
  <c r="S1127" i="3" s="1"/>
  <c r="M1127" i="3"/>
  <c r="C1127" i="3"/>
  <c r="M1128" i="3"/>
  <c r="M1130" i="3"/>
  <c r="P1128" i="3"/>
  <c r="S1128" i="3" s="1"/>
  <c r="C1128" i="3"/>
  <c r="P1126" i="3"/>
  <c r="S1126" i="3" s="1"/>
  <c r="M1126" i="3"/>
  <c r="C1126" i="3"/>
  <c r="C472" i="4"/>
  <c r="M472" i="4"/>
  <c r="P472" i="4"/>
  <c r="S472" i="4" s="1"/>
  <c r="C473" i="4"/>
  <c r="M473" i="4"/>
  <c r="P473" i="4"/>
  <c r="S473" i="4" s="1"/>
  <c r="C474" i="4"/>
  <c r="M474" i="4"/>
  <c r="P474" i="4"/>
  <c r="S474" i="4" s="1"/>
  <c r="C471" i="4"/>
  <c r="M471" i="4"/>
  <c r="P471" i="4"/>
  <c r="S471" i="4" s="1"/>
  <c r="C468" i="4"/>
  <c r="M468" i="4"/>
  <c r="P468" i="4"/>
  <c r="S468" i="4" s="1"/>
  <c r="C469" i="4"/>
  <c r="M469" i="4"/>
  <c r="P469" i="4"/>
  <c r="S469" i="4" s="1"/>
  <c r="C470" i="4"/>
  <c r="M470" i="4"/>
  <c r="P470" i="4"/>
  <c r="S470" i="4" s="1"/>
  <c r="C466" i="4"/>
  <c r="M466" i="4"/>
  <c r="P466" i="4"/>
  <c r="S466" i="4" s="1"/>
  <c r="C467" i="4"/>
  <c r="M467" i="4"/>
  <c r="P467" i="4"/>
  <c r="S467" i="4" s="1"/>
  <c r="T1170" i="3" l="1"/>
  <c r="T1155" i="3"/>
  <c r="T1151" i="3"/>
  <c r="T1143" i="3"/>
  <c r="C1130" i="3"/>
  <c r="P1130" i="3"/>
  <c r="S1130" i="3" s="1"/>
  <c r="P76" i="2"/>
  <c r="S76" i="2" s="1"/>
  <c r="M76" i="2"/>
  <c r="AG1134" i="3"/>
  <c r="P1133" i="3"/>
  <c r="S1133" i="3" s="1"/>
  <c r="M1133" i="3"/>
  <c r="C1133" i="3"/>
  <c r="P1131" i="3"/>
  <c r="S1131" i="3" s="1"/>
  <c r="M1131" i="3"/>
  <c r="C1131" i="3"/>
  <c r="Q1125" i="3"/>
  <c r="AG1125" i="3"/>
  <c r="P1123" i="3"/>
  <c r="S1123" i="3" s="1"/>
  <c r="C1123" i="3"/>
  <c r="P1124" i="3"/>
  <c r="S1124" i="3" s="1"/>
  <c r="C1124" i="3"/>
  <c r="P1122" i="3"/>
  <c r="S1122" i="3" s="1"/>
  <c r="M1122" i="3"/>
  <c r="C1122" i="3"/>
  <c r="Q1121" i="3"/>
  <c r="P1119" i="3"/>
  <c r="S1119" i="3" s="1"/>
  <c r="M1119" i="3"/>
  <c r="C1119" i="3"/>
  <c r="P1116" i="3"/>
  <c r="S1116" i="3" s="1"/>
  <c r="M1116" i="3"/>
  <c r="C1116" i="3"/>
  <c r="P24" i="2"/>
  <c r="P63" i="2"/>
  <c r="S63" i="2" s="1"/>
  <c r="P1120" i="3"/>
  <c r="S1120" i="3" s="1"/>
  <c r="M1120" i="3"/>
  <c r="C1120" i="3"/>
  <c r="P1112" i="3"/>
  <c r="S1112" i="3" s="1"/>
  <c r="M1112" i="3"/>
  <c r="C1112" i="3"/>
  <c r="C464" i="4"/>
  <c r="M464" i="4"/>
  <c r="P464" i="4"/>
  <c r="S464" i="4" s="1"/>
  <c r="C465" i="4"/>
  <c r="M465" i="4"/>
  <c r="P465" i="4"/>
  <c r="S465" i="4" s="1"/>
  <c r="S24" i="2" l="1"/>
  <c r="T1134" i="3"/>
  <c r="T1125" i="3"/>
  <c r="P1118" i="3"/>
  <c r="S1118" i="3" s="1"/>
  <c r="M1118" i="3"/>
  <c r="C1118" i="3"/>
  <c r="P1113" i="3"/>
  <c r="S1113" i="3" s="1"/>
  <c r="M1113" i="3"/>
  <c r="C1113" i="3"/>
  <c r="Q1109" i="3"/>
  <c r="AG1121" i="3"/>
  <c r="P1111" i="3"/>
  <c r="S1111" i="3" s="1"/>
  <c r="M1111" i="3"/>
  <c r="C1111" i="3"/>
  <c r="M1115" i="3"/>
  <c r="P1115" i="3"/>
  <c r="S1115" i="3" s="1"/>
  <c r="C1115" i="3"/>
  <c r="P1117" i="3"/>
  <c r="S1117" i="3" s="1"/>
  <c r="M1117" i="3"/>
  <c r="C1117" i="3"/>
  <c r="P1110" i="3"/>
  <c r="S1110" i="3" s="1"/>
  <c r="M1110" i="3"/>
  <c r="C1110" i="3"/>
  <c r="P1114" i="3"/>
  <c r="S1114" i="3" s="1"/>
  <c r="M1114" i="3"/>
  <c r="C1114" i="3"/>
  <c r="Q1101" i="3"/>
  <c r="M1107" i="3"/>
  <c r="M1105" i="3"/>
  <c r="AG1109" i="3"/>
  <c r="P1105" i="3"/>
  <c r="S1105" i="3" s="1"/>
  <c r="C1105" i="3"/>
  <c r="P1107" i="3"/>
  <c r="S1107" i="3" s="1"/>
  <c r="C1107" i="3"/>
  <c r="P1106" i="3"/>
  <c r="S1106" i="3" s="1"/>
  <c r="M1106" i="3"/>
  <c r="C1106" i="3"/>
  <c r="P1108" i="3"/>
  <c r="S1108" i="3" s="1"/>
  <c r="M1108" i="3"/>
  <c r="C1108" i="3"/>
  <c r="C460" i="4"/>
  <c r="M460" i="4"/>
  <c r="P460" i="4"/>
  <c r="S460" i="4" s="1"/>
  <c r="C461" i="4"/>
  <c r="M461" i="4"/>
  <c r="P461" i="4"/>
  <c r="S461" i="4" s="1"/>
  <c r="C462" i="4"/>
  <c r="M462" i="4"/>
  <c r="P462" i="4"/>
  <c r="S462" i="4" s="1"/>
  <c r="C463" i="4"/>
  <c r="M463" i="4"/>
  <c r="P463" i="4"/>
  <c r="S463" i="4" s="1"/>
  <c r="C457" i="4"/>
  <c r="M457" i="4"/>
  <c r="P457" i="4"/>
  <c r="S457" i="4" s="1"/>
  <c r="C458" i="4"/>
  <c r="M458" i="4"/>
  <c r="P458" i="4"/>
  <c r="S458" i="4" s="1"/>
  <c r="C459" i="4"/>
  <c r="M459" i="4"/>
  <c r="P459" i="4"/>
  <c r="S459" i="4" s="1"/>
  <c r="C455" i="4"/>
  <c r="M455" i="4"/>
  <c r="P455" i="4"/>
  <c r="S455" i="4" s="1"/>
  <c r="C456" i="4"/>
  <c r="M456" i="4"/>
  <c r="P456" i="4"/>
  <c r="S456" i="4" s="1"/>
  <c r="C74" i="2"/>
  <c r="T1121" i="3" l="1"/>
  <c r="T1109" i="3"/>
  <c r="Q1085" i="3"/>
  <c r="M1082" i="3"/>
  <c r="M1083" i="3"/>
  <c r="M1084" i="3"/>
  <c r="Q1093" i="3"/>
  <c r="M454" i="4"/>
  <c r="P454" i="4"/>
  <c r="S454" i="4" s="1"/>
  <c r="Q1104" i="3"/>
  <c r="P1103" i="3"/>
  <c r="S1103" i="3" s="1"/>
  <c r="M1103" i="3"/>
  <c r="C1103" i="3"/>
  <c r="P1095" i="3"/>
  <c r="S1095" i="3" s="1"/>
  <c r="M1095" i="3"/>
  <c r="C1095" i="3"/>
  <c r="AG1104" i="3"/>
  <c r="P1102" i="3"/>
  <c r="S1102" i="3" s="1"/>
  <c r="M1102" i="3"/>
  <c r="C1102" i="3"/>
  <c r="AG1101" i="3"/>
  <c r="M1100" i="3"/>
  <c r="M1098" i="3"/>
  <c r="M1097" i="3"/>
  <c r="P1097" i="3"/>
  <c r="S1097" i="3" s="1"/>
  <c r="C1097" i="3"/>
  <c r="P1098" i="3"/>
  <c r="S1098" i="3" s="1"/>
  <c r="C1098" i="3"/>
  <c r="P1100" i="3"/>
  <c r="S1100" i="3" s="1"/>
  <c r="C1100" i="3"/>
  <c r="P1096" i="3"/>
  <c r="S1096" i="3" s="1"/>
  <c r="M1096" i="3"/>
  <c r="C1096" i="3"/>
  <c r="P1094" i="3"/>
  <c r="S1094" i="3" s="1"/>
  <c r="M1094" i="3"/>
  <c r="C1094" i="3"/>
  <c r="P1099" i="3"/>
  <c r="S1099" i="3" s="1"/>
  <c r="M1099" i="3"/>
  <c r="C1099" i="3"/>
  <c r="M1089" i="3"/>
  <c r="M1091" i="3"/>
  <c r="M1092" i="3"/>
  <c r="M1086" i="3"/>
  <c r="AG1093" i="3"/>
  <c r="P1086" i="3"/>
  <c r="S1086" i="3" s="1"/>
  <c r="C1086" i="3"/>
  <c r="P1092" i="3"/>
  <c r="S1092" i="3" s="1"/>
  <c r="C1092" i="3"/>
  <c r="P1091" i="3"/>
  <c r="S1091" i="3" s="1"/>
  <c r="C1091" i="3"/>
  <c r="P1089" i="3"/>
  <c r="S1089" i="3" s="1"/>
  <c r="C1089" i="3"/>
  <c r="P1088" i="3"/>
  <c r="S1088" i="3" s="1"/>
  <c r="M1088" i="3"/>
  <c r="C1088" i="3"/>
  <c r="P1090" i="3"/>
  <c r="S1090" i="3" s="1"/>
  <c r="M1090" i="3"/>
  <c r="C1090" i="3"/>
  <c r="P1087" i="3"/>
  <c r="S1087" i="3" s="1"/>
  <c r="M1087" i="3"/>
  <c r="C1087" i="3"/>
  <c r="C453" i="4"/>
  <c r="M453" i="4"/>
  <c r="P453" i="4"/>
  <c r="S453" i="4" s="1"/>
  <c r="C452" i="4"/>
  <c r="M452" i="4"/>
  <c r="P452" i="4"/>
  <c r="S452" i="4" s="1"/>
  <c r="C451" i="4"/>
  <c r="M451" i="4"/>
  <c r="P451" i="4"/>
  <c r="S451" i="4" s="1"/>
  <c r="T1101" i="3" l="1"/>
  <c r="T1093" i="3"/>
  <c r="T1104" i="3"/>
  <c r="Q1077" i="3"/>
  <c r="Q1071" i="3"/>
  <c r="M1062" i="3"/>
  <c r="M1063" i="3"/>
  <c r="M1064" i="3"/>
  <c r="M1065" i="3"/>
  <c r="P1084" i="3"/>
  <c r="S1084" i="3" s="1"/>
  <c r="C1084" i="3"/>
  <c r="P1081" i="3"/>
  <c r="S1081" i="3" s="1"/>
  <c r="M1081" i="3"/>
  <c r="C1081" i="3"/>
  <c r="P1078" i="3"/>
  <c r="S1078" i="3" s="1"/>
  <c r="M1078" i="3"/>
  <c r="C1078" i="3"/>
  <c r="P1083" i="3"/>
  <c r="S1083" i="3" s="1"/>
  <c r="C1083" i="3"/>
  <c r="P1080" i="3"/>
  <c r="S1080" i="3" s="1"/>
  <c r="M1080" i="3"/>
  <c r="C1080" i="3"/>
  <c r="P1079" i="3"/>
  <c r="S1079" i="3" s="1"/>
  <c r="M1079" i="3"/>
  <c r="C1079" i="3"/>
  <c r="P1082" i="3"/>
  <c r="S1082" i="3" s="1"/>
  <c r="C1082" i="3"/>
  <c r="Q1066" i="3"/>
  <c r="Q1059" i="3"/>
  <c r="M1054" i="3"/>
  <c r="M1055" i="3"/>
  <c r="M1056" i="3"/>
  <c r="M1057" i="3"/>
  <c r="M1058" i="3"/>
  <c r="M1067" i="3"/>
  <c r="M1076" i="3"/>
  <c r="P1076" i="3"/>
  <c r="S1076" i="3" s="1"/>
  <c r="C1076" i="3"/>
  <c r="P1075" i="3"/>
  <c r="S1075" i="3" s="1"/>
  <c r="M1075" i="3"/>
  <c r="C1075" i="3"/>
  <c r="P1073" i="3"/>
  <c r="S1073" i="3" s="1"/>
  <c r="M1073" i="3"/>
  <c r="C1073" i="3"/>
  <c r="P1069" i="3"/>
  <c r="S1069" i="3" s="1"/>
  <c r="M1069" i="3"/>
  <c r="C1069" i="3"/>
  <c r="P1062" i="3"/>
  <c r="S1062" i="3" s="1"/>
  <c r="C1062" i="3"/>
  <c r="P1063" i="3"/>
  <c r="S1063" i="3" s="1"/>
  <c r="C1063" i="3"/>
  <c r="C447" i="4"/>
  <c r="M447" i="4"/>
  <c r="P447" i="4"/>
  <c r="S447" i="4" s="1"/>
  <c r="C448" i="4"/>
  <c r="M448" i="4"/>
  <c r="P448" i="4"/>
  <c r="S448" i="4" s="1"/>
  <c r="C449" i="4"/>
  <c r="M449" i="4"/>
  <c r="P449" i="4"/>
  <c r="S449" i="4" s="1"/>
  <c r="C450" i="4"/>
  <c r="M450" i="4"/>
  <c r="P450" i="4"/>
  <c r="S450" i="4" s="1"/>
  <c r="C441" i="4"/>
  <c r="M441" i="4"/>
  <c r="P441" i="4"/>
  <c r="S441" i="4" s="1"/>
  <c r="C442" i="4"/>
  <c r="M442" i="4"/>
  <c r="P442" i="4"/>
  <c r="S442" i="4" s="1"/>
  <c r="C443" i="4"/>
  <c r="M443" i="4"/>
  <c r="P443" i="4"/>
  <c r="S443" i="4" s="1"/>
  <c r="C444" i="4"/>
  <c r="M444" i="4"/>
  <c r="P444" i="4"/>
  <c r="S444" i="4" s="1"/>
  <c r="C445" i="4"/>
  <c r="M445" i="4"/>
  <c r="P445" i="4"/>
  <c r="S445" i="4" s="1"/>
  <c r="C446" i="4"/>
  <c r="M446" i="4"/>
  <c r="P446" i="4"/>
  <c r="S446" i="4" s="1"/>
  <c r="C434" i="4"/>
  <c r="M434" i="4"/>
  <c r="P434" i="4"/>
  <c r="S434" i="4" s="1"/>
  <c r="C435" i="4"/>
  <c r="M435" i="4"/>
  <c r="P435" i="4"/>
  <c r="S435" i="4" s="1"/>
  <c r="C436" i="4"/>
  <c r="M436" i="4"/>
  <c r="P436" i="4"/>
  <c r="S436" i="4" s="1"/>
  <c r="C437" i="4"/>
  <c r="M437" i="4"/>
  <c r="P437" i="4"/>
  <c r="S437" i="4" s="1"/>
  <c r="C438" i="4"/>
  <c r="M438" i="4"/>
  <c r="P438" i="4"/>
  <c r="S438" i="4" s="1"/>
  <c r="C439" i="4"/>
  <c r="M439" i="4"/>
  <c r="P439" i="4"/>
  <c r="S439" i="4" s="1"/>
  <c r="C440" i="4"/>
  <c r="M440" i="4"/>
  <c r="P440" i="4"/>
  <c r="S440" i="4" s="1"/>
  <c r="C433" i="4"/>
  <c r="M433" i="4"/>
  <c r="P433" i="4"/>
  <c r="S433" i="4" s="1"/>
  <c r="T1085" i="3" l="1"/>
  <c r="Q1050" i="3"/>
  <c r="Q1039" i="3"/>
  <c r="AG1085" i="3"/>
  <c r="AG1077" i="3"/>
  <c r="P1072" i="3"/>
  <c r="S1072" i="3" s="1"/>
  <c r="M1072" i="3"/>
  <c r="C1072" i="3"/>
  <c r="P1074" i="3"/>
  <c r="S1074" i="3" s="1"/>
  <c r="M1074" i="3"/>
  <c r="C1074" i="3"/>
  <c r="AG1071" i="3"/>
  <c r="P1067" i="3"/>
  <c r="S1067" i="3" s="1"/>
  <c r="C1067" i="3"/>
  <c r="P1068" i="3"/>
  <c r="S1068" i="3" s="1"/>
  <c r="M1068" i="3"/>
  <c r="C1068" i="3"/>
  <c r="P1070" i="3"/>
  <c r="S1070" i="3" s="1"/>
  <c r="M1070" i="3"/>
  <c r="C1070" i="3"/>
  <c r="AG1066" i="3"/>
  <c r="P1065" i="3"/>
  <c r="S1065" i="3" s="1"/>
  <c r="C1065" i="3"/>
  <c r="P1064" i="3"/>
  <c r="S1064" i="3" s="1"/>
  <c r="C1064" i="3"/>
  <c r="P1061" i="3"/>
  <c r="S1061" i="3" s="1"/>
  <c r="M1061" i="3"/>
  <c r="C1061" i="3"/>
  <c r="P1060" i="3"/>
  <c r="S1060" i="3" s="1"/>
  <c r="M1060" i="3"/>
  <c r="C1060" i="3"/>
  <c r="M34" i="2"/>
  <c r="P1054" i="3"/>
  <c r="S1054" i="3" s="1"/>
  <c r="C1054" i="3"/>
  <c r="AG1059" i="3"/>
  <c r="P1056" i="3"/>
  <c r="S1056" i="3" s="1"/>
  <c r="C1056" i="3"/>
  <c r="P1058" i="3"/>
  <c r="S1058" i="3" s="1"/>
  <c r="C1058" i="3"/>
  <c r="P1055" i="3"/>
  <c r="S1055" i="3" s="1"/>
  <c r="C1055" i="3"/>
  <c r="P1052" i="3"/>
  <c r="S1052" i="3" s="1"/>
  <c r="M1052" i="3"/>
  <c r="C1052" i="3"/>
  <c r="P1053" i="3"/>
  <c r="S1053" i="3" s="1"/>
  <c r="M1053" i="3"/>
  <c r="C1053" i="3"/>
  <c r="P1057" i="3"/>
  <c r="S1057" i="3" s="1"/>
  <c r="C1057" i="3"/>
  <c r="P1051" i="3"/>
  <c r="S1051" i="3" s="1"/>
  <c r="M1051" i="3"/>
  <c r="C1051" i="3"/>
  <c r="AG1050" i="3"/>
  <c r="P1049" i="3"/>
  <c r="S1049" i="3" s="1"/>
  <c r="M1049" i="3"/>
  <c r="C1049" i="3"/>
  <c r="P1044" i="3"/>
  <c r="S1044" i="3" s="1"/>
  <c r="M1044" i="3"/>
  <c r="C1044" i="3"/>
  <c r="P1043" i="3"/>
  <c r="S1043" i="3" s="1"/>
  <c r="M1043" i="3"/>
  <c r="C1043" i="3"/>
  <c r="P1040" i="3"/>
  <c r="S1040" i="3" s="1"/>
  <c r="M1040" i="3"/>
  <c r="C1040" i="3"/>
  <c r="P1045" i="3"/>
  <c r="S1045" i="3" s="1"/>
  <c r="M1045" i="3"/>
  <c r="C1045" i="3"/>
  <c r="P1046" i="3"/>
  <c r="S1046" i="3" s="1"/>
  <c r="M1046" i="3"/>
  <c r="C1046" i="3"/>
  <c r="P1047" i="3"/>
  <c r="S1047" i="3" s="1"/>
  <c r="M1047" i="3"/>
  <c r="C1047" i="3"/>
  <c r="P1041" i="3"/>
  <c r="S1041" i="3" s="1"/>
  <c r="M1041" i="3"/>
  <c r="C1041" i="3"/>
  <c r="P1042" i="3"/>
  <c r="S1042" i="3" s="1"/>
  <c r="M1042" i="3"/>
  <c r="C1042" i="3"/>
  <c r="P1048" i="3"/>
  <c r="S1048" i="3" s="1"/>
  <c r="M1048" i="3"/>
  <c r="C1048" i="3"/>
  <c r="P106" i="2"/>
  <c r="S106" i="2" s="1"/>
  <c r="M106" i="2"/>
  <c r="P99" i="2"/>
  <c r="S99" i="2" s="1"/>
  <c r="M99" i="2"/>
  <c r="P70" i="2"/>
  <c r="S70" i="2" s="1"/>
  <c r="M70" i="2"/>
  <c r="P105" i="2"/>
  <c r="S105" i="2" s="1"/>
  <c r="M105" i="2"/>
  <c r="P104" i="2"/>
  <c r="S104" i="2" s="1"/>
  <c r="M104" i="2"/>
  <c r="P103" i="2"/>
  <c r="S103" i="2" s="1"/>
  <c r="M103" i="2"/>
  <c r="P102" i="2"/>
  <c r="S102" i="2" s="1"/>
  <c r="M102" i="2"/>
  <c r="P101" i="2"/>
  <c r="S101" i="2" s="1"/>
  <c r="M101" i="2"/>
  <c r="P98" i="2"/>
  <c r="S98" i="2" s="1"/>
  <c r="M98" i="2"/>
  <c r="P97" i="2"/>
  <c r="S97" i="2" s="1"/>
  <c r="M97" i="2"/>
  <c r="P96" i="2"/>
  <c r="S96" i="2" s="1"/>
  <c r="M96" i="2"/>
  <c r="P107" i="2"/>
  <c r="S107" i="2" s="1"/>
  <c r="M107" i="2"/>
  <c r="P95" i="2"/>
  <c r="S95" i="2" s="1"/>
  <c r="M95" i="2"/>
  <c r="T1077" i="3" l="1"/>
  <c r="T1071" i="3"/>
  <c r="T1066" i="3"/>
  <c r="T1059" i="3"/>
  <c r="T1050" i="3"/>
  <c r="P100" i="2"/>
  <c r="S100" i="2" s="1"/>
  <c r="M100" i="2"/>
  <c r="Q1031" i="3"/>
  <c r="Q1015" i="3"/>
  <c r="C430" i="4" l="1"/>
  <c r="M430" i="4"/>
  <c r="P430" i="4"/>
  <c r="S430" i="4" s="1"/>
  <c r="C431" i="4"/>
  <c r="M431" i="4"/>
  <c r="P431" i="4"/>
  <c r="S431" i="4" s="1"/>
  <c r="C432" i="4"/>
  <c r="M432" i="4"/>
  <c r="P432" i="4"/>
  <c r="S432" i="4" s="1"/>
  <c r="C424" i="4"/>
  <c r="M424" i="4"/>
  <c r="P424" i="4"/>
  <c r="S424" i="4" s="1"/>
  <c r="C425" i="4"/>
  <c r="M425" i="4"/>
  <c r="P425" i="4"/>
  <c r="S425" i="4" s="1"/>
  <c r="C426" i="4"/>
  <c r="M426" i="4"/>
  <c r="P426" i="4"/>
  <c r="S426" i="4" s="1"/>
  <c r="C427" i="4"/>
  <c r="M427" i="4"/>
  <c r="P427" i="4"/>
  <c r="S427" i="4" s="1"/>
  <c r="C428" i="4"/>
  <c r="M428" i="4"/>
  <c r="P428" i="4"/>
  <c r="S428" i="4" s="1"/>
  <c r="C429" i="4"/>
  <c r="M429" i="4"/>
  <c r="P429" i="4"/>
  <c r="S429" i="4" s="1"/>
  <c r="C149" i="2"/>
  <c r="AG1039" i="3" l="1"/>
  <c r="P1035" i="3"/>
  <c r="S1035" i="3" s="1"/>
  <c r="M1035" i="3"/>
  <c r="C1035" i="3"/>
  <c r="P1038" i="3"/>
  <c r="S1038" i="3" s="1"/>
  <c r="M1038" i="3"/>
  <c r="C1038" i="3"/>
  <c r="P1032" i="3"/>
  <c r="S1032" i="3" s="1"/>
  <c r="M1032" i="3"/>
  <c r="C1032" i="3"/>
  <c r="P1034" i="3"/>
  <c r="S1034" i="3" s="1"/>
  <c r="M1034" i="3"/>
  <c r="C1034" i="3"/>
  <c r="P1036" i="3"/>
  <c r="S1036" i="3" s="1"/>
  <c r="M1036" i="3"/>
  <c r="C1036" i="3"/>
  <c r="P1037" i="3"/>
  <c r="S1037" i="3" s="1"/>
  <c r="M1037" i="3"/>
  <c r="C1037" i="3"/>
  <c r="P1033" i="3"/>
  <c r="S1033" i="3" s="1"/>
  <c r="M1033" i="3"/>
  <c r="C1033" i="3"/>
  <c r="P149" i="2"/>
  <c r="S149" i="2" s="1"/>
  <c r="P148" i="2"/>
  <c r="S148" i="2" s="1"/>
  <c r="M148" i="2"/>
  <c r="M1016" i="3"/>
  <c r="M1028" i="3"/>
  <c r="M1017" i="3"/>
  <c r="M1030" i="3"/>
  <c r="M1019" i="3"/>
  <c r="M1020" i="3"/>
  <c r="M1027" i="3"/>
  <c r="M1024" i="3"/>
  <c r="M1025" i="3"/>
  <c r="M1018" i="3"/>
  <c r="M1023" i="3"/>
  <c r="M1026" i="3"/>
  <c r="M1022" i="3"/>
  <c r="P1019" i="3"/>
  <c r="S1019" i="3" s="1"/>
  <c r="C1019" i="3"/>
  <c r="P1016" i="3"/>
  <c r="S1016" i="3" s="1"/>
  <c r="C1016" i="3"/>
  <c r="AG1031" i="3"/>
  <c r="P1022" i="3"/>
  <c r="S1022" i="3" s="1"/>
  <c r="C1022" i="3"/>
  <c r="P1026" i="3"/>
  <c r="S1026" i="3" s="1"/>
  <c r="C1026" i="3"/>
  <c r="P1023" i="3"/>
  <c r="S1023" i="3" s="1"/>
  <c r="C1023" i="3"/>
  <c r="P1018" i="3"/>
  <c r="S1018" i="3" s="1"/>
  <c r="C1018" i="3"/>
  <c r="P1025" i="3"/>
  <c r="S1025" i="3" s="1"/>
  <c r="C1025" i="3"/>
  <c r="P1024" i="3"/>
  <c r="S1024" i="3" s="1"/>
  <c r="C1024" i="3"/>
  <c r="P1027" i="3"/>
  <c r="S1027" i="3" s="1"/>
  <c r="C1027" i="3"/>
  <c r="P1020" i="3"/>
  <c r="S1020" i="3" s="1"/>
  <c r="C1020" i="3"/>
  <c r="P1030" i="3"/>
  <c r="S1030" i="3" s="1"/>
  <c r="C1030" i="3"/>
  <c r="P1017" i="3"/>
  <c r="S1017" i="3" s="1"/>
  <c r="C1017" i="3"/>
  <c r="P1028" i="3"/>
  <c r="S1028" i="3" s="1"/>
  <c r="C1028" i="3"/>
  <c r="P1029" i="3"/>
  <c r="S1029" i="3" s="1"/>
  <c r="M1029" i="3"/>
  <c r="C1029" i="3"/>
  <c r="P1021" i="3"/>
  <c r="S1021" i="3" s="1"/>
  <c r="M1021" i="3"/>
  <c r="C1021" i="3"/>
  <c r="P34" i="2"/>
  <c r="P64" i="2" s="1"/>
  <c r="C418" i="4"/>
  <c r="M418" i="4"/>
  <c r="P418" i="4"/>
  <c r="S418" i="4" s="1"/>
  <c r="C419" i="4"/>
  <c r="M419" i="4"/>
  <c r="P419" i="4"/>
  <c r="S419" i="4" s="1"/>
  <c r="C420" i="4"/>
  <c r="M420" i="4"/>
  <c r="P420" i="4"/>
  <c r="S420" i="4" s="1"/>
  <c r="C421" i="4"/>
  <c r="M421" i="4"/>
  <c r="P421" i="4"/>
  <c r="S421" i="4" s="1"/>
  <c r="C422" i="4"/>
  <c r="M422" i="4"/>
  <c r="P422" i="4"/>
  <c r="S422" i="4" s="1"/>
  <c r="C423" i="4"/>
  <c r="M423" i="4"/>
  <c r="P423" i="4"/>
  <c r="S423" i="4" s="1"/>
  <c r="C416" i="4"/>
  <c r="M416" i="4"/>
  <c r="P416" i="4"/>
  <c r="S416" i="4" s="1"/>
  <c r="C417" i="4"/>
  <c r="M417" i="4"/>
  <c r="P417" i="4"/>
  <c r="S417" i="4" s="1"/>
  <c r="C414" i="4"/>
  <c r="M414" i="4"/>
  <c r="P414" i="4"/>
  <c r="S414" i="4" s="1"/>
  <c r="C415" i="4"/>
  <c r="M415" i="4"/>
  <c r="P415" i="4"/>
  <c r="S415" i="4" s="1"/>
  <c r="C411" i="4"/>
  <c r="M411" i="4"/>
  <c r="P411" i="4"/>
  <c r="S411" i="4" s="1"/>
  <c r="C412" i="4"/>
  <c r="M412" i="4"/>
  <c r="P412" i="4"/>
  <c r="S412" i="4" s="1"/>
  <c r="C413" i="4"/>
  <c r="M413" i="4"/>
  <c r="P413" i="4"/>
  <c r="S413" i="4" s="1"/>
  <c r="F183" i="2" l="1"/>
  <c r="S34" i="2"/>
  <c r="S64" i="2" s="1"/>
  <c r="T1039" i="3"/>
  <c r="T1031" i="3"/>
  <c r="AG1015" i="3"/>
  <c r="P1014" i="3"/>
  <c r="S1014" i="3" s="1"/>
  <c r="M1014" i="3"/>
  <c r="C1014" i="3"/>
  <c r="P1013" i="3"/>
  <c r="S1013" i="3" s="1"/>
  <c r="M1013" i="3"/>
  <c r="C1013" i="3"/>
  <c r="P1012" i="3"/>
  <c r="S1012" i="3" s="1"/>
  <c r="M1012" i="3"/>
  <c r="C1012" i="3"/>
  <c r="P1009" i="3"/>
  <c r="S1009" i="3" s="1"/>
  <c r="M1009" i="3"/>
  <c r="C1009" i="3"/>
  <c r="P1010" i="3"/>
  <c r="S1010" i="3" s="1"/>
  <c r="M1010" i="3"/>
  <c r="C1010" i="3"/>
  <c r="P1008" i="3"/>
  <c r="S1008" i="3" s="1"/>
  <c r="M1008" i="3"/>
  <c r="C1008" i="3"/>
  <c r="P1011" i="3"/>
  <c r="S1011" i="3" s="1"/>
  <c r="M1011" i="3"/>
  <c r="C1011" i="3"/>
  <c r="Q1007" i="3"/>
  <c r="AG1007" i="3"/>
  <c r="P1001" i="3"/>
  <c r="S1001" i="3" s="1"/>
  <c r="M1001" i="3"/>
  <c r="C1001" i="3"/>
  <c r="P1006" i="3"/>
  <c r="S1006" i="3" s="1"/>
  <c r="M1006" i="3"/>
  <c r="C1006" i="3"/>
  <c r="P1005" i="3"/>
  <c r="S1005" i="3" s="1"/>
  <c r="M1005" i="3"/>
  <c r="C1005" i="3"/>
  <c r="P1004" i="3"/>
  <c r="S1004" i="3" s="1"/>
  <c r="M1004" i="3"/>
  <c r="C1004" i="3"/>
  <c r="P1003" i="3"/>
  <c r="S1003" i="3" s="1"/>
  <c r="M1003" i="3"/>
  <c r="C1003" i="3"/>
  <c r="P1002" i="3"/>
  <c r="S1002" i="3" s="1"/>
  <c r="M1002" i="3"/>
  <c r="C1002" i="3"/>
  <c r="P1000" i="3"/>
  <c r="S1000" i="3" s="1"/>
  <c r="M1000" i="3"/>
  <c r="C1000" i="3"/>
  <c r="P995" i="3"/>
  <c r="S995" i="3" s="1"/>
  <c r="M995" i="3"/>
  <c r="C995" i="3"/>
  <c r="P999" i="3"/>
  <c r="S999" i="3" s="1"/>
  <c r="M999" i="3"/>
  <c r="C999" i="3"/>
  <c r="P997" i="3"/>
  <c r="S997" i="3" s="1"/>
  <c r="M997" i="3"/>
  <c r="C997" i="3"/>
  <c r="P996" i="3"/>
  <c r="S996" i="3" s="1"/>
  <c r="M996" i="3"/>
  <c r="C996" i="3"/>
  <c r="P994" i="3"/>
  <c r="S994" i="3" s="1"/>
  <c r="M994" i="3"/>
  <c r="C994" i="3"/>
  <c r="P998" i="3"/>
  <c r="S998" i="3" s="1"/>
  <c r="M998" i="3"/>
  <c r="C998" i="3"/>
  <c r="P989" i="3"/>
  <c r="S989" i="3" s="1"/>
  <c r="M989" i="3"/>
  <c r="C989" i="3"/>
  <c r="Q993" i="3"/>
  <c r="AG993" i="3"/>
  <c r="M981" i="3"/>
  <c r="M982" i="3"/>
  <c r="M983" i="3"/>
  <c r="M984" i="3"/>
  <c r="P988" i="3"/>
  <c r="S988" i="3" s="1"/>
  <c r="M988" i="3"/>
  <c r="C988" i="3"/>
  <c r="P990" i="3"/>
  <c r="S990" i="3" s="1"/>
  <c r="M990" i="3"/>
  <c r="C990" i="3"/>
  <c r="P991" i="3"/>
  <c r="S991" i="3" s="1"/>
  <c r="M991" i="3"/>
  <c r="C991" i="3"/>
  <c r="P987" i="3"/>
  <c r="S987" i="3" s="1"/>
  <c r="M987" i="3"/>
  <c r="C987" i="3"/>
  <c r="P992" i="3"/>
  <c r="S992" i="3" s="1"/>
  <c r="M992" i="3"/>
  <c r="C992" i="3"/>
  <c r="P986" i="3"/>
  <c r="S986" i="3" s="1"/>
  <c r="M986" i="3"/>
  <c r="C986" i="3"/>
  <c r="Q985" i="3"/>
  <c r="C410" i="4"/>
  <c r="M410" i="4"/>
  <c r="P410" i="4"/>
  <c r="S410" i="4" s="1"/>
  <c r="C406" i="4"/>
  <c r="M406" i="4"/>
  <c r="P406" i="4"/>
  <c r="S406" i="4" s="1"/>
  <c r="C407" i="4"/>
  <c r="M407" i="4"/>
  <c r="P407" i="4"/>
  <c r="S407" i="4" s="1"/>
  <c r="C408" i="4"/>
  <c r="M408" i="4"/>
  <c r="P408" i="4"/>
  <c r="S408" i="4" s="1"/>
  <c r="C409" i="4"/>
  <c r="M409" i="4"/>
  <c r="P409" i="4"/>
  <c r="S409" i="4" s="1"/>
  <c r="C404" i="4"/>
  <c r="M404" i="4"/>
  <c r="P404" i="4"/>
  <c r="S404" i="4" s="1"/>
  <c r="C405" i="4"/>
  <c r="M405" i="4"/>
  <c r="P405" i="4"/>
  <c r="S405" i="4" s="1"/>
  <c r="P982" i="3"/>
  <c r="S982" i="3" s="1"/>
  <c r="C982" i="3"/>
  <c r="P976" i="3"/>
  <c r="S976" i="3" s="1"/>
  <c r="M976" i="3"/>
  <c r="C976" i="3"/>
  <c r="Q975" i="3"/>
  <c r="M972" i="3"/>
  <c r="M973" i="3"/>
  <c r="M974" i="3"/>
  <c r="T1015" i="3" l="1"/>
  <c r="T1007" i="3"/>
  <c r="T993" i="3"/>
  <c r="Q968" i="3"/>
  <c r="M978" i="3"/>
  <c r="AG985" i="3"/>
  <c r="P984" i="3"/>
  <c r="S984" i="3" s="1"/>
  <c r="C984" i="3"/>
  <c r="P978" i="3"/>
  <c r="S978" i="3" s="1"/>
  <c r="C978" i="3"/>
  <c r="P979" i="3"/>
  <c r="S979" i="3" s="1"/>
  <c r="M979" i="3"/>
  <c r="C979" i="3"/>
  <c r="P980" i="3"/>
  <c r="S980" i="3" s="1"/>
  <c r="M980" i="3"/>
  <c r="C980" i="3"/>
  <c r="P981" i="3"/>
  <c r="S981" i="3" s="1"/>
  <c r="C981" i="3"/>
  <c r="P977" i="3"/>
  <c r="S977" i="3" s="1"/>
  <c r="M977" i="3"/>
  <c r="C977" i="3"/>
  <c r="P983" i="3"/>
  <c r="S983" i="3" s="1"/>
  <c r="C983" i="3"/>
  <c r="P972" i="3"/>
  <c r="S972" i="3" s="1"/>
  <c r="C972" i="3"/>
  <c r="Q960" i="3"/>
  <c r="Q953" i="3"/>
  <c r="AG975" i="3"/>
  <c r="P973" i="3"/>
  <c r="S973" i="3" s="1"/>
  <c r="C973" i="3"/>
  <c r="P969" i="3"/>
  <c r="S969" i="3" s="1"/>
  <c r="M969" i="3"/>
  <c r="C969" i="3"/>
  <c r="P974" i="3"/>
  <c r="S974" i="3" s="1"/>
  <c r="C974" i="3"/>
  <c r="P970" i="3"/>
  <c r="S970" i="3" s="1"/>
  <c r="M970" i="3"/>
  <c r="C970" i="3"/>
  <c r="P971" i="3"/>
  <c r="S971" i="3" s="1"/>
  <c r="M971" i="3"/>
  <c r="C971" i="3"/>
  <c r="P967" i="3"/>
  <c r="S967" i="3" s="1"/>
  <c r="M967" i="3"/>
  <c r="C967" i="3"/>
  <c r="P961" i="3"/>
  <c r="S961" i="3" s="1"/>
  <c r="M961" i="3"/>
  <c r="C961" i="3"/>
  <c r="M962" i="3"/>
  <c r="M964" i="3"/>
  <c r="M966" i="3"/>
  <c r="P966" i="3"/>
  <c r="S966" i="3" s="1"/>
  <c r="C966" i="3"/>
  <c r="P962" i="3"/>
  <c r="S962" i="3" s="1"/>
  <c r="C962" i="3"/>
  <c r="C403" i="4"/>
  <c r="M403" i="4"/>
  <c r="P403" i="4"/>
  <c r="S403" i="4" s="1"/>
  <c r="T985" i="3" l="1"/>
  <c r="T975" i="3"/>
  <c r="M963" i="3"/>
  <c r="C400" i="4"/>
  <c r="M400" i="4"/>
  <c r="P400" i="4"/>
  <c r="S400" i="4" s="1"/>
  <c r="C401" i="4"/>
  <c r="M401" i="4"/>
  <c r="P401" i="4"/>
  <c r="S401" i="4" s="1"/>
  <c r="C402" i="4"/>
  <c r="M402" i="4"/>
  <c r="P402" i="4"/>
  <c r="S402" i="4" s="1"/>
  <c r="C395" i="4"/>
  <c r="M395" i="4"/>
  <c r="P395" i="4"/>
  <c r="S395" i="4" s="1"/>
  <c r="C396" i="4"/>
  <c r="M396" i="4"/>
  <c r="P396" i="4"/>
  <c r="S396" i="4" s="1"/>
  <c r="C397" i="4"/>
  <c r="M397" i="4"/>
  <c r="P397" i="4"/>
  <c r="S397" i="4" s="1"/>
  <c r="C398" i="4"/>
  <c r="M398" i="4"/>
  <c r="P398" i="4"/>
  <c r="S398" i="4" s="1"/>
  <c r="C399" i="4"/>
  <c r="M399" i="4"/>
  <c r="P399" i="4"/>
  <c r="S399" i="4" s="1"/>
  <c r="C393" i="4"/>
  <c r="M393" i="4"/>
  <c r="P393" i="4"/>
  <c r="S393" i="4" s="1"/>
  <c r="C394" i="4"/>
  <c r="M394" i="4"/>
  <c r="P394" i="4"/>
  <c r="S394" i="4" s="1"/>
  <c r="AG968" i="3" l="1"/>
  <c r="P963" i="3"/>
  <c r="S963" i="3" s="1"/>
  <c r="C963" i="3"/>
  <c r="P965" i="3"/>
  <c r="S965" i="3" s="1"/>
  <c r="M965" i="3"/>
  <c r="C965" i="3"/>
  <c r="M955" i="3"/>
  <c r="M954" i="3"/>
  <c r="M958" i="3"/>
  <c r="P955" i="3"/>
  <c r="S955" i="3" s="1"/>
  <c r="C955" i="3"/>
  <c r="AG960" i="3"/>
  <c r="P958" i="3"/>
  <c r="S958" i="3" s="1"/>
  <c r="C958" i="3"/>
  <c r="P954" i="3"/>
  <c r="S954" i="3" s="1"/>
  <c r="C954" i="3"/>
  <c r="P959" i="3"/>
  <c r="S959" i="3" s="1"/>
  <c r="M959" i="3"/>
  <c r="C959" i="3"/>
  <c r="P956" i="3"/>
  <c r="S956" i="3" s="1"/>
  <c r="M956" i="3"/>
  <c r="C956" i="3"/>
  <c r="P964" i="3"/>
  <c r="S964" i="3" s="1"/>
  <c r="C964" i="3"/>
  <c r="P957" i="3"/>
  <c r="S957" i="3" s="1"/>
  <c r="M957" i="3"/>
  <c r="C957" i="3"/>
  <c r="Q944" i="3"/>
  <c r="M941" i="3"/>
  <c r="M939" i="3"/>
  <c r="M940" i="3"/>
  <c r="M942" i="3"/>
  <c r="M938" i="3"/>
  <c r="AG953" i="3"/>
  <c r="P950" i="3"/>
  <c r="S950" i="3" s="1"/>
  <c r="M950" i="3"/>
  <c r="C950" i="3"/>
  <c r="P949" i="3"/>
  <c r="S949" i="3" s="1"/>
  <c r="M949" i="3"/>
  <c r="C949" i="3"/>
  <c r="P947" i="3"/>
  <c r="S947" i="3" s="1"/>
  <c r="M947" i="3"/>
  <c r="C947" i="3"/>
  <c r="P948" i="3"/>
  <c r="S948" i="3" s="1"/>
  <c r="M948" i="3"/>
  <c r="C948" i="3"/>
  <c r="P945" i="3"/>
  <c r="S945" i="3" s="1"/>
  <c r="M945" i="3"/>
  <c r="C945" i="3"/>
  <c r="P946" i="3"/>
  <c r="S946" i="3" s="1"/>
  <c r="M946" i="3"/>
  <c r="C946" i="3"/>
  <c r="P951" i="3"/>
  <c r="S951" i="3" s="1"/>
  <c r="M951" i="3"/>
  <c r="C951" i="3"/>
  <c r="P952" i="3"/>
  <c r="S952" i="3" s="1"/>
  <c r="M952" i="3"/>
  <c r="C952" i="3"/>
  <c r="C383" i="4"/>
  <c r="M383" i="4"/>
  <c r="P383" i="4"/>
  <c r="S383" i="4" s="1"/>
  <c r="C384" i="4"/>
  <c r="M384" i="4"/>
  <c r="P384" i="4"/>
  <c r="S384" i="4" s="1"/>
  <c r="C385" i="4"/>
  <c r="M385" i="4"/>
  <c r="P385" i="4"/>
  <c r="S385" i="4" s="1"/>
  <c r="C386" i="4"/>
  <c r="M386" i="4"/>
  <c r="P386" i="4"/>
  <c r="S386" i="4" s="1"/>
  <c r="C387" i="4"/>
  <c r="M387" i="4"/>
  <c r="P387" i="4"/>
  <c r="S387" i="4" s="1"/>
  <c r="C388" i="4"/>
  <c r="M388" i="4"/>
  <c r="P388" i="4"/>
  <c r="S388" i="4" s="1"/>
  <c r="C389" i="4"/>
  <c r="M389" i="4"/>
  <c r="P389" i="4"/>
  <c r="S389" i="4" s="1"/>
  <c r="C390" i="4"/>
  <c r="M390" i="4"/>
  <c r="P390" i="4"/>
  <c r="S390" i="4" s="1"/>
  <c r="C391" i="4"/>
  <c r="M391" i="4"/>
  <c r="P391" i="4"/>
  <c r="S391" i="4" s="1"/>
  <c r="C392" i="4"/>
  <c r="M392" i="4"/>
  <c r="P392" i="4"/>
  <c r="S392" i="4" s="1"/>
  <c r="C380" i="4"/>
  <c r="M380" i="4"/>
  <c r="P380" i="4"/>
  <c r="S380" i="4" s="1"/>
  <c r="C381" i="4"/>
  <c r="M381" i="4"/>
  <c r="P381" i="4"/>
  <c r="S381" i="4" s="1"/>
  <c r="C382" i="4"/>
  <c r="M382" i="4"/>
  <c r="P382" i="4"/>
  <c r="S382" i="4" s="1"/>
  <c r="C377" i="4"/>
  <c r="M377" i="4"/>
  <c r="P377" i="4"/>
  <c r="S377" i="4" s="1"/>
  <c r="C378" i="4"/>
  <c r="M378" i="4"/>
  <c r="P378" i="4"/>
  <c r="S378" i="4" s="1"/>
  <c r="C379" i="4"/>
  <c r="M379" i="4"/>
  <c r="P379" i="4"/>
  <c r="S379" i="4" s="1"/>
  <c r="T968" i="3" l="1"/>
  <c r="T960" i="3"/>
  <c r="T953" i="3"/>
  <c r="P942" i="3"/>
  <c r="S942" i="3" s="1"/>
  <c r="C942" i="3"/>
  <c r="P941" i="3"/>
  <c r="S941" i="3" s="1"/>
  <c r="C941" i="3"/>
  <c r="AG944" i="3"/>
  <c r="P938" i="3"/>
  <c r="S938" i="3" s="1"/>
  <c r="C938" i="3"/>
  <c r="P940" i="3"/>
  <c r="S940" i="3" s="1"/>
  <c r="C940" i="3"/>
  <c r="P939" i="3"/>
  <c r="S939" i="3" s="1"/>
  <c r="C939" i="3"/>
  <c r="P943" i="3"/>
  <c r="S943" i="3" s="1"/>
  <c r="M943" i="3"/>
  <c r="C943" i="3"/>
  <c r="Q937" i="3"/>
  <c r="AG937" i="3"/>
  <c r="P935" i="3"/>
  <c r="S935" i="3" s="1"/>
  <c r="M935" i="3"/>
  <c r="C935" i="3"/>
  <c r="P934" i="3"/>
  <c r="S934" i="3" s="1"/>
  <c r="M934" i="3"/>
  <c r="C934" i="3"/>
  <c r="P933" i="3"/>
  <c r="S933" i="3" s="1"/>
  <c r="M933" i="3"/>
  <c r="C933" i="3"/>
  <c r="P932" i="3"/>
  <c r="S932" i="3" s="1"/>
  <c r="M932" i="3"/>
  <c r="C932" i="3"/>
  <c r="P931" i="3"/>
  <c r="S931" i="3" s="1"/>
  <c r="M931" i="3"/>
  <c r="C931" i="3"/>
  <c r="P927" i="3"/>
  <c r="S927" i="3" s="1"/>
  <c r="M927" i="3"/>
  <c r="C927" i="3"/>
  <c r="P930" i="3"/>
  <c r="S930" i="3" s="1"/>
  <c r="M930" i="3"/>
  <c r="C930" i="3"/>
  <c r="P929" i="3"/>
  <c r="S929" i="3" s="1"/>
  <c r="M929" i="3"/>
  <c r="C929" i="3"/>
  <c r="P928" i="3"/>
  <c r="S928" i="3" s="1"/>
  <c r="M928" i="3"/>
  <c r="C928" i="3"/>
  <c r="P926" i="3"/>
  <c r="S926" i="3" s="1"/>
  <c r="M926" i="3"/>
  <c r="C926" i="3"/>
  <c r="P925" i="3"/>
  <c r="S925" i="3" s="1"/>
  <c r="M925" i="3"/>
  <c r="C925" i="3"/>
  <c r="P936" i="3"/>
  <c r="S936" i="3" s="1"/>
  <c r="M936" i="3"/>
  <c r="C936" i="3"/>
  <c r="Q924" i="3"/>
  <c r="M921" i="3"/>
  <c r="M922" i="3"/>
  <c r="M923" i="3"/>
  <c r="P94" i="2"/>
  <c r="S94" i="2" s="1"/>
  <c r="M94" i="2"/>
  <c r="P69" i="2"/>
  <c r="S69" i="2" s="1"/>
  <c r="M69" i="2"/>
  <c r="P109" i="2"/>
  <c r="S109" i="2" s="1"/>
  <c r="M109" i="2"/>
  <c r="Q913" i="3"/>
  <c r="Q906" i="3"/>
  <c r="Q900" i="3"/>
  <c r="P923" i="3"/>
  <c r="S923" i="3" s="1"/>
  <c r="C923" i="3"/>
  <c r="AG924" i="3"/>
  <c r="P919" i="3"/>
  <c r="S919" i="3" s="1"/>
  <c r="M919" i="3"/>
  <c r="C919" i="3"/>
  <c r="P918" i="3"/>
  <c r="S918" i="3" s="1"/>
  <c r="M918" i="3"/>
  <c r="C918" i="3"/>
  <c r="P916" i="3"/>
  <c r="S916" i="3" s="1"/>
  <c r="M916" i="3"/>
  <c r="C916" i="3"/>
  <c r="P914" i="3"/>
  <c r="S914" i="3" s="1"/>
  <c r="M914" i="3"/>
  <c r="C914" i="3"/>
  <c r="P921" i="3"/>
  <c r="S921" i="3" s="1"/>
  <c r="C921" i="3"/>
  <c r="P920" i="3"/>
  <c r="S920" i="3" s="1"/>
  <c r="M920" i="3"/>
  <c r="C920" i="3"/>
  <c r="P917" i="3"/>
  <c r="S917" i="3" s="1"/>
  <c r="M917" i="3"/>
  <c r="C917" i="3"/>
  <c r="P915" i="3"/>
  <c r="S915" i="3" s="1"/>
  <c r="M915" i="3"/>
  <c r="C915" i="3"/>
  <c r="P922" i="3"/>
  <c r="S922" i="3" s="1"/>
  <c r="C922" i="3"/>
  <c r="C373" i="4"/>
  <c r="M373" i="4"/>
  <c r="P373" i="4"/>
  <c r="S373" i="4" s="1"/>
  <c r="C374" i="4"/>
  <c r="M374" i="4"/>
  <c r="P374" i="4"/>
  <c r="S374" i="4" s="1"/>
  <c r="C375" i="4"/>
  <c r="M375" i="4"/>
  <c r="P375" i="4"/>
  <c r="S375" i="4" s="1"/>
  <c r="C376" i="4"/>
  <c r="M376" i="4"/>
  <c r="P376" i="4"/>
  <c r="S376" i="4" s="1"/>
  <c r="C369" i="4"/>
  <c r="M369" i="4"/>
  <c r="P369" i="4"/>
  <c r="S369" i="4" s="1"/>
  <c r="C370" i="4"/>
  <c r="M370" i="4"/>
  <c r="P370" i="4"/>
  <c r="S370" i="4" s="1"/>
  <c r="C371" i="4"/>
  <c r="M371" i="4"/>
  <c r="P371" i="4"/>
  <c r="S371" i="4" s="1"/>
  <c r="C372" i="4"/>
  <c r="M372" i="4"/>
  <c r="P372" i="4"/>
  <c r="S372" i="4" s="1"/>
  <c r="C366" i="4"/>
  <c r="M366" i="4"/>
  <c r="P366" i="4"/>
  <c r="S366" i="4" s="1"/>
  <c r="C367" i="4"/>
  <c r="M367" i="4"/>
  <c r="P367" i="4"/>
  <c r="S367" i="4" s="1"/>
  <c r="C368" i="4"/>
  <c r="M368" i="4"/>
  <c r="P368" i="4"/>
  <c r="S368" i="4" s="1"/>
  <c r="C365" i="4"/>
  <c r="M365" i="4"/>
  <c r="P365" i="4"/>
  <c r="S365" i="4" s="1"/>
  <c r="T944" i="3" l="1"/>
  <c r="T937" i="3"/>
  <c r="T924" i="3"/>
  <c r="P108" i="2"/>
  <c r="S108" i="2" s="1"/>
  <c r="M108" i="2"/>
  <c r="P93" i="2"/>
  <c r="S93" i="2" s="1"/>
  <c r="M93" i="2"/>
  <c r="P908" i="3"/>
  <c r="S908" i="3" s="1"/>
  <c r="M908" i="3"/>
  <c r="C908" i="3"/>
  <c r="AG913" i="3"/>
  <c r="P910" i="3"/>
  <c r="S910" i="3" s="1"/>
  <c r="M910" i="3"/>
  <c r="C910" i="3"/>
  <c r="P909" i="3"/>
  <c r="S909" i="3" s="1"/>
  <c r="M909" i="3"/>
  <c r="C909" i="3"/>
  <c r="P907" i="3"/>
  <c r="S907" i="3" s="1"/>
  <c r="M907" i="3"/>
  <c r="C907" i="3"/>
  <c r="P912" i="3"/>
  <c r="S912" i="3" s="1"/>
  <c r="M912" i="3"/>
  <c r="C912" i="3"/>
  <c r="P911" i="3"/>
  <c r="S911" i="3" s="1"/>
  <c r="M911" i="3"/>
  <c r="C911" i="3"/>
  <c r="Q890" i="3"/>
  <c r="Q879" i="3"/>
  <c r="T879" i="3"/>
  <c r="P878" i="3"/>
  <c r="S878" i="3" s="1"/>
  <c r="M878" i="3"/>
  <c r="C878" i="3"/>
  <c r="M892" i="3"/>
  <c r="M899" i="3"/>
  <c r="M897" i="3"/>
  <c r="M893" i="3"/>
  <c r="P891" i="3"/>
  <c r="S891" i="3" s="1"/>
  <c r="M891" i="3"/>
  <c r="C891" i="3"/>
  <c r="P893" i="3"/>
  <c r="S893" i="3" s="1"/>
  <c r="C893" i="3"/>
  <c r="P892" i="3"/>
  <c r="S892" i="3" s="1"/>
  <c r="C892" i="3"/>
  <c r="AG906" i="3"/>
  <c r="P905" i="3"/>
  <c r="S905" i="3" s="1"/>
  <c r="M905" i="3"/>
  <c r="C905" i="3"/>
  <c r="P901" i="3"/>
  <c r="S901" i="3" s="1"/>
  <c r="M901" i="3"/>
  <c r="C901" i="3"/>
  <c r="P904" i="3"/>
  <c r="S904" i="3" s="1"/>
  <c r="M904" i="3"/>
  <c r="C904" i="3"/>
  <c r="P903" i="3"/>
  <c r="S903" i="3" s="1"/>
  <c r="M903" i="3"/>
  <c r="C903" i="3"/>
  <c r="P902" i="3"/>
  <c r="S902" i="3" s="1"/>
  <c r="M902" i="3"/>
  <c r="C902" i="3"/>
  <c r="T913" i="3" l="1"/>
  <c r="T906" i="3"/>
  <c r="Q877" i="3"/>
  <c r="Q869" i="3"/>
  <c r="Q857" i="3"/>
  <c r="Q853" i="3"/>
  <c r="AG900" i="3"/>
  <c r="P897" i="3"/>
  <c r="S897" i="3" s="1"/>
  <c r="C897" i="3"/>
  <c r="P899" i="3"/>
  <c r="S899" i="3" s="1"/>
  <c r="C899" i="3"/>
  <c r="P896" i="3"/>
  <c r="S896" i="3" s="1"/>
  <c r="M896" i="3"/>
  <c r="C896" i="3"/>
  <c r="P894" i="3"/>
  <c r="S894" i="3" s="1"/>
  <c r="M894" i="3"/>
  <c r="C894" i="3"/>
  <c r="P898" i="3"/>
  <c r="S898" i="3" s="1"/>
  <c r="M898" i="3"/>
  <c r="C898" i="3"/>
  <c r="P895" i="3"/>
  <c r="S895" i="3" s="1"/>
  <c r="M895" i="3"/>
  <c r="C895" i="3"/>
  <c r="C362" i="4"/>
  <c r="M362" i="4"/>
  <c r="P362" i="4"/>
  <c r="S362" i="4" s="1"/>
  <c r="C363" i="4"/>
  <c r="M363" i="4"/>
  <c r="P363" i="4"/>
  <c r="S363" i="4" s="1"/>
  <c r="C364" i="4"/>
  <c r="M364" i="4"/>
  <c r="P364" i="4"/>
  <c r="S364" i="4" s="1"/>
  <c r="C358" i="4"/>
  <c r="M358" i="4"/>
  <c r="P358" i="4"/>
  <c r="S358" i="4" s="1"/>
  <c r="C359" i="4"/>
  <c r="M359" i="4"/>
  <c r="P359" i="4"/>
  <c r="S359" i="4" s="1"/>
  <c r="C360" i="4"/>
  <c r="M360" i="4"/>
  <c r="P360" i="4"/>
  <c r="S360" i="4" s="1"/>
  <c r="C361" i="4"/>
  <c r="M361" i="4"/>
  <c r="P361" i="4"/>
  <c r="S361" i="4" s="1"/>
  <c r="C357" i="4"/>
  <c r="M357" i="4"/>
  <c r="P357" i="4"/>
  <c r="S357" i="4" s="1"/>
  <c r="T900" i="3" l="1"/>
  <c r="Q863" i="3"/>
  <c r="AG890" i="3"/>
  <c r="P880" i="3"/>
  <c r="S880" i="3" s="1"/>
  <c r="M880" i="3"/>
  <c r="C880" i="3"/>
  <c r="M882" i="3"/>
  <c r="M886" i="3"/>
  <c r="M881" i="3"/>
  <c r="P881" i="3"/>
  <c r="S881" i="3" s="1"/>
  <c r="C881" i="3"/>
  <c r="P886" i="3"/>
  <c r="S886" i="3" s="1"/>
  <c r="C886" i="3"/>
  <c r="P882" i="3"/>
  <c r="S882" i="3" s="1"/>
  <c r="C882" i="3"/>
  <c r="P887" i="3"/>
  <c r="S887" i="3" s="1"/>
  <c r="M887" i="3"/>
  <c r="C887" i="3"/>
  <c r="P889" i="3"/>
  <c r="S889" i="3" s="1"/>
  <c r="M889" i="3"/>
  <c r="C889" i="3"/>
  <c r="P883" i="3"/>
  <c r="S883" i="3" s="1"/>
  <c r="M883" i="3"/>
  <c r="C883" i="3"/>
  <c r="P888" i="3"/>
  <c r="S888" i="3" s="1"/>
  <c r="M888" i="3"/>
  <c r="C888" i="3"/>
  <c r="P885" i="3"/>
  <c r="S885" i="3" s="1"/>
  <c r="M885" i="3"/>
  <c r="C885" i="3"/>
  <c r="AG879" i="3"/>
  <c r="P884" i="3"/>
  <c r="S884" i="3" s="1"/>
  <c r="M884" i="3"/>
  <c r="C884" i="3"/>
  <c r="P860" i="3"/>
  <c r="S860" i="3" s="1"/>
  <c r="M860" i="3"/>
  <c r="C860" i="3"/>
  <c r="C351" i="4"/>
  <c r="M351" i="4"/>
  <c r="P351" i="4"/>
  <c r="S351" i="4" s="1"/>
  <c r="C352" i="4"/>
  <c r="M352" i="4"/>
  <c r="P352" i="4"/>
  <c r="S352" i="4" s="1"/>
  <c r="C353" i="4"/>
  <c r="M353" i="4"/>
  <c r="P353" i="4"/>
  <c r="S353" i="4" s="1"/>
  <c r="C354" i="4"/>
  <c r="M354" i="4"/>
  <c r="P354" i="4"/>
  <c r="S354" i="4" s="1"/>
  <c r="C355" i="4"/>
  <c r="M355" i="4"/>
  <c r="P355" i="4"/>
  <c r="S355" i="4" s="1"/>
  <c r="C356" i="4"/>
  <c r="M356" i="4"/>
  <c r="P356" i="4"/>
  <c r="S356" i="4" s="1"/>
  <c r="C348" i="4"/>
  <c r="M348" i="4"/>
  <c r="P348" i="4"/>
  <c r="S348" i="4" s="1"/>
  <c r="C349" i="4"/>
  <c r="M349" i="4"/>
  <c r="P349" i="4"/>
  <c r="S349" i="4" s="1"/>
  <c r="C350" i="4"/>
  <c r="M350" i="4"/>
  <c r="P350" i="4"/>
  <c r="S350" i="4" s="1"/>
  <c r="C345" i="4"/>
  <c r="M345" i="4"/>
  <c r="P345" i="4"/>
  <c r="S345" i="4" s="1"/>
  <c r="C346" i="4"/>
  <c r="M346" i="4"/>
  <c r="P346" i="4"/>
  <c r="S346" i="4" s="1"/>
  <c r="C347" i="4"/>
  <c r="M347" i="4"/>
  <c r="P347" i="4"/>
  <c r="S347" i="4" s="1"/>
  <c r="C340" i="4"/>
  <c r="M340" i="4"/>
  <c r="P340" i="4"/>
  <c r="S340" i="4" s="1"/>
  <c r="C341" i="4"/>
  <c r="M341" i="4"/>
  <c r="P341" i="4"/>
  <c r="S341" i="4" s="1"/>
  <c r="C342" i="4"/>
  <c r="M342" i="4"/>
  <c r="P342" i="4"/>
  <c r="S342" i="4" s="1"/>
  <c r="C343" i="4"/>
  <c r="M343" i="4"/>
  <c r="P343" i="4"/>
  <c r="S343" i="4" s="1"/>
  <c r="C344" i="4"/>
  <c r="M344" i="4"/>
  <c r="P344" i="4"/>
  <c r="S344" i="4" s="1"/>
  <c r="T890" i="3" l="1"/>
  <c r="Q846" i="3"/>
  <c r="Q841" i="3"/>
  <c r="M871" i="3"/>
  <c r="M874" i="3"/>
  <c r="M875" i="3"/>
  <c r="M873" i="3"/>
  <c r="M870" i="3"/>
  <c r="M872" i="3"/>
  <c r="P858" i="3"/>
  <c r="S858" i="3" s="1"/>
  <c r="M858" i="3"/>
  <c r="C858" i="3"/>
  <c r="P862" i="3"/>
  <c r="S862" i="3" s="1"/>
  <c r="M862" i="3"/>
  <c r="C862" i="3"/>
  <c r="P849" i="3"/>
  <c r="S849" i="3" s="1"/>
  <c r="M849" i="3"/>
  <c r="C849" i="3"/>
  <c r="P871" i="3"/>
  <c r="S871" i="3" s="1"/>
  <c r="C871" i="3"/>
  <c r="P870" i="3"/>
  <c r="S870" i="3" s="1"/>
  <c r="C870" i="3"/>
  <c r="P873" i="3"/>
  <c r="S873" i="3" s="1"/>
  <c r="C873" i="3"/>
  <c r="P855" i="3"/>
  <c r="S855" i="3" s="1"/>
  <c r="M855" i="3"/>
  <c r="C855" i="3"/>
  <c r="AG877" i="3"/>
  <c r="P872" i="3"/>
  <c r="S872" i="3" s="1"/>
  <c r="C872" i="3"/>
  <c r="P875" i="3"/>
  <c r="S875" i="3" s="1"/>
  <c r="C875" i="3"/>
  <c r="P874" i="3"/>
  <c r="S874" i="3" s="1"/>
  <c r="C874" i="3"/>
  <c r="P876" i="3"/>
  <c r="S876" i="3" s="1"/>
  <c r="M876" i="3"/>
  <c r="C876" i="3"/>
  <c r="AG869" i="3"/>
  <c r="P868" i="3"/>
  <c r="S868" i="3" s="1"/>
  <c r="M868" i="3"/>
  <c r="C868" i="3"/>
  <c r="P867" i="3"/>
  <c r="S867" i="3" s="1"/>
  <c r="M867" i="3"/>
  <c r="C867" i="3"/>
  <c r="P866" i="3"/>
  <c r="S866" i="3" s="1"/>
  <c r="M866" i="3"/>
  <c r="C866" i="3"/>
  <c r="P865" i="3"/>
  <c r="S865" i="3" s="1"/>
  <c r="M865" i="3"/>
  <c r="C865" i="3"/>
  <c r="P864" i="3"/>
  <c r="S864" i="3" s="1"/>
  <c r="M864" i="3"/>
  <c r="C864" i="3"/>
  <c r="AG863" i="3"/>
  <c r="P859" i="3"/>
  <c r="S859" i="3" s="1"/>
  <c r="M859" i="3"/>
  <c r="C859" i="3"/>
  <c r="P861" i="3"/>
  <c r="S861" i="3" s="1"/>
  <c r="M861" i="3"/>
  <c r="C861" i="3"/>
  <c r="AG857" i="3"/>
  <c r="P854" i="3"/>
  <c r="S854" i="3" s="1"/>
  <c r="M854" i="3"/>
  <c r="C854" i="3"/>
  <c r="P856" i="3"/>
  <c r="S856" i="3" s="1"/>
  <c r="M856" i="3"/>
  <c r="C856" i="3"/>
  <c r="AG853" i="3"/>
  <c r="P848" i="3"/>
  <c r="S848" i="3" s="1"/>
  <c r="M848" i="3"/>
  <c r="C848" i="3"/>
  <c r="P851" i="3"/>
  <c r="S851" i="3" s="1"/>
  <c r="M851" i="3"/>
  <c r="C851" i="3"/>
  <c r="P850" i="3"/>
  <c r="S850" i="3" s="1"/>
  <c r="M850" i="3"/>
  <c r="C850" i="3"/>
  <c r="P852" i="3"/>
  <c r="S852" i="3" s="1"/>
  <c r="M852" i="3"/>
  <c r="C852" i="3"/>
  <c r="P847" i="3"/>
  <c r="S847" i="3" s="1"/>
  <c r="M847" i="3"/>
  <c r="C847" i="3"/>
  <c r="AG846" i="3"/>
  <c r="P842" i="3"/>
  <c r="S842" i="3" s="1"/>
  <c r="M842" i="3"/>
  <c r="C842" i="3"/>
  <c r="P844" i="3"/>
  <c r="S844" i="3" s="1"/>
  <c r="M844" i="3"/>
  <c r="C844" i="3"/>
  <c r="P845" i="3"/>
  <c r="S845" i="3" s="1"/>
  <c r="M845" i="3"/>
  <c r="C845" i="3"/>
  <c r="P843" i="3"/>
  <c r="S843" i="3" s="1"/>
  <c r="M843" i="3"/>
  <c r="C843" i="3"/>
  <c r="M837" i="3"/>
  <c r="M839" i="3"/>
  <c r="M840" i="3"/>
  <c r="AG841" i="3"/>
  <c r="P840" i="3"/>
  <c r="S840" i="3" s="1"/>
  <c r="C840" i="3"/>
  <c r="P839" i="3"/>
  <c r="S839" i="3" s="1"/>
  <c r="C839" i="3"/>
  <c r="P837" i="3"/>
  <c r="S837" i="3" s="1"/>
  <c r="C837" i="3"/>
  <c r="P838" i="3"/>
  <c r="S838" i="3" s="1"/>
  <c r="M838" i="3"/>
  <c r="C838" i="3"/>
  <c r="M88" i="2"/>
  <c r="M87" i="2"/>
  <c r="M66" i="2"/>
  <c r="M67" i="2"/>
  <c r="M72" i="2"/>
  <c r="M89" i="2"/>
  <c r="M91" i="2"/>
  <c r="M85" i="2"/>
  <c r="M90" i="2"/>
  <c r="M92" i="2"/>
  <c r="M73" i="2"/>
  <c r="M68" i="2"/>
  <c r="M75" i="2"/>
  <c r="M74" i="2"/>
  <c r="M81" i="2"/>
  <c r="M823" i="3"/>
  <c r="M824" i="3"/>
  <c r="M825" i="3"/>
  <c r="P824" i="3"/>
  <c r="S824" i="3" s="1"/>
  <c r="C824" i="3"/>
  <c r="M834" i="3"/>
  <c r="M828" i="3"/>
  <c r="M831" i="3"/>
  <c r="M830" i="3"/>
  <c r="M829" i="3"/>
  <c r="P831" i="3"/>
  <c r="S831" i="3" s="1"/>
  <c r="C831" i="3"/>
  <c r="C828" i="3"/>
  <c r="P828" i="3"/>
  <c r="S828" i="3" s="1"/>
  <c r="C338" i="4"/>
  <c r="M338" i="4"/>
  <c r="P338" i="4"/>
  <c r="S338" i="4" s="1"/>
  <c r="C339" i="4"/>
  <c r="M339" i="4"/>
  <c r="P339" i="4"/>
  <c r="S339" i="4" s="1"/>
  <c r="C337" i="4"/>
  <c r="M337" i="4"/>
  <c r="P337" i="4"/>
  <c r="S337" i="4" s="1"/>
  <c r="C336" i="4"/>
  <c r="M336" i="4"/>
  <c r="P336" i="4"/>
  <c r="S336" i="4" s="1"/>
  <c r="C333" i="4"/>
  <c r="M333" i="4"/>
  <c r="P333" i="4"/>
  <c r="S333" i="4" s="1"/>
  <c r="C334" i="4"/>
  <c r="M334" i="4"/>
  <c r="P334" i="4"/>
  <c r="S334" i="4" s="1"/>
  <c r="C335" i="4"/>
  <c r="M335" i="4"/>
  <c r="P335" i="4"/>
  <c r="S335" i="4" s="1"/>
  <c r="C330" i="4"/>
  <c r="M330" i="4"/>
  <c r="P330" i="4"/>
  <c r="S330" i="4" s="1"/>
  <c r="C331" i="4"/>
  <c r="M331" i="4"/>
  <c r="P331" i="4"/>
  <c r="S331" i="4" s="1"/>
  <c r="C332" i="4"/>
  <c r="M332" i="4"/>
  <c r="P332" i="4"/>
  <c r="S332" i="4" s="1"/>
  <c r="C329" i="4"/>
  <c r="M329" i="4"/>
  <c r="P329" i="4"/>
  <c r="S329" i="4" s="1"/>
  <c r="C328" i="4"/>
  <c r="M328" i="4"/>
  <c r="P328" i="4"/>
  <c r="S328" i="4" s="1"/>
  <c r="T857" i="3" l="1"/>
  <c r="T877" i="3"/>
  <c r="T869" i="3"/>
  <c r="T853" i="3"/>
  <c r="T863" i="3"/>
  <c r="T846" i="3"/>
  <c r="T841" i="3"/>
  <c r="M817" i="3"/>
  <c r="M819" i="3"/>
  <c r="M818" i="3"/>
  <c r="M822" i="3"/>
  <c r="M820" i="3"/>
  <c r="M821" i="3"/>
  <c r="P111" i="2"/>
  <c r="S111" i="2" s="1"/>
  <c r="P81" i="2"/>
  <c r="S81" i="2" s="1"/>
  <c r="P74" i="2"/>
  <c r="S74" i="2" s="1"/>
  <c r="P75" i="2"/>
  <c r="S75" i="2" s="1"/>
  <c r="Q836" i="3"/>
  <c r="P829" i="3"/>
  <c r="S829" i="3" s="1"/>
  <c r="C829" i="3"/>
  <c r="AG836" i="3"/>
  <c r="P830" i="3"/>
  <c r="S830" i="3" s="1"/>
  <c r="C830" i="3"/>
  <c r="P834" i="3"/>
  <c r="S834" i="3" s="1"/>
  <c r="C834" i="3"/>
  <c r="P833" i="3"/>
  <c r="S833" i="3" s="1"/>
  <c r="M833" i="3"/>
  <c r="C833" i="3"/>
  <c r="P835" i="3"/>
  <c r="S835" i="3" s="1"/>
  <c r="M835" i="3"/>
  <c r="C835" i="3"/>
  <c r="P832" i="3"/>
  <c r="S832" i="3" s="1"/>
  <c r="M832" i="3"/>
  <c r="C832" i="3"/>
  <c r="P827" i="3"/>
  <c r="S827" i="3" s="1"/>
  <c r="M827" i="3"/>
  <c r="C827" i="3"/>
  <c r="P68" i="2"/>
  <c r="S68" i="2" s="1"/>
  <c r="P73" i="2"/>
  <c r="S73" i="2" s="1"/>
  <c r="P92" i="2"/>
  <c r="S92" i="2" s="1"/>
  <c r="P90" i="2"/>
  <c r="S90" i="2" s="1"/>
  <c r="P85" i="2"/>
  <c r="S85" i="2" s="1"/>
  <c r="P91" i="2"/>
  <c r="S91" i="2" s="1"/>
  <c r="P80" i="2"/>
  <c r="S80" i="2" s="1"/>
  <c r="P110" i="2"/>
  <c r="S110" i="2" s="1"/>
  <c r="P89" i="2"/>
  <c r="S89" i="2" s="1"/>
  <c r="P72" i="2"/>
  <c r="S72" i="2" s="1"/>
  <c r="P78" i="2"/>
  <c r="S78" i="2" s="1"/>
  <c r="P67" i="2"/>
  <c r="S67" i="2" s="1"/>
  <c r="P817" i="3"/>
  <c r="S817" i="3" s="1"/>
  <c r="C817" i="3"/>
  <c r="P66" i="2"/>
  <c r="P87" i="2"/>
  <c r="S87" i="2" s="1"/>
  <c r="P88" i="2"/>
  <c r="S88" i="2" s="1"/>
  <c r="Q826" i="3"/>
  <c r="AG826" i="3"/>
  <c r="P821" i="3"/>
  <c r="S821" i="3" s="1"/>
  <c r="C821" i="3"/>
  <c r="P820" i="3"/>
  <c r="S820" i="3" s="1"/>
  <c r="C820" i="3"/>
  <c r="P822" i="3"/>
  <c r="S822" i="3" s="1"/>
  <c r="C822" i="3"/>
  <c r="P818" i="3"/>
  <c r="S818" i="3" s="1"/>
  <c r="C818" i="3"/>
  <c r="P825" i="3"/>
  <c r="S825" i="3" s="1"/>
  <c r="C825" i="3"/>
  <c r="P823" i="3"/>
  <c r="S823" i="3" s="1"/>
  <c r="C823" i="3"/>
  <c r="P819" i="3"/>
  <c r="S819" i="3" s="1"/>
  <c r="C819" i="3"/>
  <c r="Q816" i="3"/>
  <c r="AG816" i="3"/>
  <c r="P812" i="3"/>
  <c r="S812" i="3" s="1"/>
  <c r="M812" i="3"/>
  <c r="C812" i="3"/>
  <c r="P814" i="3"/>
  <c r="S814" i="3" s="1"/>
  <c r="M814" i="3"/>
  <c r="C814" i="3"/>
  <c r="P815" i="3"/>
  <c r="S815" i="3" s="1"/>
  <c r="M815" i="3"/>
  <c r="C815" i="3"/>
  <c r="P809" i="3"/>
  <c r="S809" i="3" s="1"/>
  <c r="M809" i="3"/>
  <c r="C809" i="3"/>
  <c r="P811" i="3"/>
  <c r="S811" i="3" s="1"/>
  <c r="M811" i="3"/>
  <c r="C811" i="3"/>
  <c r="P810" i="3"/>
  <c r="S810" i="3" s="1"/>
  <c r="M810" i="3"/>
  <c r="C810" i="3"/>
  <c r="P813" i="3"/>
  <c r="S813" i="3" s="1"/>
  <c r="M813" i="3"/>
  <c r="C813" i="3"/>
  <c r="C325" i="4"/>
  <c r="M325" i="4"/>
  <c r="P325" i="4"/>
  <c r="S325" i="4" s="1"/>
  <c r="C326" i="4"/>
  <c r="M326" i="4"/>
  <c r="P326" i="4"/>
  <c r="S326" i="4" s="1"/>
  <c r="C327" i="4"/>
  <c r="M327" i="4"/>
  <c r="P327" i="4"/>
  <c r="S327" i="4" s="1"/>
  <c r="C324" i="4"/>
  <c r="M324" i="4"/>
  <c r="P324" i="4"/>
  <c r="S324" i="4" s="1"/>
  <c r="P143" i="2" l="1"/>
  <c r="F189" i="2" s="1"/>
  <c r="S66" i="2"/>
  <c r="S143" i="2" s="1"/>
  <c r="T836" i="3"/>
  <c r="T826" i="3"/>
  <c r="T816" i="3"/>
  <c r="Q808" i="3"/>
  <c r="AG808" i="3"/>
  <c r="P807" i="3"/>
  <c r="S807" i="3" s="1"/>
  <c r="M807" i="3"/>
  <c r="C807" i="3"/>
  <c r="P806" i="3"/>
  <c r="S806" i="3" s="1"/>
  <c r="M806" i="3"/>
  <c r="C806" i="3"/>
  <c r="T808" i="3" l="1"/>
  <c r="Q805" i="3"/>
  <c r="M799" i="3"/>
  <c r="M800" i="3"/>
  <c r="M801" i="3"/>
  <c r="M802" i="3"/>
  <c r="M803" i="3"/>
  <c r="M804" i="3"/>
  <c r="Q796" i="3"/>
  <c r="M792" i="3"/>
  <c r="M793" i="3"/>
  <c r="M794" i="3"/>
  <c r="M795" i="3"/>
  <c r="Q788" i="3"/>
  <c r="Q783" i="3"/>
  <c r="M778" i="3"/>
  <c r="M779" i="3"/>
  <c r="C779" i="3"/>
  <c r="P779" i="3"/>
  <c r="S779" i="3" s="1"/>
  <c r="M762" i="3"/>
  <c r="M763" i="3"/>
  <c r="M764" i="3"/>
  <c r="M765" i="3"/>
  <c r="M766" i="3"/>
  <c r="M767" i="3"/>
  <c r="M768" i="3"/>
  <c r="M769" i="3"/>
  <c r="M770" i="3"/>
  <c r="P799" i="3"/>
  <c r="S799" i="3" s="1"/>
  <c r="C799" i="3"/>
  <c r="AG805" i="3" l="1"/>
  <c r="P797" i="3"/>
  <c r="S797" i="3" s="1"/>
  <c r="M797" i="3"/>
  <c r="C797" i="3"/>
  <c r="P801" i="3"/>
  <c r="S801" i="3" s="1"/>
  <c r="C801" i="3"/>
  <c r="P804" i="3"/>
  <c r="S804" i="3" s="1"/>
  <c r="C804" i="3"/>
  <c r="P800" i="3"/>
  <c r="S800" i="3" s="1"/>
  <c r="C800" i="3"/>
  <c r="P802" i="3"/>
  <c r="S802" i="3" s="1"/>
  <c r="C802" i="3"/>
  <c r="P803" i="3"/>
  <c r="S803" i="3" s="1"/>
  <c r="C803" i="3"/>
  <c r="P798" i="3"/>
  <c r="S798" i="3" s="1"/>
  <c r="M798" i="3"/>
  <c r="C798" i="3"/>
  <c r="C322" i="4"/>
  <c r="M322" i="4"/>
  <c r="P322" i="4"/>
  <c r="S322" i="4" s="1"/>
  <c r="C323" i="4"/>
  <c r="M323" i="4"/>
  <c r="P323" i="4"/>
  <c r="S323" i="4" s="1"/>
  <c r="C319" i="4"/>
  <c r="M319" i="4"/>
  <c r="P319" i="4"/>
  <c r="S319" i="4" s="1"/>
  <c r="C320" i="4"/>
  <c r="M320" i="4"/>
  <c r="P320" i="4"/>
  <c r="S320" i="4" s="1"/>
  <c r="C321" i="4"/>
  <c r="M321" i="4"/>
  <c r="P321" i="4"/>
  <c r="S321" i="4" s="1"/>
  <c r="C318" i="4"/>
  <c r="M318" i="4"/>
  <c r="P318" i="4"/>
  <c r="S318" i="4" s="1"/>
  <c r="P789" i="3"/>
  <c r="S789" i="3" s="1"/>
  <c r="M789" i="3"/>
  <c r="C789" i="3"/>
  <c r="AG796" i="3"/>
  <c r="P795" i="3"/>
  <c r="S795" i="3" s="1"/>
  <c r="C795" i="3"/>
  <c r="P794" i="3"/>
  <c r="S794" i="3" s="1"/>
  <c r="C794" i="3"/>
  <c r="P792" i="3"/>
  <c r="S792" i="3" s="1"/>
  <c r="C792" i="3"/>
  <c r="P790" i="3"/>
  <c r="S790" i="3" s="1"/>
  <c r="M790" i="3"/>
  <c r="C790" i="3"/>
  <c r="P793" i="3"/>
  <c r="S793" i="3" s="1"/>
  <c r="C793" i="3"/>
  <c r="P791" i="3"/>
  <c r="S791" i="3" s="1"/>
  <c r="M791" i="3"/>
  <c r="C791" i="3"/>
  <c r="P787" i="3"/>
  <c r="S787" i="3" s="1"/>
  <c r="M787" i="3"/>
  <c r="C787" i="3"/>
  <c r="AG788" i="3"/>
  <c r="P785" i="3"/>
  <c r="S785" i="3" s="1"/>
  <c r="M785" i="3"/>
  <c r="C785" i="3"/>
  <c r="P784" i="3"/>
  <c r="S784" i="3" s="1"/>
  <c r="M784" i="3"/>
  <c r="C784" i="3"/>
  <c r="P786" i="3"/>
  <c r="S786" i="3" s="1"/>
  <c r="M786" i="3"/>
  <c r="C786" i="3"/>
  <c r="Q771" i="3"/>
  <c r="P770" i="3"/>
  <c r="S770" i="3" s="1"/>
  <c r="C770" i="3"/>
  <c r="P778" i="3"/>
  <c r="S778" i="3" s="1"/>
  <c r="C778" i="3"/>
  <c r="Q777" i="3"/>
  <c r="P776" i="3"/>
  <c r="S776" i="3" s="1"/>
  <c r="M776" i="3"/>
  <c r="C776" i="3"/>
  <c r="AG783" i="3"/>
  <c r="P780" i="3"/>
  <c r="S780" i="3" s="1"/>
  <c r="M780" i="3"/>
  <c r="C780" i="3"/>
  <c r="P782" i="3"/>
  <c r="S782" i="3" s="1"/>
  <c r="M782" i="3"/>
  <c r="C782" i="3"/>
  <c r="P781" i="3"/>
  <c r="S781" i="3" s="1"/>
  <c r="M781" i="3"/>
  <c r="C781" i="3"/>
  <c r="AG777" i="3"/>
  <c r="P775" i="3"/>
  <c r="S775" i="3" s="1"/>
  <c r="M775" i="3"/>
  <c r="C775" i="3"/>
  <c r="P774" i="3"/>
  <c r="S774" i="3" s="1"/>
  <c r="M774" i="3"/>
  <c r="C774" i="3"/>
  <c r="P773" i="3"/>
  <c r="S773" i="3" s="1"/>
  <c r="M773" i="3"/>
  <c r="C773" i="3"/>
  <c r="P772" i="3"/>
  <c r="S772" i="3" s="1"/>
  <c r="M772" i="3"/>
  <c r="C772" i="3"/>
  <c r="C315" i="4"/>
  <c r="M315" i="4"/>
  <c r="P315" i="4"/>
  <c r="S315" i="4" s="1"/>
  <c r="C316" i="4"/>
  <c r="M316" i="4"/>
  <c r="P316" i="4"/>
  <c r="S316" i="4" s="1"/>
  <c r="C317" i="4"/>
  <c r="M317" i="4"/>
  <c r="P317" i="4"/>
  <c r="S317" i="4" s="1"/>
  <c r="C314" i="4"/>
  <c r="M314" i="4"/>
  <c r="P314" i="4"/>
  <c r="S314" i="4" s="1"/>
  <c r="T805" i="3" l="1"/>
  <c r="T796" i="3"/>
  <c r="T788" i="3"/>
  <c r="T783" i="3"/>
  <c r="T777" i="3"/>
  <c r="M758" i="3"/>
  <c r="M761" i="3"/>
  <c r="P758" i="3"/>
  <c r="S758" i="3" s="1"/>
  <c r="C758" i="3"/>
  <c r="M759" i="3"/>
  <c r="M760" i="3"/>
  <c r="M757" i="3"/>
  <c r="AG771" i="3"/>
  <c r="P769" i="3"/>
  <c r="S769" i="3" s="1"/>
  <c r="C769" i="3"/>
  <c r="P768" i="3"/>
  <c r="S768" i="3" s="1"/>
  <c r="C768" i="3"/>
  <c r="P762" i="3"/>
  <c r="S762" i="3" s="1"/>
  <c r="C762" i="3"/>
  <c r="P761" i="3"/>
  <c r="S761" i="3" s="1"/>
  <c r="C761" i="3"/>
  <c r="P767" i="3"/>
  <c r="S767" i="3" s="1"/>
  <c r="C767" i="3"/>
  <c r="P766" i="3"/>
  <c r="S766" i="3" s="1"/>
  <c r="C766" i="3"/>
  <c r="P765" i="3"/>
  <c r="S765" i="3" s="1"/>
  <c r="C765" i="3"/>
  <c r="P764" i="3"/>
  <c r="S764" i="3" s="1"/>
  <c r="C764" i="3"/>
  <c r="P757" i="3"/>
  <c r="S757" i="3" s="1"/>
  <c r="C757" i="3"/>
  <c r="P760" i="3"/>
  <c r="S760" i="3" s="1"/>
  <c r="C760" i="3"/>
  <c r="P759" i="3"/>
  <c r="S759" i="3" s="1"/>
  <c r="C759" i="3"/>
  <c r="P763" i="3"/>
  <c r="S763" i="3" s="1"/>
  <c r="C763" i="3"/>
  <c r="M752" i="3"/>
  <c r="M753" i="3"/>
  <c r="M754" i="3"/>
  <c r="M755" i="3"/>
  <c r="Q756" i="3"/>
  <c r="Q749" i="3"/>
  <c r="M744" i="3"/>
  <c r="M745" i="3"/>
  <c r="M746" i="3"/>
  <c r="M747" i="3"/>
  <c r="M748" i="3"/>
  <c r="C308" i="4"/>
  <c r="M308" i="4"/>
  <c r="P308" i="4"/>
  <c r="S308" i="4" s="1"/>
  <c r="C309" i="4"/>
  <c r="M309" i="4"/>
  <c r="P309" i="4"/>
  <c r="S309" i="4" s="1"/>
  <c r="C310" i="4"/>
  <c r="M310" i="4"/>
  <c r="P310" i="4"/>
  <c r="S310" i="4" s="1"/>
  <c r="C311" i="4"/>
  <c r="M311" i="4"/>
  <c r="P311" i="4"/>
  <c r="S311" i="4" s="1"/>
  <c r="C312" i="4"/>
  <c r="M312" i="4"/>
  <c r="P312" i="4"/>
  <c r="S312" i="4" s="1"/>
  <c r="C313" i="4"/>
  <c r="M313" i="4"/>
  <c r="P313" i="4"/>
  <c r="S313" i="4" s="1"/>
  <c r="C305" i="4"/>
  <c r="M305" i="4"/>
  <c r="P305" i="4"/>
  <c r="S305" i="4" s="1"/>
  <c r="C306" i="4"/>
  <c r="M306" i="4"/>
  <c r="P306" i="4"/>
  <c r="S306" i="4" s="1"/>
  <c r="C307" i="4"/>
  <c r="M307" i="4"/>
  <c r="P307" i="4"/>
  <c r="S307" i="4" s="1"/>
  <c r="C303" i="4"/>
  <c r="M303" i="4"/>
  <c r="P303" i="4"/>
  <c r="S303" i="4" s="1"/>
  <c r="C304" i="4"/>
  <c r="M304" i="4"/>
  <c r="P304" i="4"/>
  <c r="S304" i="4" s="1"/>
  <c r="C299" i="4"/>
  <c r="M299" i="4"/>
  <c r="P299" i="4"/>
  <c r="S299" i="4" s="1"/>
  <c r="C300" i="4"/>
  <c r="M300" i="4"/>
  <c r="P300" i="4"/>
  <c r="S300" i="4" s="1"/>
  <c r="C301" i="4"/>
  <c r="M301" i="4"/>
  <c r="P301" i="4"/>
  <c r="S301" i="4" s="1"/>
  <c r="C302" i="4"/>
  <c r="M302" i="4"/>
  <c r="P302" i="4"/>
  <c r="S302" i="4" s="1"/>
  <c r="T771" i="3" l="1"/>
  <c r="P744" i="3" l="1"/>
  <c r="S744" i="3" s="1"/>
  <c r="C744" i="3"/>
  <c r="AG756" i="3"/>
  <c r="P754" i="3"/>
  <c r="S754" i="3" s="1"/>
  <c r="C754" i="3"/>
  <c r="P750" i="3"/>
  <c r="S750" i="3" s="1"/>
  <c r="M750" i="3"/>
  <c r="C750" i="3"/>
  <c r="P753" i="3"/>
  <c r="S753" i="3" s="1"/>
  <c r="C753" i="3"/>
  <c r="P752" i="3"/>
  <c r="S752" i="3" s="1"/>
  <c r="C752" i="3"/>
  <c r="P755" i="3"/>
  <c r="S755" i="3" s="1"/>
  <c r="C755" i="3"/>
  <c r="P751" i="3"/>
  <c r="S751" i="3" s="1"/>
  <c r="M751" i="3"/>
  <c r="C751" i="3"/>
  <c r="AG749" i="3"/>
  <c r="P747" i="3"/>
  <c r="S747" i="3" s="1"/>
  <c r="C747" i="3"/>
  <c r="P745" i="3"/>
  <c r="S745" i="3" s="1"/>
  <c r="C745" i="3"/>
  <c r="P743" i="3"/>
  <c r="S743" i="3" s="1"/>
  <c r="M743" i="3"/>
  <c r="C743" i="3"/>
  <c r="P748" i="3"/>
  <c r="S748" i="3" s="1"/>
  <c r="C748" i="3"/>
  <c r="P746" i="3"/>
  <c r="S746" i="3" s="1"/>
  <c r="C746" i="3"/>
  <c r="Q723" i="3"/>
  <c r="Q742" i="3"/>
  <c r="Q736" i="3"/>
  <c r="Q727" i="3"/>
  <c r="P726" i="3"/>
  <c r="S726" i="3" s="1"/>
  <c r="M726" i="3"/>
  <c r="C726" i="3"/>
  <c r="Q717" i="3"/>
  <c r="Q711" i="3"/>
  <c r="Q699" i="3"/>
  <c r="T756" i="3" l="1"/>
  <c r="T749" i="3"/>
  <c r="M713" i="3"/>
  <c r="M716" i="3"/>
  <c r="M714" i="3"/>
  <c r="M712" i="3"/>
  <c r="AG742" i="3"/>
  <c r="P737" i="3"/>
  <c r="S737" i="3" s="1"/>
  <c r="M737" i="3"/>
  <c r="C737" i="3"/>
  <c r="M739" i="3"/>
  <c r="M738" i="3"/>
  <c r="P738" i="3"/>
  <c r="S738" i="3" s="1"/>
  <c r="C738" i="3"/>
  <c r="P739" i="3"/>
  <c r="S739" i="3" s="1"/>
  <c r="C739" i="3"/>
  <c r="P740" i="3"/>
  <c r="S740" i="3" s="1"/>
  <c r="M740" i="3"/>
  <c r="C740" i="3"/>
  <c r="P741" i="3"/>
  <c r="S741" i="3" s="1"/>
  <c r="M741" i="3"/>
  <c r="C741" i="3"/>
  <c r="AG736" i="3"/>
  <c r="P732" i="3"/>
  <c r="S732" i="3" s="1"/>
  <c r="M732" i="3"/>
  <c r="C732" i="3"/>
  <c r="P733" i="3"/>
  <c r="S733" i="3" s="1"/>
  <c r="M733" i="3"/>
  <c r="C733" i="3"/>
  <c r="P731" i="3"/>
  <c r="S731" i="3" s="1"/>
  <c r="M731" i="3"/>
  <c r="C731" i="3"/>
  <c r="P734" i="3"/>
  <c r="S734" i="3" s="1"/>
  <c r="M734" i="3"/>
  <c r="C734" i="3"/>
  <c r="P729" i="3"/>
  <c r="S729" i="3" s="1"/>
  <c r="M729" i="3"/>
  <c r="C729" i="3"/>
  <c r="P728" i="3"/>
  <c r="S728" i="3" s="1"/>
  <c r="M728" i="3"/>
  <c r="C728" i="3"/>
  <c r="P730" i="3"/>
  <c r="S730" i="3" s="1"/>
  <c r="M730" i="3"/>
  <c r="C730" i="3"/>
  <c r="P735" i="3"/>
  <c r="S735" i="3" s="1"/>
  <c r="M735" i="3"/>
  <c r="C735" i="3"/>
  <c r="C295" i="4"/>
  <c r="M295" i="4"/>
  <c r="P295" i="4"/>
  <c r="S295" i="4" s="1"/>
  <c r="C296" i="4"/>
  <c r="M296" i="4"/>
  <c r="P296" i="4"/>
  <c r="S296" i="4" s="1"/>
  <c r="C298" i="4"/>
  <c r="M298" i="4"/>
  <c r="P298" i="4"/>
  <c r="S298" i="4" s="1"/>
  <c r="C297" i="4"/>
  <c r="M297" i="4"/>
  <c r="P297" i="4"/>
  <c r="S297" i="4" s="1"/>
  <c r="C294" i="4"/>
  <c r="M294" i="4"/>
  <c r="P294" i="4"/>
  <c r="S294" i="4" s="1"/>
  <c r="C291" i="4"/>
  <c r="M291" i="4"/>
  <c r="P291" i="4"/>
  <c r="S291" i="4" s="1"/>
  <c r="C292" i="4"/>
  <c r="M292" i="4"/>
  <c r="P292" i="4"/>
  <c r="S292" i="4" s="1"/>
  <c r="C293" i="4"/>
  <c r="M293" i="4"/>
  <c r="P293" i="4"/>
  <c r="S293" i="4" s="1"/>
  <c r="T742" i="3" l="1"/>
  <c r="T736" i="3"/>
  <c r="P712" i="3"/>
  <c r="S712" i="3" s="1"/>
  <c r="C712" i="3"/>
  <c r="P713" i="3"/>
  <c r="S713" i="3" s="1"/>
  <c r="C713" i="3"/>
  <c r="AG727" i="3"/>
  <c r="P725" i="3"/>
  <c r="S725" i="3" s="1"/>
  <c r="M725" i="3"/>
  <c r="C725" i="3"/>
  <c r="P724" i="3"/>
  <c r="S724" i="3" s="1"/>
  <c r="M724" i="3"/>
  <c r="C724" i="3"/>
  <c r="AG723" i="3"/>
  <c r="P719" i="3"/>
  <c r="S719" i="3" s="1"/>
  <c r="M719" i="3"/>
  <c r="C719" i="3"/>
  <c r="P721" i="3"/>
  <c r="S721" i="3" s="1"/>
  <c r="M721" i="3"/>
  <c r="C721" i="3"/>
  <c r="P720" i="3"/>
  <c r="S720" i="3" s="1"/>
  <c r="M720" i="3"/>
  <c r="C720" i="3"/>
  <c r="P718" i="3"/>
  <c r="S718" i="3" s="1"/>
  <c r="M718" i="3"/>
  <c r="C718" i="3"/>
  <c r="P722" i="3"/>
  <c r="S722" i="3" s="1"/>
  <c r="M722" i="3"/>
  <c r="C722" i="3"/>
  <c r="AG717" i="3"/>
  <c r="P714" i="3"/>
  <c r="S714" i="3" s="1"/>
  <c r="C714" i="3"/>
  <c r="P716" i="3"/>
  <c r="S716" i="3" s="1"/>
  <c r="C716" i="3"/>
  <c r="P715" i="3"/>
  <c r="S715" i="3" s="1"/>
  <c r="M715" i="3"/>
  <c r="C715" i="3"/>
  <c r="Q685" i="3"/>
  <c r="C284" i="4"/>
  <c r="M284" i="4"/>
  <c r="P284" i="4"/>
  <c r="S284" i="4" s="1"/>
  <c r="C285" i="4"/>
  <c r="M285" i="4"/>
  <c r="P285" i="4"/>
  <c r="S285" i="4" s="1"/>
  <c r="C286" i="4"/>
  <c r="M286" i="4"/>
  <c r="P286" i="4"/>
  <c r="S286" i="4" s="1"/>
  <c r="C287" i="4"/>
  <c r="M287" i="4"/>
  <c r="P287" i="4"/>
  <c r="S287" i="4" s="1"/>
  <c r="C288" i="4"/>
  <c r="M288" i="4"/>
  <c r="P288" i="4"/>
  <c r="S288" i="4" s="1"/>
  <c r="C289" i="4"/>
  <c r="M289" i="4"/>
  <c r="P289" i="4"/>
  <c r="S289" i="4" s="1"/>
  <c r="C290" i="4"/>
  <c r="M290" i="4"/>
  <c r="P290" i="4"/>
  <c r="S290" i="4" s="1"/>
  <c r="C281" i="4"/>
  <c r="M281" i="4"/>
  <c r="P281" i="4"/>
  <c r="S281" i="4" s="1"/>
  <c r="C282" i="4"/>
  <c r="M282" i="4"/>
  <c r="P282" i="4"/>
  <c r="S282" i="4" s="1"/>
  <c r="C283" i="4"/>
  <c r="M283" i="4"/>
  <c r="P283" i="4"/>
  <c r="S283" i="4" s="1"/>
  <c r="C270" i="4"/>
  <c r="M270" i="4"/>
  <c r="P270" i="4"/>
  <c r="S270" i="4" s="1"/>
  <c r="C271" i="4"/>
  <c r="M271" i="4"/>
  <c r="P271" i="4"/>
  <c r="S271" i="4" s="1"/>
  <c r="C272" i="4"/>
  <c r="M272" i="4"/>
  <c r="P272" i="4"/>
  <c r="S272" i="4" s="1"/>
  <c r="C273" i="4"/>
  <c r="M273" i="4"/>
  <c r="P273" i="4"/>
  <c r="S273" i="4" s="1"/>
  <c r="C274" i="4"/>
  <c r="M274" i="4"/>
  <c r="P274" i="4"/>
  <c r="S274" i="4" s="1"/>
  <c r="C275" i="4"/>
  <c r="M275" i="4"/>
  <c r="P275" i="4"/>
  <c r="S275" i="4" s="1"/>
  <c r="C276" i="4"/>
  <c r="M276" i="4"/>
  <c r="P276" i="4"/>
  <c r="S276" i="4" s="1"/>
  <c r="C277" i="4"/>
  <c r="M277" i="4"/>
  <c r="P277" i="4"/>
  <c r="S277" i="4" s="1"/>
  <c r="C278" i="4"/>
  <c r="M278" i="4"/>
  <c r="P278" i="4"/>
  <c r="S278" i="4" s="1"/>
  <c r="C279" i="4"/>
  <c r="M279" i="4"/>
  <c r="P279" i="4"/>
  <c r="S279" i="4" s="1"/>
  <c r="C280" i="4"/>
  <c r="M280" i="4"/>
  <c r="P280" i="4"/>
  <c r="S280" i="4" s="1"/>
  <c r="C265" i="4"/>
  <c r="M265" i="4"/>
  <c r="P265" i="4"/>
  <c r="S265" i="4" s="1"/>
  <c r="C266" i="4"/>
  <c r="M266" i="4"/>
  <c r="P266" i="4"/>
  <c r="S266" i="4" s="1"/>
  <c r="C267" i="4"/>
  <c r="M267" i="4"/>
  <c r="P267" i="4"/>
  <c r="S267" i="4" s="1"/>
  <c r="C268" i="4"/>
  <c r="M268" i="4"/>
  <c r="P268" i="4"/>
  <c r="S268" i="4" s="1"/>
  <c r="C269" i="4"/>
  <c r="M269" i="4"/>
  <c r="P269" i="4"/>
  <c r="S269" i="4" s="1"/>
  <c r="T723" i="3" l="1"/>
  <c r="T727" i="3"/>
  <c r="T717" i="3"/>
  <c r="AG711" i="3"/>
  <c r="P709" i="3"/>
  <c r="S709" i="3" s="1"/>
  <c r="M709" i="3"/>
  <c r="C709" i="3"/>
  <c r="P707" i="3"/>
  <c r="S707" i="3" s="1"/>
  <c r="M707" i="3"/>
  <c r="C707" i="3"/>
  <c r="P704" i="3"/>
  <c r="S704" i="3" s="1"/>
  <c r="M704" i="3"/>
  <c r="C704" i="3"/>
  <c r="P706" i="3"/>
  <c r="S706" i="3" s="1"/>
  <c r="M706" i="3"/>
  <c r="C706" i="3"/>
  <c r="P703" i="3"/>
  <c r="S703" i="3" s="1"/>
  <c r="M703" i="3"/>
  <c r="C703" i="3"/>
  <c r="P702" i="3"/>
  <c r="S702" i="3" s="1"/>
  <c r="M702" i="3"/>
  <c r="C702" i="3"/>
  <c r="P701" i="3"/>
  <c r="S701" i="3" s="1"/>
  <c r="M701" i="3"/>
  <c r="C701" i="3"/>
  <c r="P708" i="3"/>
  <c r="S708" i="3" s="1"/>
  <c r="M708" i="3"/>
  <c r="C708" i="3"/>
  <c r="P710" i="3"/>
  <c r="S710" i="3" s="1"/>
  <c r="M710" i="3"/>
  <c r="C710" i="3"/>
  <c r="P700" i="3"/>
  <c r="S700" i="3" s="1"/>
  <c r="M700" i="3"/>
  <c r="C700" i="3"/>
  <c r="P705" i="3"/>
  <c r="S705" i="3" s="1"/>
  <c r="M705" i="3"/>
  <c r="C705" i="3"/>
  <c r="M694" i="3"/>
  <c r="M698" i="3"/>
  <c r="AG699" i="3"/>
  <c r="P694" i="3"/>
  <c r="S694" i="3" s="1"/>
  <c r="C694" i="3"/>
  <c r="P698" i="3"/>
  <c r="S698" i="3" s="1"/>
  <c r="C698" i="3"/>
  <c r="P697" i="3"/>
  <c r="S697" i="3" s="1"/>
  <c r="M697" i="3"/>
  <c r="C697" i="3"/>
  <c r="P692" i="3"/>
  <c r="S692" i="3" s="1"/>
  <c r="M692" i="3"/>
  <c r="C692" i="3"/>
  <c r="P696" i="3"/>
  <c r="S696" i="3" s="1"/>
  <c r="M696" i="3"/>
  <c r="C696" i="3"/>
  <c r="P695" i="3"/>
  <c r="S695" i="3" s="1"/>
  <c r="M695" i="3"/>
  <c r="C695" i="3"/>
  <c r="P693" i="3"/>
  <c r="S693" i="3" s="1"/>
  <c r="M693" i="3"/>
  <c r="C693" i="3"/>
  <c r="Q691" i="3"/>
  <c r="AG691" i="3"/>
  <c r="P688" i="3"/>
  <c r="S688" i="3" s="1"/>
  <c r="M688" i="3"/>
  <c r="C688" i="3"/>
  <c r="P689" i="3"/>
  <c r="S689" i="3" s="1"/>
  <c r="M689" i="3"/>
  <c r="C689" i="3"/>
  <c r="P690" i="3"/>
  <c r="S690" i="3" s="1"/>
  <c r="M690" i="3"/>
  <c r="C690" i="3"/>
  <c r="P687" i="3"/>
  <c r="S687" i="3" s="1"/>
  <c r="M687" i="3"/>
  <c r="C687" i="3"/>
  <c r="P686" i="3"/>
  <c r="S686" i="3" s="1"/>
  <c r="M686" i="3"/>
  <c r="C686" i="3"/>
  <c r="Q682" i="3"/>
  <c r="AG685" i="3"/>
  <c r="P683" i="3"/>
  <c r="S683" i="3" s="1"/>
  <c r="M683" i="3"/>
  <c r="C683" i="3"/>
  <c r="P684" i="3"/>
  <c r="S684" i="3" s="1"/>
  <c r="M684" i="3"/>
  <c r="C684" i="3"/>
  <c r="AG682" i="3"/>
  <c r="P678" i="3"/>
  <c r="S678" i="3" s="1"/>
  <c r="M678" i="3"/>
  <c r="C678" i="3"/>
  <c r="P677" i="3"/>
  <c r="S677" i="3" s="1"/>
  <c r="M677" i="3"/>
  <c r="C677" i="3"/>
  <c r="P680" i="3"/>
  <c r="S680" i="3" s="1"/>
  <c r="M680" i="3"/>
  <c r="C680" i="3"/>
  <c r="P675" i="3"/>
  <c r="S675" i="3" s="1"/>
  <c r="M675" i="3"/>
  <c r="C675" i="3"/>
  <c r="P681" i="3"/>
  <c r="S681" i="3" s="1"/>
  <c r="M681" i="3"/>
  <c r="C681" i="3"/>
  <c r="P676" i="3"/>
  <c r="S676" i="3" s="1"/>
  <c r="M676" i="3"/>
  <c r="C676" i="3"/>
  <c r="P679" i="3"/>
  <c r="S679" i="3" s="1"/>
  <c r="M679" i="3"/>
  <c r="C679" i="3"/>
  <c r="T711" i="3" l="1"/>
  <c r="T699" i="3"/>
  <c r="T685" i="3"/>
  <c r="T691" i="3"/>
  <c r="T682" i="3"/>
  <c r="Q674" i="3"/>
  <c r="AG674" i="3"/>
  <c r="P673" i="3"/>
  <c r="S673" i="3" s="1"/>
  <c r="M673" i="3"/>
  <c r="C673" i="3"/>
  <c r="P671" i="3"/>
  <c r="S671" i="3" s="1"/>
  <c r="M671" i="3"/>
  <c r="C671" i="3"/>
  <c r="P670" i="3"/>
  <c r="S670" i="3" s="1"/>
  <c r="M670" i="3"/>
  <c r="C670" i="3"/>
  <c r="P672" i="3"/>
  <c r="S672" i="3" s="1"/>
  <c r="M672" i="3"/>
  <c r="C672" i="3"/>
  <c r="P669" i="3"/>
  <c r="S669" i="3" s="1"/>
  <c r="M669" i="3"/>
  <c r="C669" i="3"/>
  <c r="P668" i="3"/>
  <c r="S668" i="3" s="1"/>
  <c r="M668" i="3"/>
  <c r="C668" i="3"/>
  <c r="Q667" i="3"/>
  <c r="M657" i="3"/>
  <c r="M658" i="3"/>
  <c r="AG667" i="3"/>
  <c r="P662" i="3"/>
  <c r="S662" i="3" s="1"/>
  <c r="M662" i="3"/>
  <c r="C662" i="3"/>
  <c r="P661" i="3"/>
  <c r="S661" i="3" s="1"/>
  <c r="M661" i="3"/>
  <c r="C661" i="3"/>
  <c r="P665" i="3"/>
  <c r="S665" i="3" s="1"/>
  <c r="M665" i="3"/>
  <c r="C665" i="3"/>
  <c r="P664" i="3"/>
  <c r="S664" i="3" s="1"/>
  <c r="M664" i="3"/>
  <c r="C664" i="3"/>
  <c r="P666" i="3"/>
  <c r="S666" i="3" s="1"/>
  <c r="M666" i="3"/>
  <c r="C666" i="3"/>
  <c r="P663" i="3"/>
  <c r="S663" i="3" s="1"/>
  <c r="M663" i="3"/>
  <c r="C663" i="3"/>
  <c r="P660" i="3"/>
  <c r="S660" i="3" s="1"/>
  <c r="M660" i="3"/>
  <c r="C660" i="3"/>
  <c r="Q659" i="3"/>
  <c r="C658" i="3"/>
  <c r="P658" i="3"/>
  <c r="S658" i="3" s="1"/>
  <c r="Q645" i="3"/>
  <c r="C264" i="4"/>
  <c r="M264" i="4"/>
  <c r="P264" i="4"/>
  <c r="S264" i="4" s="1"/>
  <c r="T667" i="3" l="1"/>
  <c r="T674" i="3"/>
  <c r="C262" i="4"/>
  <c r="M262" i="4"/>
  <c r="P262" i="4"/>
  <c r="S262" i="4" s="1"/>
  <c r="C263" i="4"/>
  <c r="M263" i="4"/>
  <c r="P263" i="4"/>
  <c r="S263" i="4" s="1"/>
  <c r="C260" i="4"/>
  <c r="M260" i="4"/>
  <c r="P260" i="4"/>
  <c r="S260" i="4" s="1"/>
  <c r="C261" i="4"/>
  <c r="M261" i="4"/>
  <c r="P261" i="4"/>
  <c r="S261" i="4" s="1"/>
  <c r="AG659" i="3" l="1"/>
  <c r="P651" i="3"/>
  <c r="S651" i="3" s="1"/>
  <c r="M651" i="3"/>
  <c r="C651" i="3"/>
  <c r="P656" i="3"/>
  <c r="S656" i="3" s="1"/>
  <c r="M656" i="3"/>
  <c r="C656" i="3"/>
  <c r="P655" i="3"/>
  <c r="S655" i="3" s="1"/>
  <c r="M655" i="3"/>
  <c r="C655" i="3"/>
  <c r="P653" i="3"/>
  <c r="S653" i="3" s="1"/>
  <c r="M653" i="3"/>
  <c r="C653" i="3"/>
  <c r="P652" i="3"/>
  <c r="S652" i="3" s="1"/>
  <c r="M652" i="3"/>
  <c r="C652" i="3"/>
  <c r="P654" i="3"/>
  <c r="S654" i="3" s="1"/>
  <c r="M654" i="3"/>
  <c r="C654" i="3"/>
  <c r="P650" i="3"/>
  <c r="S650" i="3" s="1"/>
  <c r="M650" i="3"/>
  <c r="C650" i="3"/>
  <c r="P657" i="3"/>
  <c r="S657" i="3" s="1"/>
  <c r="C657" i="3"/>
  <c r="Q649" i="3"/>
  <c r="T659" i="3" l="1"/>
  <c r="Q632" i="3"/>
  <c r="P648" i="3"/>
  <c r="S648" i="3" s="1"/>
  <c r="M648" i="3"/>
  <c r="C648" i="3"/>
  <c r="AG649" i="3"/>
  <c r="P646" i="3"/>
  <c r="S646" i="3" s="1"/>
  <c r="M646" i="3"/>
  <c r="C646" i="3"/>
  <c r="P647" i="3"/>
  <c r="S647" i="3" s="1"/>
  <c r="M647" i="3"/>
  <c r="C647" i="3"/>
  <c r="AG645" i="3"/>
  <c r="P635" i="3"/>
  <c r="S635" i="3" s="1"/>
  <c r="M635" i="3"/>
  <c r="C635" i="3"/>
  <c r="P638" i="3"/>
  <c r="S638" i="3" s="1"/>
  <c r="C638" i="3"/>
  <c r="P634" i="3"/>
  <c r="S634" i="3" s="1"/>
  <c r="M634" i="3"/>
  <c r="C634" i="3"/>
  <c r="P633" i="3"/>
  <c r="S633" i="3" s="1"/>
  <c r="M633" i="3"/>
  <c r="C633" i="3"/>
  <c r="P643" i="3"/>
  <c r="S643" i="3" s="1"/>
  <c r="C643" i="3"/>
  <c r="P644" i="3"/>
  <c r="S644" i="3" s="1"/>
  <c r="C644" i="3"/>
  <c r="P636" i="3"/>
  <c r="S636" i="3" s="1"/>
  <c r="M636" i="3"/>
  <c r="C636" i="3"/>
  <c r="P637" i="3"/>
  <c r="S637" i="3" s="1"/>
  <c r="M637" i="3"/>
  <c r="C637" i="3"/>
  <c r="P640" i="3"/>
  <c r="S640" i="3" s="1"/>
  <c r="C640" i="3"/>
  <c r="P641" i="3"/>
  <c r="S641" i="3" s="1"/>
  <c r="C641" i="3"/>
  <c r="P642" i="3"/>
  <c r="S642" i="3" s="1"/>
  <c r="C642" i="3"/>
  <c r="P639" i="3"/>
  <c r="S639" i="3" s="1"/>
  <c r="C639" i="3"/>
  <c r="C254" i="4"/>
  <c r="M254" i="4"/>
  <c r="P254" i="4"/>
  <c r="S254" i="4" s="1"/>
  <c r="C255" i="4"/>
  <c r="M255" i="4"/>
  <c r="P255" i="4"/>
  <c r="S255" i="4" s="1"/>
  <c r="C256" i="4"/>
  <c r="M256" i="4"/>
  <c r="P256" i="4"/>
  <c r="S256" i="4" s="1"/>
  <c r="C257" i="4"/>
  <c r="M257" i="4"/>
  <c r="P257" i="4"/>
  <c r="S257" i="4" s="1"/>
  <c r="C258" i="4"/>
  <c r="M258" i="4"/>
  <c r="P258" i="4"/>
  <c r="S258" i="4" s="1"/>
  <c r="C259" i="4"/>
  <c r="M259" i="4"/>
  <c r="P259" i="4"/>
  <c r="S259" i="4" s="1"/>
  <c r="C252" i="4"/>
  <c r="M252" i="4"/>
  <c r="P252" i="4"/>
  <c r="S252" i="4" s="1"/>
  <c r="C253" i="4"/>
  <c r="M253" i="4"/>
  <c r="P253" i="4"/>
  <c r="S253" i="4" s="1"/>
  <c r="C245" i="4"/>
  <c r="M245" i="4"/>
  <c r="P245" i="4"/>
  <c r="S245" i="4" s="1"/>
  <c r="C246" i="4"/>
  <c r="M246" i="4"/>
  <c r="P246" i="4"/>
  <c r="S246" i="4" s="1"/>
  <c r="C247" i="4"/>
  <c r="M247" i="4"/>
  <c r="P247" i="4"/>
  <c r="S247" i="4" s="1"/>
  <c r="C248" i="4"/>
  <c r="M248" i="4"/>
  <c r="P248" i="4"/>
  <c r="S248" i="4" s="1"/>
  <c r="C249" i="4"/>
  <c r="M249" i="4"/>
  <c r="P249" i="4"/>
  <c r="S249" i="4" s="1"/>
  <c r="C250" i="4"/>
  <c r="M250" i="4"/>
  <c r="P250" i="4"/>
  <c r="S250" i="4" s="1"/>
  <c r="C251" i="4"/>
  <c r="M251" i="4"/>
  <c r="P251" i="4"/>
  <c r="S251" i="4" s="1"/>
  <c r="C244" i="4"/>
  <c r="M244" i="4"/>
  <c r="P244" i="4"/>
  <c r="S244" i="4" s="1"/>
  <c r="T645" i="3" l="1"/>
  <c r="T649" i="3"/>
  <c r="Q622" i="3"/>
  <c r="AG622" i="3"/>
  <c r="P616" i="3"/>
  <c r="S616" i="3" s="1"/>
  <c r="M616" i="3"/>
  <c r="C616" i="3"/>
  <c r="P615" i="3"/>
  <c r="S615" i="3" s="1"/>
  <c r="M615" i="3"/>
  <c r="C615" i="3"/>
  <c r="P613" i="3"/>
  <c r="S613" i="3" s="1"/>
  <c r="M613" i="3"/>
  <c r="C613" i="3"/>
  <c r="P619" i="3"/>
  <c r="S619" i="3" s="1"/>
  <c r="M619" i="3"/>
  <c r="C619" i="3"/>
  <c r="P620" i="3"/>
  <c r="S620" i="3" s="1"/>
  <c r="M620" i="3"/>
  <c r="C620" i="3"/>
  <c r="P618" i="3"/>
  <c r="S618" i="3" s="1"/>
  <c r="M618" i="3"/>
  <c r="C618" i="3"/>
  <c r="P617" i="3"/>
  <c r="S617" i="3" s="1"/>
  <c r="M617" i="3"/>
  <c r="C617" i="3"/>
  <c r="P614" i="3"/>
  <c r="S614" i="3" s="1"/>
  <c r="M614" i="3"/>
  <c r="C614" i="3"/>
  <c r="P611" i="3"/>
  <c r="S611" i="3" s="1"/>
  <c r="M611" i="3"/>
  <c r="C611" i="3"/>
  <c r="P621" i="3"/>
  <c r="S621" i="3" s="1"/>
  <c r="M621" i="3"/>
  <c r="C621" i="3"/>
  <c r="P612" i="3"/>
  <c r="S612" i="3" s="1"/>
  <c r="M612" i="3"/>
  <c r="C612" i="3"/>
  <c r="AG632" i="3"/>
  <c r="P625" i="3"/>
  <c r="S625" i="3" s="1"/>
  <c r="M625" i="3"/>
  <c r="C625" i="3"/>
  <c r="P624" i="3"/>
  <c r="S624" i="3" s="1"/>
  <c r="M624" i="3"/>
  <c r="C624" i="3"/>
  <c r="P623" i="3"/>
  <c r="S623" i="3" s="1"/>
  <c r="M623" i="3"/>
  <c r="C623" i="3"/>
  <c r="P628" i="3"/>
  <c r="S628" i="3" s="1"/>
  <c r="M628" i="3"/>
  <c r="C628" i="3"/>
  <c r="P626" i="3"/>
  <c r="S626" i="3" s="1"/>
  <c r="M626" i="3"/>
  <c r="C626" i="3"/>
  <c r="P627" i="3"/>
  <c r="S627" i="3" s="1"/>
  <c r="M627" i="3"/>
  <c r="C627" i="3"/>
  <c r="P630" i="3"/>
  <c r="S630" i="3" s="1"/>
  <c r="M630" i="3"/>
  <c r="C630" i="3"/>
  <c r="P631" i="3"/>
  <c r="S631" i="3" s="1"/>
  <c r="M631" i="3"/>
  <c r="C631" i="3"/>
  <c r="P629" i="3"/>
  <c r="S629" i="3" s="1"/>
  <c r="M629" i="3"/>
  <c r="C629" i="3"/>
  <c r="T632" i="3" l="1"/>
  <c r="T622" i="3"/>
  <c r="Q599" i="3"/>
  <c r="Q610" i="3"/>
  <c r="C240" i="4"/>
  <c r="M240" i="4"/>
  <c r="P240" i="4"/>
  <c r="S240" i="4" s="1"/>
  <c r="C241" i="4"/>
  <c r="M241" i="4"/>
  <c r="P241" i="4"/>
  <c r="S241" i="4" s="1"/>
  <c r="C242" i="4"/>
  <c r="M242" i="4"/>
  <c r="P242" i="4"/>
  <c r="S242" i="4" s="1"/>
  <c r="C243" i="4"/>
  <c r="M243" i="4"/>
  <c r="P243" i="4"/>
  <c r="S243" i="4" s="1"/>
  <c r="C238" i="4"/>
  <c r="M238" i="4"/>
  <c r="P238" i="4"/>
  <c r="S238" i="4" s="1"/>
  <c r="C239" i="4"/>
  <c r="M239" i="4"/>
  <c r="P239" i="4"/>
  <c r="S239" i="4" s="1"/>
  <c r="C234" i="4"/>
  <c r="M234" i="4"/>
  <c r="P234" i="4"/>
  <c r="S234" i="4" s="1"/>
  <c r="C235" i="4"/>
  <c r="M235" i="4"/>
  <c r="P235" i="4"/>
  <c r="S235" i="4" s="1"/>
  <c r="C236" i="4"/>
  <c r="M236" i="4"/>
  <c r="P236" i="4"/>
  <c r="S236" i="4" s="1"/>
  <c r="C237" i="4"/>
  <c r="M237" i="4"/>
  <c r="P237" i="4"/>
  <c r="S237" i="4" s="1"/>
  <c r="C232" i="4"/>
  <c r="M232" i="4"/>
  <c r="P232" i="4"/>
  <c r="S232" i="4" s="1"/>
  <c r="C233" i="4"/>
  <c r="M233" i="4"/>
  <c r="P233" i="4"/>
  <c r="S233" i="4" s="1"/>
  <c r="Q591" i="3" l="1"/>
  <c r="M586" i="3"/>
  <c r="M587" i="3"/>
  <c r="M588" i="3"/>
  <c r="M589" i="3"/>
  <c r="M590" i="3"/>
  <c r="Q578" i="3"/>
  <c r="Q572" i="3"/>
  <c r="P595" i="3"/>
  <c r="S595" i="3" s="1"/>
  <c r="M595" i="3"/>
  <c r="C595" i="3"/>
  <c r="AG610" i="3"/>
  <c r="P601" i="3"/>
  <c r="S601" i="3" s="1"/>
  <c r="M601" i="3"/>
  <c r="C601" i="3"/>
  <c r="P600" i="3"/>
  <c r="S600" i="3" s="1"/>
  <c r="M600" i="3"/>
  <c r="C600" i="3"/>
  <c r="P602" i="3"/>
  <c r="S602" i="3" s="1"/>
  <c r="M602" i="3"/>
  <c r="C602" i="3"/>
  <c r="P604" i="3"/>
  <c r="S604" i="3" s="1"/>
  <c r="M604" i="3"/>
  <c r="C604" i="3"/>
  <c r="P603" i="3"/>
  <c r="S603" i="3" s="1"/>
  <c r="M603" i="3"/>
  <c r="C603" i="3"/>
  <c r="P607" i="3"/>
  <c r="S607" i="3" s="1"/>
  <c r="M607" i="3"/>
  <c r="C607" i="3"/>
  <c r="P609" i="3"/>
  <c r="S609" i="3" s="1"/>
  <c r="M609" i="3"/>
  <c r="C609" i="3"/>
  <c r="P606" i="3"/>
  <c r="S606" i="3" s="1"/>
  <c r="M606" i="3"/>
  <c r="C606" i="3"/>
  <c r="P608" i="3"/>
  <c r="S608" i="3" s="1"/>
  <c r="M608" i="3"/>
  <c r="C608" i="3"/>
  <c r="P605" i="3"/>
  <c r="S605" i="3" s="1"/>
  <c r="M605" i="3"/>
  <c r="C605" i="3"/>
  <c r="AG599" i="3"/>
  <c r="P596" i="3"/>
  <c r="S596" i="3" s="1"/>
  <c r="M596" i="3"/>
  <c r="C596" i="3"/>
  <c r="P593" i="3"/>
  <c r="S593" i="3" s="1"/>
  <c r="M593" i="3"/>
  <c r="C593" i="3"/>
  <c r="P598" i="3"/>
  <c r="S598" i="3" s="1"/>
  <c r="M598" i="3"/>
  <c r="C598" i="3"/>
  <c r="P594" i="3"/>
  <c r="S594" i="3" s="1"/>
  <c r="M594" i="3"/>
  <c r="C594" i="3"/>
  <c r="P592" i="3"/>
  <c r="S592" i="3" s="1"/>
  <c r="M592" i="3"/>
  <c r="C592" i="3"/>
  <c r="P597" i="3"/>
  <c r="S597" i="3" s="1"/>
  <c r="M597" i="3"/>
  <c r="C597" i="3"/>
  <c r="P587" i="3"/>
  <c r="S587" i="3" s="1"/>
  <c r="C587" i="3"/>
  <c r="AG591" i="3"/>
  <c r="P589" i="3"/>
  <c r="S589" i="3" s="1"/>
  <c r="C589" i="3"/>
  <c r="P582" i="3"/>
  <c r="S582" i="3" s="1"/>
  <c r="M582" i="3"/>
  <c r="C582" i="3"/>
  <c r="P580" i="3"/>
  <c r="S580" i="3" s="1"/>
  <c r="M580" i="3"/>
  <c r="C580" i="3"/>
  <c r="P585" i="3"/>
  <c r="S585" i="3" s="1"/>
  <c r="M585" i="3"/>
  <c r="C585" i="3"/>
  <c r="P588" i="3"/>
  <c r="S588" i="3" s="1"/>
  <c r="C588" i="3"/>
  <c r="P590" i="3"/>
  <c r="S590" i="3" s="1"/>
  <c r="C590" i="3"/>
  <c r="P581" i="3"/>
  <c r="S581" i="3" s="1"/>
  <c r="M581" i="3"/>
  <c r="C581" i="3"/>
  <c r="P584" i="3"/>
  <c r="S584" i="3" s="1"/>
  <c r="M584" i="3"/>
  <c r="C584" i="3"/>
  <c r="P583" i="3"/>
  <c r="S583" i="3" s="1"/>
  <c r="M583" i="3"/>
  <c r="C583" i="3"/>
  <c r="P579" i="3"/>
  <c r="S579" i="3" s="1"/>
  <c r="M579" i="3"/>
  <c r="C579" i="3"/>
  <c r="P586" i="3"/>
  <c r="S586" i="3" s="1"/>
  <c r="C586" i="3"/>
  <c r="C229" i="4"/>
  <c r="M229" i="4"/>
  <c r="P229" i="4"/>
  <c r="S229" i="4" s="1"/>
  <c r="C230" i="4"/>
  <c r="M230" i="4"/>
  <c r="P230" i="4"/>
  <c r="S230" i="4" s="1"/>
  <c r="C231" i="4"/>
  <c r="M231" i="4"/>
  <c r="P231" i="4"/>
  <c r="S231" i="4" s="1"/>
  <c r="C228" i="4"/>
  <c r="M228" i="4"/>
  <c r="P228" i="4"/>
  <c r="S228" i="4" s="1"/>
  <c r="C221" i="4"/>
  <c r="M221" i="4"/>
  <c r="P221" i="4"/>
  <c r="S221" i="4" s="1"/>
  <c r="C222" i="4"/>
  <c r="M222" i="4"/>
  <c r="P222" i="4"/>
  <c r="S222" i="4" s="1"/>
  <c r="C223" i="4"/>
  <c r="M223" i="4"/>
  <c r="P223" i="4"/>
  <c r="S223" i="4" s="1"/>
  <c r="C224" i="4"/>
  <c r="M224" i="4"/>
  <c r="P224" i="4"/>
  <c r="S224" i="4" s="1"/>
  <c r="C225" i="4"/>
  <c r="M225" i="4"/>
  <c r="P225" i="4"/>
  <c r="S225" i="4" s="1"/>
  <c r="C226" i="4"/>
  <c r="M226" i="4"/>
  <c r="P226" i="4"/>
  <c r="S226" i="4" s="1"/>
  <c r="C227" i="4"/>
  <c r="M227" i="4"/>
  <c r="P227" i="4"/>
  <c r="S227" i="4" s="1"/>
  <c r="C217" i="4"/>
  <c r="M217" i="4"/>
  <c r="P217" i="4"/>
  <c r="S217" i="4" s="1"/>
  <c r="C218" i="4"/>
  <c r="M218" i="4"/>
  <c r="P218" i="4"/>
  <c r="S218" i="4" s="1"/>
  <c r="C219" i="4"/>
  <c r="M219" i="4"/>
  <c r="P219" i="4"/>
  <c r="S219" i="4" s="1"/>
  <c r="C220" i="4"/>
  <c r="M220" i="4"/>
  <c r="P220" i="4"/>
  <c r="S220" i="4" s="1"/>
  <c r="Q569" i="3"/>
  <c r="Q558" i="3"/>
  <c r="P557" i="3"/>
  <c r="S557" i="3" s="1"/>
  <c r="M557" i="3"/>
  <c r="C557" i="3"/>
  <c r="P566" i="3"/>
  <c r="S566" i="3" s="1"/>
  <c r="M566" i="3"/>
  <c r="C566" i="3"/>
  <c r="P567" i="3"/>
  <c r="S567" i="3" s="1"/>
  <c r="M567" i="3"/>
  <c r="C567" i="3"/>
  <c r="P564" i="3"/>
  <c r="S564" i="3" s="1"/>
  <c r="M564" i="3"/>
  <c r="C564" i="3"/>
  <c r="P560" i="3"/>
  <c r="S560" i="3" s="1"/>
  <c r="M560" i="3"/>
  <c r="C560" i="3"/>
  <c r="AG578" i="3"/>
  <c r="P574" i="3"/>
  <c r="S574" i="3" s="1"/>
  <c r="M574" i="3"/>
  <c r="C574" i="3"/>
  <c r="P573" i="3"/>
  <c r="S573" i="3" s="1"/>
  <c r="M573" i="3"/>
  <c r="C573" i="3"/>
  <c r="P575" i="3"/>
  <c r="S575" i="3" s="1"/>
  <c r="M575" i="3"/>
  <c r="C575" i="3"/>
  <c r="P577" i="3"/>
  <c r="S577" i="3" s="1"/>
  <c r="M577" i="3"/>
  <c r="C577" i="3"/>
  <c r="P576" i="3"/>
  <c r="S576" i="3" s="1"/>
  <c r="M576" i="3"/>
  <c r="C576" i="3"/>
  <c r="AG572" i="3"/>
  <c r="P570" i="3"/>
  <c r="S570" i="3" s="1"/>
  <c r="M570" i="3"/>
  <c r="C570" i="3"/>
  <c r="P571" i="3"/>
  <c r="S571" i="3" s="1"/>
  <c r="M571" i="3"/>
  <c r="C571" i="3"/>
  <c r="AG569" i="3"/>
  <c r="P562" i="3"/>
  <c r="S562" i="3" s="1"/>
  <c r="M562" i="3"/>
  <c r="C562" i="3"/>
  <c r="P563" i="3"/>
  <c r="S563" i="3" s="1"/>
  <c r="M563" i="3"/>
  <c r="C563" i="3"/>
  <c r="P561" i="3"/>
  <c r="S561" i="3" s="1"/>
  <c r="M561" i="3"/>
  <c r="C561" i="3"/>
  <c r="P559" i="3"/>
  <c r="S559" i="3" s="1"/>
  <c r="M559" i="3"/>
  <c r="C559" i="3"/>
  <c r="P565" i="3"/>
  <c r="S565" i="3" s="1"/>
  <c r="M565" i="3"/>
  <c r="C565" i="3"/>
  <c r="P568" i="3"/>
  <c r="S568" i="3" s="1"/>
  <c r="M568" i="3"/>
  <c r="C568" i="3"/>
  <c r="AG558" i="3"/>
  <c r="P551" i="3"/>
  <c r="S551" i="3" s="1"/>
  <c r="M551" i="3"/>
  <c r="C551" i="3"/>
  <c r="P550" i="3"/>
  <c r="S550" i="3" s="1"/>
  <c r="M550" i="3"/>
  <c r="C550" i="3"/>
  <c r="P548" i="3"/>
  <c r="S548" i="3" s="1"/>
  <c r="M548" i="3"/>
  <c r="C548" i="3"/>
  <c r="P549" i="3"/>
  <c r="S549" i="3" s="1"/>
  <c r="M549" i="3"/>
  <c r="C549" i="3"/>
  <c r="P552" i="3"/>
  <c r="S552" i="3" s="1"/>
  <c r="M552" i="3"/>
  <c r="C552" i="3"/>
  <c r="P554" i="3"/>
  <c r="S554" i="3" s="1"/>
  <c r="M554" i="3"/>
  <c r="C554" i="3"/>
  <c r="P556" i="3"/>
  <c r="S556" i="3" s="1"/>
  <c r="M556" i="3"/>
  <c r="C556" i="3"/>
  <c r="P555" i="3"/>
  <c r="S555" i="3" s="1"/>
  <c r="M555" i="3"/>
  <c r="C555" i="3"/>
  <c r="P553" i="3"/>
  <c r="S553" i="3" s="1"/>
  <c r="M553" i="3"/>
  <c r="C553" i="3"/>
  <c r="M531" i="3"/>
  <c r="M532" i="3"/>
  <c r="M533" i="3"/>
  <c r="M534" i="3"/>
  <c r="M535" i="3"/>
  <c r="M536" i="3"/>
  <c r="C214" i="4"/>
  <c r="M214" i="4"/>
  <c r="P214" i="4"/>
  <c r="S214" i="4" s="1"/>
  <c r="C215" i="4"/>
  <c r="M215" i="4"/>
  <c r="P215" i="4"/>
  <c r="S215" i="4" s="1"/>
  <c r="C216" i="4"/>
  <c r="M216" i="4"/>
  <c r="P216" i="4"/>
  <c r="S216" i="4" s="1"/>
  <c r="C213" i="4"/>
  <c r="M213" i="4"/>
  <c r="P213" i="4"/>
  <c r="S213" i="4" s="1"/>
  <c r="C212" i="4"/>
  <c r="M212" i="4"/>
  <c r="P212" i="4"/>
  <c r="S212" i="4" s="1"/>
  <c r="T599" i="3" l="1"/>
  <c r="T610" i="3"/>
  <c r="T591" i="3"/>
  <c r="T578" i="3"/>
  <c r="T572" i="3"/>
  <c r="T569" i="3"/>
  <c r="T558" i="3"/>
  <c r="Q529" i="3" l="1"/>
  <c r="P546" i="3"/>
  <c r="S546" i="3" s="1"/>
  <c r="M546" i="3"/>
  <c r="C546" i="3"/>
  <c r="P545" i="3"/>
  <c r="S545" i="3" s="1"/>
  <c r="M545" i="3"/>
  <c r="C545" i="3"/>
  <c r="AG547" i="3"/>
  <c r="Q547" i="3"/>
  <c r="P544" i="3"/>
  <c r="S544" i="3" s="1"/>
  <c r="M544" i="3"/>
  <c r="C544" i="3"/>
  <c r="M542" i="3"/>
  <c r="M543" i="3"/>
  <c r="M541" i="3"/>
  <c r="P541" i="3"/>
  <c r="S541" i="3" s="1"/>
  <c r="C541" i="3"/>
  <c r="P543" i="3"/>
  <c r="S543" i="3" s="1"/>
  <c r="C543" i="3"/>
  <c r="P542" i="3"/>
  <c r="S542" i="3" s="1"/>
  <c r="C542" i="3"/>
  <c r="P540" i="3"/>
  <c r="S540" i="3" s="1"/>
  <c r="M540" i="3"/>
  <c r="C540" i="3"/>
  <c r="P539" i="3"/>
  <c r="S539" i="3" s="1"/>
  <c r="M539" i="3"/>
  <c r="C539" i="3"/>
  <c r="P538" i="3"/>
  <c r="S538" i="3" s="1"/>
  <c r="M538" i="3"/>
  <c r="C538" i="3"/>
  <c r="Q537" i="3"/>
  <c r="AG537" i="3"/>
  <c r="P536" i="3"/>
  <c r="S536" i="3" s="1"/>
  <c r="C536" i="3"/>
  <c r="P532" i="3"/>
  <c r="S532" i="3" s="1"/>
  <c r="C532" i="3"/>
  <c r="P535" i="3"/>
  <c r="S535" i="3" s="1"/>
  <c r="C535" i="3"/>
  <c r="P533" i="3"/>
  <c r="S533" i="3" s="1"/>
  <c r="C533" i="3"/>
  <c r="P531" i="3"/>
  <c r="S531" i="3" s="1"/>
  <c r="C531" i="3"/>
  <c r="P534" i="3"/>
  <c r="S534" i="3" s="1"/>
  <c r="C534" i="3"/>
  <c r="P530" i="3"/>
  <c r="S530" i="3" s="1"/>
  <c r="M530" i="3"/>
  <c r="C530" i="3"/>
  <c r="P524" i="3"/>
  <c r="S524" i="3" s="1"/>
  <c r="M524" i="3"/>
  <c r="C524" i="3"/>
  <c r="P523" i="3"/>
  <c r="S523" i="3" s="1"/>
  <c r="M523" i="3"/>
  <c r="C523" i="3"/>
  <c r="P526" i="3"/>
  <c r="S526" i="3" s="1"/>
  <c r="M526" i="3"/>
  <c r="C526" i="3"/>
  <c r="P528" i="3"/>
  <c r="S528" i="3" s="1"/>
  <c r="M528" i="3"/>
  <c r="C528" i="3"/>
  <c r="P525" i="3"/>
  <c r="S525" i="3" s="1"/>
  <c r="M525" i="3"/>
  <c r="C525" i="3"/>
  <c r="P527" i="3"/>
  <c r="S527" i="3" s="1"/>
  <c r="M527" i="3"/>
  <c r="C527" i="3"/>
  <c r="Q522" i="3"/>
  <c r="M520" i="3"/>
  <c r="M515" i="3"/>
  <c r="M518" i="3"/>
  <c r="M521" i="3"/>
  <c r="P518" i="3"/>
  <c r="S518" i="3" s="1"/>
  <c r="C518" i="3"/>
  <c r="C211" i="4"/>
  <c r="M211" i="4"/>
  <c r="P211" i="4"/>
  <c r="S211" i="4" s="1"/>
  <c r="P521" i="3"/>
  <c r="S521" i="3" s="1"/>
  <c r="C521" i="3"/>
  <c r="C206" i="4"/>
  <c r="M206" i="4"/>
  <c r="P206" i="4"/>
  <c r="S206" i="4" s="1"/>
  <c r="C207" i="4"/>
  <c r="M207" i="4"/>
  <c r="P207" i="4"/>
  <c r="S207" i="4" s="1"/>
  <c r="C208" i="4"/>
  <c r="M208" i="4"/>
  <c r="P208" i="4"/>
  <c r="S208" i="4" s="1"/>
  <c r="C209" i="4"/>
  <c r="M209" i="4"/>
  <c r="P209" i="4"/>
  <c r="S209" i="4" s="1"/>
  <c r="C210" i="4"/>
  <c r="M210" i="4"/>
  <c r="P210" i="4"/>
  <c r="S210" i="4" s="1"/>
  <c r="C199" i="4"/>
  <c r="M199" i="4"/>
  <c r="P199" i="4"/>
  <c r="S199" i="4" s="1"/>
  <c r="C200" i="4"/>
  <c r="M200" i="4"/>
  <c r="P200" i="4"/>
  <c r="S200" i="4" s="1"/>
  <c r="C201" i="4"/>
  <c r="M201" i="4"/>
  <c r="P201" i="4"/>
  <c r="S201" i="4" s="1"/>
  <c r="C202" i="4"/>
  <c r="M202" i="4"/>
  <c r="P202" i="4"/>
  <c r="S202" i="4" s="1"/>
  <c r="C203" i="4"/>
  <c r="M203" i="4"/>
  <c r="P203" i="4"/>
  <c r="S203" i="4" s="1"/>
  <c r="C204" i="4"/>
  <c r="M204" i="4"/>
  <c r="P204" i="4"/>
  <c r="S204" i="4" s="1"/>
  <c r="C205" i="4"/>
  <c r="M205" i="4"/>
  <c r="P205" i="4"/>
  <c r="S205" i="4" s="1"/>
  <c r="T529" i="3" l="1"/>
  <c r="T547" i="3"/>
  <c r="T537" i="3"/>
  <c r="AG529" i="3"/>
  <c r="P520" i="3"/>
  <c r="S520" i="3" s="1"/>
  <c r="C520" i="3"/>
  <c r="P513" i="3"/>
  <c r="S513" i="3" s="1"/>
  <c r="M513" i="3"/>
  <c r="C513" i="3"/>
  <c r="AG522" i="3"/>
  <c r="P517" i="3"/>
  <c r="S517" i="3" s="1"/>
  <c r="M517" i="3"/>
  <c r="C517" i="3"/>
  <c r="P514" i="3"/>
  <c r="S514" i="3" s="1"/>
  <c r="M514" i="3"/>
  <c r="C514" i="3"/>
  <c r="P519" i="3"/>
  <c r="S519" i="3" s="1"/>
  <c r="M519" i="3"/>
  <c r="C519" i="3"/>
  <c r="P515" i="3"/>
  <c r="S515" i="3" s="1"/>
  <c r="C515" i="3"/>
  <c r="P516" i="3"/>
  <c r="S516" i="3" s="1"/>
  <c r="M516" i="3"/>
  <c r="C516" i="3"/>
  <c r="P507" i="3"/>
  <c r="S507" i="3" s="1"/>
  <c r="M507" i="3"/>
  <c r="C507" i="3"/>
  <c r="Q504" i="3"/>
  <c r="Q512" i="3"/>
  <c r="AG512" i="3"/>
  <c r="P511" i="3"/>
  <c r="S511" i="3" s="1"/>
  <c r="M511" i="3"/>
  <c r="C511" i="3"/>
  <c r="P510" i="3"/>
  <c r="S510" i="3" s="1"/>
  <c r="M510" i="3"/>
  <c r="C510" i="3"/>
  <c r="P506" i="3"/>
  <c r="S506" i="3" s="1"/>
  <c r="M506" i="3"/>
  <c r="C506" i="3"/>
  <c r="P509" i="3"/>
  <c r="S509" i="3" s="1"/>
  <c r="M509" i="3"/>
  <c r="C509" i="3"/>
  <c r="P508" i="3"/>
  <c r="S508" i="3" s="1"/>
  <c r="M508" i="3"/>
  <c r="C508" i="3"/>
  <c r="P505" i="3"/>
  <c r="S505" i="3" s="1"/>
  <c r="M505" i="3"/>
  <c r="C505" i="3"/>
  <c r="AG504" i="3"/>
  <c r="P494" i="3"/>
  <c r="S494" i="3" s="1"/>
  <c r="M494" i="3"/>
  <c r="C494" i="3"/>
  <c r="P495" i="3"/>
  <c r="S495" i="3" s="1"/>
  <c r="M495" i="3"/>
  <c r="C495" i="3"/>
  <c r="P502" i="3"/>
  <c r="S502" i="3" s="1"/>
  <c r="M502" i="3"/>
  <c r="C502" i="3"/>
  <c r="P503" i="3"/>
  <c r="S503" i="3" s="1"/>
  <c r="M503" i="3"/>
  <c r="C503" i="3"/>
  <c r="P500" i="3"/>
  <c r="S500" i="3" s="1"/>
  <c r="M500" i="3"/>
  <c r="C500" i="3"/>
  <c r="P497" i="3"/>
  <c r="S497" i="3" s="1"/>
  <c r="M497" i="3"/>
  <c r="C497" i="3"/>
  <c r="P496" i="3"/>
  <c r="S496" i="3" s="1"/>
  <c r="M496" i="3"/>
  <c r="C496" i="3"/>
  <c r="P498" i="3"/>
  <c r="S498" i="3" s="1"/>
  <c r="M498" i="3"/>
  <c r="C498" i="3"/>
  <c r="P501" i="3"/>
  <c r="S501" i="3" s="1"/>
  <c r="M501" i="3"/>
  <c r="C501" i="3"/>
  <c r="P499" i="3"/>
  <c r="S499" i="3" s="1"/>
  <c r="M499" i="3"/>
  <c r="C499" i="3"/>
  <c r="C198" i="4"/>
  <c r="M198" i="4"/>
  <c r="P198" i="4"/>
  <c r="S198" i="4" s="1"/>
  <c r="C197" i="4"/>
  <c r="M197" i="4"/>
  <c r="P197" i="4"/>
  <c r="S197" i="4" s="1"/>
  <c r="C195" i="4"/>
  <c r="M195" i="4"/>
  <c r="P195" i="4"/>
  <c r="S195" i="4" s="1"/>
  <c r="C196" i="4"/>
  <c r="M196" i="4"/>
  <c r="P196" i="4"/>
  <c r="S196" i="4" s="1"/>
  <c r="C192" i="4"/>
  <c r="M192" i="4"/>
  <c r="P192" i="4"/>
  <c r="S192" i="4" s="1"/>
  <c r="C193" i="4"/>
  <c r="M193" i="4"/>
  <c r="P193" i="4"/>
  <c r="S193" i="4" s="1"/>
  <c r="C194" i="4"/>
  <c r="M194" i="4"/>
  <c r="P194" i="4"/>
  <c r="S194" i="4" s="1"/>
  <c r="C191" i="4"/>
  <c r="M191" i="4"/>
  <c r="P191" i="4"/>
  <c r="S191" i="4" s="1"/>
  <c r="C189" i="4"/>
  <c r="M189" i="4"/>
  <c r="P189" i="4"/>
  <c r="S189" i="4" s="1"/>
  <c r="C190" i="4"/>
  <c r="M190" i="4"/>
  <c r="P190" i="4"/>
  <c r="S190" i="4" s="1"/>
  <c r="T522" i="3" l="1"/>
  <c r="T512" i="3"/>
  <c r="Q490" i="3"/>
  <c r="Q493" i="3"/>
  <c r="AG493" i="3"/>
  <c r="P492" i="3"/>
  <c r="S492" i="3" s="1"/>
  <c r="M492" i="3"/>
  <c r="C492" i="3"/>
  <c r="P491" i="3"/>
  <c r="S491" i="3" s="1"/>
  <c r="M491" i="3"/>
  <c r="C491" i="3"/>
  <c r="AG490" i="3"/>
  <c r="P487" i="3"/>
  <c r="S487" i="3" s="1"/>
  <c r="M487" i="3"/>
  <c r="C487" i="3"/>
  <c r="P483" i="3"/>
  <c r="S483" i="3" s="1"/>
  <c r="M483" i="3"/>
  <c r="C483" i="3"/>
  <c r="P486" i="3"/>
  <c r="S486" i="3" s="1"/>
  <c r="M486" i="3"/>
  <c r="C486" i="3"/>
  <c r="P482" i="3"/>
  <c r="S482" i="3" s="1"/>
  <c r="M482" i="3"/>
  <c r="C482" i="3"/>
  <c r="P489" i="3"/>
  <c r="S489" i="3" s="1"/>
  <c r="M489" i="3"/>
  <c r="C489" i="3"/>
  <c r="P485" i="3"/>
  <c r="S485" i="3" s="1"/>
  <c r="M485" i="3"/>
  <c r="C485" i="3"/>
  <c r="P488" i="3"/>
  <c r="S488" i="3" s="1"/>
  <c r="M488" i="3"/>
  <c r="C488" i="3"/>
  <c r="P484" i="3"/>
  <c r="S484" i="3" s="1"/>
  <c r="M484" i="3"/>
  <c r="C484" i="3"/>
  <c r="Q472" i="3"/>
  <c r="T490" i="3" l="1"/>
  <c r="T493" i="3"/>
  <c r="Q481" i="3"/>
  <c r="P473" i="3"/>
  <c r="S473" i="3" s="1"/>
  <c r="M473" i="3"/>
  <c r="C473" i="3"/>
  <c r="C188" i="4" l="1"/>
  <c r="M188" i="4"/>
  <c r="P188" i="4"/>
  <c r="S188" i="4" s="1"/>
  <c r="C186" i="4"/>
  <c r="M186" i="4"/>
  <c r="P186" i="4"/>
  <c r="S186" i="4" s="1"/>
  <c r="C187" i="4"/>
  <c r="M187" i="4"/>
  <c r="P187" i="4"/>
  <c r="S187" i="4" s="1"/>
  <c r="C185" i="4"/>
  <c r="M185" i="4"/>
  <c r="P185" i="4"/>
  <c r="S185" i="4" s="1"/>
  <c r="M478" i="3" l="1"/>
  <c r="M477" i="3"/>
  <c r="M476" i="3"/>
  <c r="M475" i="3"/>
  <c r="M479" i="3"/>
  <c r="M474" i="3"/>
  <c r="AG481" i="3"/>
  <c r="P474" i="3"/>
  <c r="S474" i="3" s="1"/>
  <c r="C474" i="3"/>
  <c r="P479" i="3"/>
  <c r="S479" i="3" s="1"/>
  <c r="C479" i="3"/>
  <c r="P475" i="3"/>
  <c r="S475" i="3" s="1"/>
  <c r="C475" i="3"/>
  <c r="P476" i="3"/>
  <c r="S476" i="3" s="1"/>
  <c r="C476" i="3"/>
  <c r="P477" i="3"/>
  <c r="S477" i="3" s="1"/>
  <c r="C477" i="3"/>
  <c r="P478" i="3"/>
  <c r="S478" i="3" s="1"/>
  <c r="C478" i="3"/>
  <c r="P480" i="3"/>
  <c r="S480" i="3" s="1"/>
  <c r="M480" i="3"/>
  <c r="C480" i="3"/>
  <c r="AG472" i="3"/>
  <c r="P467" i="3"/>
  <c r="S467" i="3" s="1"/>
  <c r="M467" i="3"/>
  <c r="C467" i="3"/>
  <c r="P466" i="3"/>
  <c r="S466" i="3" s="1"/>
  <c r="M466" i="3"/>
  <c r="C466" i="3"/>
  <c r="P468" i="3"/>
  <c r="S468" i="3" s="1"/>
  <c r="M468" i="3"/>
  <c r="C468" i="3"/>
  <c r="P459" i="3"/>
  <c r="S459" i="3" s="1"/>
  <c r="M459" i="3"/>
  <c r="C459" i="3"/>
  <c r="P458" i="3"/>
  <c r="S458" i="3" s="1"/>
  <c r="M458" i="3"/>
  <c r="C458" i="3"/>
  <c r="P464" i="3"/>
  <c r="S464" i="3" s="1"/>
  <c r="M464" i="3"/>
  <c r="C464" i="3"/>
  <c r="P465" i="3"/>
  <c r="S465" i="3" s="1"/>
  <c r="M465" i="3"/>
  <c r="C465" i="3"/>
  <c r="P461" i="3"/>
  <c r="S461" i="3" s="1"/>
  <c r="M461" i="3"/>
  <c r="C461" i="3"/>
  <c r="P460" i="3"/>
  <c r="S460" i="3" s="1"/>
  <c r="M460" i="3"/>
  <c r="C460" i="3"/>
  <c r="P463" i="3"/>
  <c r="S463" i="3" s="1"/>
  <c r="M463" i="3"/>
  <c r="C463" i="3"/>
  <c r="P471" i="3"/>
  <c r="S471" i="3" s="1"/>
  <c r="M471" i="3"/>
  <c r="C471" i="3"/>
  <c r="P462" i="3"/>
  <c r="S462" i="3" s="1"/>
  <c r="M462" i="3"/>
  <c r="C462" i="3"/>
  <c r="P470" i="3"/>
  <c r="S470" i="3" s="1"/>
  <c r="M470" i="3"/>
  <c r="C470" i="3"/>
  <c r="P469" i="3"/>
  <c r="S469" i="3" s="1"/>
  <c r="M469" i="3"/>
  <c r="C469" i="3"/>
  <c r="Q457" i="3"/>
  <c r="M454" i="3"/>
  <c r="M456" i="3"/>
  <c r="M446" i="3"/>
  <c r="P446" i="3"/>
  <c r="S446" i="3" s="1"/>
  <c r="C446" i="3"/>
  <c r="P456" i="3"/>
  <c r="S456" i="3" s="1"/>
  <c r="C456" i="3"/>
  <c r="P454" i="3"/>
  <c r="S454" i="3" s="1"/>
  <c r="C454" i="3"/>
  <c r="P455" i="3"/>
  <c r="S455" i="3" s="1"/>
  <c r="M455" i="3"/>
  <c r="C455" i="3"/>
  <c r="AG457" i="3"/>
  <c r="P450" i="3"/>
  <c r="S450" i="3" s="1"/>
  <c r="M450" i="3"/>
  <c r="C450" i="3"/>
  <c r="P448" i="3"/>
  <c r="S448" i="3" s="1"/>
  <c r="M448" i="3"/>
  <c r="C448" i="3"/>
  <c r="P451" i="3"/>
  <c r="S451" i="3" s="1"/>
  <c r="M451" i="3"/>
  <c r="C451" i="3"/>
  <c r="P452" i="3"/>
  <c r="S452" i="3" s="1"/>
  <c r="M452" i="3"/>
  <c r="C452" i="3"/>
  <c r="P453" i="3"/>
  <c r="S453" i="3" s="1"/>
  <c r="M453" i="3"/>
  <c r="C453" i="3"/>
  <c r="P447" i="3"/>
  <c r="S447" i="3" s="1"/>
  <c r="M447" i="3"/>
  <c r="C447" i="3"/>
  <c r="P449" i="3"/>
  <c r="S449" i="3" s="1"/>
  <c r="M449" i="3"/>
  <c r="C449" i="3"/>
  <c r="T481" i="3" l="1"/>
  <c r="T472" i="3"/>
  <c r="T457" i="3"/>
  <c r="C184" i="4"/>
  <c r="M184" i="4"/>
  <c r="P184" i="4"/>
  <c r="S184" i="4" s="1"/>
  <c r="C181" i="4"/>
  <c r="M181" i="4"/>
  <c r="P181" i="4"/>
  <c r="S181" i="4" s="1"/>
  <c r="C182" i="4"/>
  <c r="M182" i="4"/>
  <c r="P182" i="4"/>
  <c r="S182" i="4" s="1"/>
  <c r="C183" i="4"/>
  <c r="M183" i="4"/>
  <c r="P183" i="4"/>
  <c r="S183" i="4" s="1"/>
  <c r="C179" i="4"/>
  <c r="M179" i="4"/>
  <c r="P179" i="4"/>
  <c r="S179" i="4" s="1"/>
  <c r="C180" i="4"/>
  <c r="M180" i="4"/>
  <c r="P180" i="4"/>
  <c r="S180" i="4" s="1"/>
  <c r="Q445" i="3" l="1"/>
  <c r="AG445" i="3"/>
  <c r="P444" i="3"/>
  <c r="S444" i="3" s="1"/>
  <c r="M444" i="3"/>
  <c r="C444" i="3"/>
  <c r="P442" i="3"/>
  <c r="S442" i="3" s="1"/>
  <c r="M442" i="3"/>
  <c r="C442" i="3"/>
  <c r="P443" i="3"/>
  <c r="S443" i="3" s="1"/>
  <c r="M443" i="3"/>
  <c r="C443" i="3"/>
  <c r="Q441" i="3"/>
  <c r="Q436" i="3"/>
  <c r="T445" i="3" l="1"/>
  <c r="C178" i="4"/>
  <c r="M178" i="4"/>
  <c r="P178" i="4"/>
  <c r="S178" i="4" s="1"/>
  <c r="AG441" i="3"/>
  <c r="P438" i="3"/>
  <c r="S438" i="3" s="1"/>
  <c r="M438" i="3"/>
  <c r="C438" i="3"/>
  <c r="P440" i="3"/>
  <c r="S440" i="3" s="1"/>
  <c r="M440" i="3"/>
  <c r="C440" i="3"/>
  <c r="AG436" i="3"/>
  <c r="P434" i="3"/>
  <c r="S434" i="3" s="1"/>
  <c r="M434" i="3"/>
  <c r="C434" i="3"/>
  <c r="P431" i="3"/>
  <c r="S431" i="3" s="1"/>
  <c r="M431" i="3"/>
  <c r="C431" i="3"/>
  <c r="P433" i="3"/>
  <c r="S433" i="3" s="1"/>
  <c r="M433" i="3"/>
  <c r="C433" i="3"/>
  <c r="P435" i="3"/>
  <c r="S435" i="3" s="1"/>
  <c r="M435" i="3"/>
  <c r="C435" i="3"/>
  <c r="P432" i="3"/>
  <c r="S432" i="3" s="1"/>
  <c r="M432" i="3"/>
  <c r="C432" i="3"/>
  <c r="P437" i="3"/>
  <c r="S437" i="3" s="1"/>
  <c r="M437" i="3"/>
  <c r="C437" i="3"/>
  <c r="P439" i="3"/>
  <c r="S439" i="3" s="1"/>
  <c r="M439" i="3"/>
  <c r="C439" i="3"/>
  <c r="C175" i="4"/>
  <c r="M175" i="4"/>
  <c r="P175" i="4"/>
  <c r="S175" i="4" s="1"/>
  <c r="C176" i="4"/>
  <c r="M176" i="4"/>
  <c r="P176" i="4"/>
  <c r="S176" i="4" s="1"/>
  <c r="C177" i="4"/>
  <c r="M177" i="4"/>
  <c r="P177" i="4"/>
  <c r="S177" i="4" s="1"/>
  <c r="C174" i="4"/>
  <c r="M174" i="4"/>
  <c r="P174" i="4"/>
  <c r="S174" i="4" s="1"/>
  <c r="T441" i="3" l="1"/>
  <c r="T436" i="3"/>
  <c r="Q430" i="3"/>
  <c r="M426" i="3"/>
  <c r="M427" i="3"/>
  <c r="M428" i="3"/>
  <c r="M429" i="3"/>
  <c r="Q423" i="3"/>
  <c r="M418" i="3"/>
  <c r="M419" i="3"/>
  <c r="M420" i="3"/>
  <c r="M421" i="3"/>
  <c r="M422" i="3"/>
  <c r="C169" i="4"/>
  <c r="M169" i="4"/>
  <c r="P169" i="4"/>
  <c r="S169" i="4" s="1"/>
  <c r="C170" i="4"/>
  <c r="M170" i="4"/>
  <c r="P170" i="4"/>
  <c r="S170" i="4" s="1"/>
  <c r="C171" i="4"/>
  <c r="M171" i="4"/>
  <c r="P171" i="4"/>
  <c r="S171" i="4" s="1"/>
  <c r="C172" i="4"/>
  <c r="M172" i="4"/>
  <c r="P172" i="4"/>
  <c r="S172" i="4" s="1"/>
  <c r="C173" i="4"/>
  <c r="M173" i="4"/>
  <c r="P173" i="4"/>
  <c r="S173" i="4" s="1"/>
  <c r="C168" i="4"/>
  <c r="M168" i="4"/>
  <c r="P168" i="4"/>
  <c r="S168" i="4" s="1"/>
  <c r="M147" i="2" l="1"/>
  <c r="P418" i="3"/>
  <c r="S418" i="3" s="1"/>
  <c r="C418" i="3"/>
  <c r="AG430" i="3"/>
  <c r="P429" i="3"/>
  <c r="S429" i="3" s="1"/>
  <c r="C429" i="3"/>
  <c r="P427" i="3"/>
  <c r="S427" i="3" s="1"/>
  <c r="C427" i="3"/>
  <c r="P424" i="3"/>
  <c r="S424" i="3" s="1"/>
  <c r="M424" i="3"/>
  <c r="C424" i="3"/>
  <c r="P428" i="3"/>
  <c r="S428" i="3" s="1"/>
  <c r="C428" i="3"/>
  <c r="P426" i="3"/>
  <c r="S426" i="3" s="1"/>
  <c r="C426" i="3"/>
  <c r="P425" i="3"/>
  <c r="S425" i="3" s="1"/>
  <c r="M425" i="3"/>
  <c r="C425" i="3"/>
  <c r="AG423" i="3"/>
  <c r="P421" i="3"/>
  <c r="S421" i="3" s="1"/>
  <c r="C421" i="3"/>
  <c r="P422" i="3"/>
  <c r="S422" i="3" s="1"/>
  <c r="C422" i="3"/>
  <c r="P420" i="3"/>
  <c r="S420" i="3" s="1"/>
  <c r="C420" i="3"/>
  <c r="P419" i="3"/>
  <c r="S419" i="3" s="1"/>
  <c r="C419" i="3"/>
  <c r="P417" i="3"/>
  <c r="S417" i="3" s="1"/>
  <c r="M417" i="3"/>
  <c r="C417" i="3"/>
  <c r="Q416" i="3"/>
  <c r="Q412" i="3"/>
  <c r="Q406" i="3"/>
  <c r="AG416" i="3"/>
  <c r="P414" i="3"/>
  <c r="S414" i="3" s="1"/>
  <c r="M414" i="3"/>
  <c r="C414" i="3"/>
  <c r="P413" i="3"/>
  <c r="S413" i="3" s="1"/>
  <c r="M413" i="3"/>
  <c r="C413" i="3"/>
  <c r="P415" i="3"/>
  <c r="S415" i="3" s="1"/>
  <c r="M415" i="3"/>
  <c r="C415" i="3"/>
  <c r="AG412" i="3"/>
  <c r="P411" i="3"/>
  <c r="S411" i="3" s="1"/>
  <c r="M411" i="3"/>
  <c r="C411" i="3"/>
  <c r="P407" i="3"/>
  <c r="S407" i="3" s="1"/>
  <c r="M407" i="3"/>
  <c r="C407" i="3"/>
  <c r="P410" i="3"/>
  <c r="S410" i="3" s="1"/>
  <c r="M410" i="3"/>
  <c r="C410" i="3"/>
  <c r="P408" i="3"/>
  <c r="S408" i="3" s="1"/>
  <c r="M408" i="3"/>
  <c r="C408" i="3"/>
  <c r="P409" i="3"/>
  <c r="S409" i="3" s="1"/>
  <c r="M409" i="3"/>
  <c r="C409" i="3"/>
  <c r="AG406" i="3"/>
  <c r="P404" i="3"/>
  <c r="S404" i="3" s="1"/>
  <c r="M404" i="3"/>
  <c r="C404" i="3"/>
  <c r="P403" i="3"/>
  <c r="S403" i="3" s="1"/>
  <c r="M403" i="3"/>
  <c r="C403" i="3"/>
  <c r="P400" i="3"/>
  <c r="S400" i="3" s="1"/>
  <c r="M400" i="3"/>
  <c r="C400" i="3"/>
  <c r="P401" i="3"/>
  <c r="S401" i="3" s="1"/>
  <c r="M401" i="3"/>
  <c r="C401" i="3"/>
  <c r="P405" i="3"/>
  <c r="S405" i="3" s="1"/>
  <c r="M405" i="3"/>
  <c r="C405" i="3"/>
  <c r="P402" i="3"/>
  <c r="S402" i="3" s="1"/>
  <c r="M402" i="3"/>
  <c r="C402" i="3"/>
  <c r="Q393" i="3"/>
  <c r="C163" i="4"/>
  <c r="M163" i="4"/>
  <c r="P163" i="4"/>
  <c r="S163" i="4" s="1"/>
  <c r="C164" i="4"/>
  <c r="M164" i="4"/>
  <c r="P164" i="4"/>
  <c r="S164" i="4" s="1"/>
  <c r="C165" i="4"/>
  <c r="M165" i="4"/>
  <c r="P165" i="4"/>
  <c r="S165" i="4" s="1"/>
  <c r="C166" i="4"/>
  <c r="M166" i="4"/>
  <c r="P166" i="4"/>
  <c r="S166" i="4" s="1"/>
  <c r="C167" i="4"/>
  <c r="M167" i="4"/>
  <c r="P167" i="4"/>
  <c r="S167" i="4" s="1"/>
  <c r="C159" i="4"/>
  <c r="M159" i="4"/>
  <c r="P159" i="4"/>
  <c r="S159" i="4" s="1"/>
  <c r="C160" i="4"/>
  <c r="M160" i="4"/>
  <c r="P160" i="4"/>
  <c r="S160" i="4" s="1"/>
  <c r="C161" i="4"/>
  <c r="M161" i="4"/>
  <c r="P161" i="4"/>
  <c r="S161" i="4" s="1"/>
  <c r="C162" i="4"/>
  <c r="M162" i="4"/>
  <c r="P162" i="4"/>
  <c r="S162" i="4" s="1"/>
  <c r="C146" i="4"/>
  <c r="M146" i="4"/>
  <c r="P146" i="4"/>
  <c r="S146" i="4" s="1"/>
  <c r="C147" i="4"/>
  <c r="M147" i="4"/>
  <c r="P147" i="4"/>
  <c r="S147" i="4" s="1"/>
  <c r="C148" i="4"/>
  <c r="M148" i="4"/>
  <c r="P148" i="4"/>
  <c r="S148" i="4" s="1"/>
  <c r="C149" i="4"/>
  <c r="M149" i="4"/>
  <c r="P149" i="4"/>
  <c r="S149" i="4" s="1"/>
  <c r="C150" i="4"/>
  <c r="M150" i="4"/>
  <c r="P150" i="4"/>
  <c r="S150" i="4" s="1"/>
  <c r="C151" i="4"/>
  <c r="M151" i="4"/>
  <c r="P151" i="4"/>
  <c r="S151" i="4" s="1"/>
  <c r="C152" i="4"/>
  <c r="M152" i="4"/>
  <c r="P152" i="4"/>
  <c r="S152" i="4" s="1"/>
  <c r="C153" i="4"/>
  <c r="M153" i="4"/>
  <c r="P153" i="4"/>
  <c r="S153" i="4" s="1"/>
  <c r="C154" i="4"/>
  <c r="M154" i="4"/>
  <c r="P154" i="4"/>
  <c r="S154" i="4" s="1"/>
  <c r="C155" i="4"/>
  <c r="M155" i="4"/>
  <c r="P155" i="4"/>
  <c r="S155" i="4" s="1"/>
  <c r="C156" i="4"/>
  <c r="M156" i="4"/>
  <c r="P156" i="4"/>
  <c r="S156" i="4" s="1"/>
  <c r="C157" i="4"/>
  <c r="M157" i="4"/>
  <c r="P157" i="4"/>
  <c r="S157" i="4" s="1"/>
  <c r="C158" i="4"/>
  <c r="M158" i="4"/>
  <c r="P158" i="4"/>
  <c r="S158" i="4" s="1"/>
  <c r="C145" i="4"/>
  <c r="M145" i="4"/>
  <c r="P145" i="4"/>
  <c r="S145" i="4" s="1"/>
  <c r="T423" i="3" l="1"/>
  <c r="T430" i="3"/>
  <c r="T416" i="3"/>
  <c r="T412" i="3"/>
  <c r="T406" i="3"/>
  <c r="Q399" i="3"/>
  <c r="AG399" i="3"/>
  <c r="P398" i="3"/>
  <c r="S398" i="3" s="1"/>
  <c r="M398" i="3"/>
  <c r="C398" i="3"/>
  <c r="P396" i="3"/>
  <c r="S396" i="3" s="1"/>
  <c r="M396" i="3"/>
  <c r="C396" i="3"/>
  <c r="P395" i="3"/>
  <c r="S395" i="3" s="1"/>
  <c r="M395" i="3"/>
  <c r="C395" i="3"/>
  <c r="P397" i="3"/>
  <c r="S397" i="3" s="1"/>
  <c r="M397" i="3"/>
  <c r="C397" i="3"/>
  <c r="P394" i="3"/>
  <c r="S394" i="3" s="1"/>
  <c r="M394" i="3"/>
  <c r="C394" i="3"/>
  <c r="Q388" i="3"/>
  <c r="AG393" i="3"/>
  <c r="P391" i="3"/>
  <c r="S391" i="3" s="1"/>
  <c r="M391" i="3"/>
  <c r="C391" i="3"/>
  <c r="P390" i="3"/>
  <c r="S390" i="3" s="1"/>
  <c r="M390" i="3"/>
  <c r="C390" i="3"/>
  <c r="P389" i="3"/>
  <c r="S389" i="3" s="1"/>
  <c r="M389" i="3"/>
  <c r="C389" i="3"/>
  <c r="P392" i="3"/>
  <c r="S392" i="3" s="1"/>
  <c r="M392" i="3"/>
  <c r="C392" i="3"/>
  <c r="AG388" i="3"/>
  <c r="P379" i="3"/>
  <c r="S379" i="3" s="1"/>
  <c r="M379" i="3"/>
  <c r="C379" i="3"/>
  <c r="P380" i="3"/>
  <c r="S380" i="3" s="1"/>
  <c r="M380" i="3"/>
  <c r="C380" i="3"/>
  <c r="P382" i="3"/>
  <c r="S382" i="3" s="1"/>
  <c r="M382" i="3"/>
  <c r="C382" i="3"/>
  <c r="P385" i="3"/>
  <c r="S385" i="3" s="1"/>
  <c r="M385" i="3"/>
  <c r="C385" i="3"/>
  <c r="P381" i="3"/>
  <c r="S381" i="3" s="1"/>
  <c r="M381" i="3"/>
  <c r="C381" i="3"/>
  <c r="P387" i="3"/>
  <c r="S387" i="3" s="1"/>
  <c r="M387" i="3"/>
  <c r="C387" i="3"/>
  <c r="P386" i="3"/>
  <c r="S386" i="3" s="1"/>
  <c r="M386" i="3"/>
  <c r="C386" i="3"/>
  <c r="P383" i="3"/>
  <c r="S383" i="3" s="1"/>
  <c r="M383" i="3"/>
  <c r="C383" i="3"/>
  <c r="P384" i="3"/>
  <c r="S384" i="3" s="1"/>
  <c r="M384" i="3"/>
  <c r="C384" i="3"/>
  <c r="Q378" i="3"/>
  <c r="P147" i="2"/>
  <c r="P167" i="2" s="1"/>
  <c r="AG378" i="3"/>
  <c r="P373" i="3"/>
  <c r="S373" i="3" s="1"/>
  <c r="M373" i="3"/>
  <c r="C373" i="3"/>
  <c r="P372" i="3"/>
  <c r="S372" i="3" s="1"/>
  <c r="M372" i="3"/>
  <c r="C372" i="3"/>
  <c r="P375" i="3"/>
  <c r="S375" i="3" s="1"/>
  <c r="M375" i="3"/>
  <c r="C375" i="3"/>
  <c r="P377" i="3"/>
  <c r="S377" i="3" s="1"/>
  <c r="M377" i="3"/>
  <c r="C377" i="3"/>
  <c r="P376" i="3"/>
  <c r="S376" i="3" s="1"/>
  <c r="M376" i="3"/>
  <c r="C376" i="3"/>
  <c r="P374" i="3"/>
  <c r="S374" i="3" s="1"/>
  <c r="M374" i="3"/>
  <c r="C374" i="3"/>
  <c r="F195" i="2" l="1"/>
  <c r="F176" i="2"/>
  <c r="S147" i="2"/>
  <c r="S167" i="2" s="1"/>
  <c r="T393" i="3"/>
  <c r="T399" i="3"/>
  <c r="T388" i="3"/>
  <c r="T378" i="3"/>
  <c r="Q371" i="3"/>
  <c r="Q361" i="3"/>
  <c r="AG371" i="3"/>
  <c r="P368" i="3"/>
  <c r="S368" i="3" s="1"/>
  <c r="M368" i="3"/>
  <c r="C368" i="3"/>
  <c r="M364" i="3"/>
  <c r="M365" i="3"/>
  <c r="M363" i="3"/>
  <c r="P363" i="3"/>
  <c r="S363" i="3" s="1"/>
  <c r="C363" i="3"/>
  <c r="P365" i="3"/>
  <c r="S365" i="3" s="1"/>
  <c r="C365" i="3"/>
  <c r="P364" i="3"/>
  <c r="S364" i="3" s="1"/>
  <c r="C364" i="3"/>
  <c r="P366" i="3"/>
  <c r="S366" i="3" s="1"/>
  <c r="M366" i="3"/>
  <c r="C366" i="3"/>
  <c r="P367" i="3"/>
  <c r="S367" i="3" s="1"/>
  <c r="M367" i="3"/>
  <c r="C367" i="3"/>
  <c r="P370" i="3"/>
  <c r="S370" i="3" s="1"/>
  <c r="M370" i="3"/>
  <c r="C370" i="3"/>
  <c r="P362" i="3"/>
  <c r="S362" i="3" s="1"/>
  <c r="M362" i="3"/>
  <c r="C362" i="3"/>
  <c r="P369" i="3"/>
  <c r="S369" i="3" s="1"/>
  <c r="M369" i="3"/>
  <c r="C369" i="3"/>
  <c r="AG361" i="3"/>
  <c r="P360" i="3"/>
  <c r="S360" i="3" s="1"/>
  <c r="M360" i="3"/>
  <c r="C360" i="3"/>
  <c r="P357" i="3"/>
  <c r="S357" i="3" s="1"/>
  <c r="M357" i="3"/>
  <c r="C357" i="3"/>
  <c r="P358" i="3"/>
  <c r="S358" i="3" s="1"/>
  <c r="M358" i="3"/>
  <c r="C358" i="3"/>
  <c r="P359" i="3"/>
  <c r="S359" i="3" s="1"/>
  <c r="M359" i="3"/>
  <c r="C359" i="3"/>
  <c r="Q347" i="3"/>
  <c r="M344" i="3"/>
  <c r="M345" i="3"/>
  <c r="M346" i="3"/>
  <c r="Q356" i="3"/>
  <c r="AG356" i="3"/>
  <c r="P353" i="3"/>
  <c r="S353" i="3" s="1"/>
  <c r="M353" i="3"/>
  <c r="C353" i="3"/>
  <c r="P349" i="3"/>
  <c r="S349" i="3" s="1"/>
  <c r="M349" i="3"/>
  <c r="C349" i="3"/>
  <c r="P351" i="3"/>
  <c r="S351" i="3" s="1"/>
  <c r="M351" i="3"/>
  <c r="C351" i="3"/>
  <c r="P350" i="3"/>
  <c r="S350" i="3" s="1"/>
  <c r="M350" i="3"/>
  <c r="C350" i="3"/>
  <c r="P355" i="3"/>
  <c r="S355" i="3" s="1"/>
  <c r="M355" i="3"/>
  <c r="C355" i="3"/>
  <c r="P354" i="3"/>
  <c r="S354" i="3" s="1"/>
  <c r="M354" i="3"/>
  <c r="C354" i="3"/>
  <c r="P352" i="3"/>
  <c r="S352" i="3" s="1"/>
  <c r="M352" i="3"/>
  <c r="C352" i="3"/>
  <c r="P348" i="3"/>
  <c r="S348" i="3" s="1"/>
  <c r="M348" i="3"/>
  <c r="C348" i="3"/>
  <c r="C141" i="4"/>
  <c r="M141" i="4"/>
  <c r="P141" i="4"/>
  <c r="S141" i="4" s="1"/>
  <c r="C142" i="4"/>
  <c r="M142" i="4"/>
  <c r="P142" i="4"/>
  <c r="S142" i="4" s="1"/>
  <c r="C143" i="4"/>
  <c r="M143" i="4"/>
  <c r="P143" i="4"/>
  <c r="S143" i="4" s="1"/>
  <c r="C144" i="4"/>
  <c r="M144" i="4"/>
  <c r="P144" i="4"/>
  <c r="S144" i="4" s="1"/>
  <c r="C138" i="4"/>
  <c r="M138" i="4"/>
  <c r="P138" i="4"/>
  <c r="S138" i="4" s="1"/>
  <c r="C139" i="4"/>
  <c r="M139" i="4"/>
  <c r="P139" i="4"/>
  <c r="S139" i="4" s="1"/>
  <c r="C140" i="4"/>
  <c r="M140" i="4"/>
  <c r="P140" i="4"/>
  <c r="S140" i="4" s="1"/>
  <c r="C133" i="4"/>
  <c r="M133" i="4"/>
  <c r="P133" i="4"/>
  <c r="S133" i="4" s="1"/>
  <c r="C134" i="4"/>
  <c r="M134" i="4"/>
  <c r="P134" i="4"/>
  <c r="S134" i="4" s="1"/>
  <c r="C135" i="4"/>
  <c r="M135" i="4"/>
  <c r="P135" i="4"/>
  <c r="S135" i="4" s="1"/>
  <c r="C136" i="4"/>
  <c r="M136" i="4"/>
  <c r="P136" i="4"/>
  <c r="S136" i="4" s="1"/>
  <c r="C137" i="4"/>
  <c r="M137" i="4"/>
  <c r="P137" i="4"/>
  <c r="S137" i="4" s="1"/>
  <c r="T371" i="3" l="1"/>
  <c r="T361" i="3"/>
  <c r="T356" i="3"/>
  <c r="Q334" i="3"/>
  <c r="Q327" i="3"/>
  <c r="P320" i="3"/>
  <c r="S320" i="3" s="1"/>
  <c r="M320" i="3"/>
  <c r="C320" i="3"/>
  <c r="P344" i="3"/>
  <c r="S344" i="3" s="1"/>
  <c r="C344" i="3"/>
  <c r="AG347" i="3"/>
  <c r="P336" i="3"/>
  <c r="S336" i="3" s="1"/>
  <c r="M336" i="3"/>
  <c r="C336" i="3"/>
  <c r="P337" i="3"/>
  <c r="S337" i="3" s="1"/>
  <c r="M337" i="3"/>
  <c r="C337" i="3"/>
  <c r="P340" i="3"/>
  <c r="S340" i="3" s="1"/>
  <c r="M340" i="3"/>
  <c r="C340" i="3"/>
  <c r="P338" i="3"/>
  <c r="S338" i="3" s="1"/>
  <c r="M338" i="3"/>
  <c r="C338" i="3"/>
  <c r="P339" i="3"/>
  <c r="S339" i="3" s="1"/>
  <c r="M339" i="3"/>
  <c r="C339" i="3"/>
  <c r="P335" i="3"/>
  <c r="S335" i="3" s="1"/>
  <c r="M335" i="3"/>
  <c r="C335" i="3"/>
  <c r="P345" i="3"/>
  <c r="S345" i="3" s="1"/>
  <c r="C345" i="3"/>
  <c r="P346" i="3"/>
  <c r="S346" i="3" s="1"/>
  <c r="C346" i="3"/>
  <c r="P342" i="3"/>
  <c r="S342" i="3" s="1"/>
  <c r="M342" i="3"/>
  <c r="C342" i="3"/>
  <c r="P343" i="3"/>
  <c r="S343" i="3" s="1"/>
  <c r="M343" i="3"/>
  <c r="C343" i="3"/>
  <c r="P341" i="3"/>
  <c r="S341" i="3" s="1"/>
  <c r="M341" i="3"/>
  <c r="C341" i="3"/>
  <c r="AG334" i="3"/>
  <c r="P333" i="3"/>
  <c r="S333" i="3" s="1"/>
  <c r="M333" i="3"/>
  <c r="C333" i="3"/>
  <c r="P328" i="3"/>
  <c r="S328" i="3" s="1"/>
  <c r="M328" i="3"/>
  <c r="C328" i="3"/>
  <c r="P329" i="3"/>
  <c r="S329" i="3" s="1"/>
  <c r="M329" i="3"/>
  <c r="C329" i="3"/>
  <c r="P332" i="3"/>
  <c r="S332" i="3" s="1"/>
  <c r="M332" i="3"/>
  <c r="C332" i="3"/>
  <c r="P331" i="3"/>
  <c r="S331" i="3" s="1"/>
  <c r="M331" i="3"/>
  <c r="C331" i="3"/>
  <c r="P330" i="3"/>
  <c r="S330" i="3" s="1"/>
  <c r="M330" i="3"/>
  <c r="C330" i="3"/>
  <c r="Q317" i="3"/>
  <c r="Q306" i="3"/>
  <c r="AG327" i="3"/>
  <c r="P324" i="3"/>
  <c r="S324" i="3" s="1"/>
  <c r="M324" i="3"/>
  <c r="C324" i="3"/>
  <c r="P326" i="3"/>
  <c r="S326" i="3" s="1"/>
  <c r="M326" i="3"/>
  <c r="C326" i="3"/>
  <c r="P319" i="3"/>
  <c r="S319" i="3" s="1"/>
  <c r="M319" i="3"/>
  <c r="C319" i="3"/>
  <c r="P325" i="3"/>
  <c r="S325" i="3" s="1"/>
  <c r="M325" i="3"/>
  <c r="C325" i="3"/>
  <c r="P322" i="3"/>
  <c r="S322" i="3" s="1"/>
  <c r="M322" i="3"/>
  <c r="C322" i="3"/>
  <c r="P323" i="3"/>
  <c r="S323" i="3" s="1"/>
  <c r="M323" i="3"/>
  <c r="C323" i="3"/>
  <c r="P318" i="3"/>
  <c r="S318" i="3" s="1"/>
  <c r="M318" i="3"/>
  <c r="C318" i="3"/>
  <c r="P321" i="3"/>
  <c r="S321" i="3" s="1"/>
  <c r="M321" i="3"/>
  <c r="C321" i="3"/>
  <c r="M315" i="3"/>
  <c r="M313" i="3"/>
  <c r="M307" i="3"/>
  <c r="M310" i="3"/>
  <c r="M314" i="3"/>
  <c r="AG317" i="3"/>
  <c r="P314" i="3"/>
  <c r="S314" i="3" s="1"/>
  <c r="C314" i="3"/>
  <c r="P310" i="3"/>
  <c r="S310" i="3" s="1"/>
  <c r="C310" i="3"/>
  <c r="P307" i="3"/>
  <c r="S307" i="3" s="1"/>
  <c r="C307" i="3"/>
  <c r="P313" i="3"/>
  <c r="S313" i="3" s="1"/>
  <c r="C313" i="3"/>
  <c r="P315" i="3"/>
  <c r="S315" i="3" s="1"/>
  <c r="C315" i="3"/>
  <c r="P312" i="3"/>
  <c r="S312" i="3" s="1"/>
  <c r="M312" i="3"/>
  <c r="C312" i="3"/>
  <c r="P311" i="3"/>
  <c r="S311" i="3" s="1"/>
  <c r="M311" i="3"/>
  <c r="C311" i="3"/>
  <c r="P316" i="3"/>
  <c r="S316" i="3" s="1"/>
  <c r="M316" i="3"/>
  <c r="C316" i="3"/>
  <c r="P308" i="3"/>
  <c r="S308" i="3" s="1"/>
  <c r="M308" i="3"/>
  <c r="C308" i="3"/>
  <c r="P309" i="3"/>
  <c r="S309" i="3" s="1"/>
  <c r="M309" i="3"/>
  <c r="C309" i="3"/>
  <c r="C132" i="4"/>
  <c r="M132" i="4"/>
  <c r="P132" i="4"/>
  <c r="S132" i="4" s="1"/>
  <c r="C130" i="4"/>
  <c r="M130" i="4"/>
  <c r="P130" i="4"/>
  <c r="S130" i="4" s="1"/>
  <c r="C131" i="4"/>
  <c r="M131" i="4"/>
  <c r="P131" i="4"/>
  <c r="S131" i="4" s="1"/>
  <c r="C126" i="4"/>
  <c r="M126" i="4"/>
  <c r="P126" i="4"/>
  <c r="S126" i="4" s="1"/>
  <c r="C127" i="4"/>
  <c r="M127" i="4"/>
  <c r="P127" i="4"/>
  <c r="S127" i="4" s="1"/>
  <c r="C128" i="4"/>
  <c r="M128" i="4"/>
  <c r="P128" i="4"/>
  <c r="S128" i="4" s="1"/>
  <c r="C129" i="4"/>
  <c r="M129" i="4"/>
  <c r="P129" i="4"/>
  <c r="S129" i="4" s="1"/>
  <c r="T347" i="3" l="1"/>
  <c r="T334" i="3"/>
  <c r="T327" i="3"/>
  <c r="T317" i="3"/>
  <c r="Q298" i="3"/>
  <c r="AG306" i="3"/>
  <c r="P300" i="3"/>
  <c r="S300" i="3" s="1"/>
  <c r="M300" i="3"/>
  <c r="C300" i="3"/>
  <c r="P303" i="3"/>
  <c r="S303" i="3" s="1"/>
  <c r="M303" i="3"/>
  <c r="C303" i="3"/>
  <c r="P299" i="3"/>
  <c r="S299" i="3" s="1"/>
  <c r="M299" i="3"/>
  <c r="C299" i="3"/>
  <c r="P304" i="3"/>
  <c r="S304" i="3" s="1"/>
  <c r="M304" i="3"/>
  <c r="C304" i="3"/>
  <c r="P302" i="3"/>
  <c r="S302" i="3" s="1"/>
  <c r="M302" i="3"/>
  <c r="C302" i="3"/>
  <c r="P301" i="3"/>
  <c r="S301" i="3" s="1"/>
  <c r="M301" i="3"/>
  <c r="C301" i="3"/>
  <c r="P305" i="3"/>
  <c r="S305" i="3" s="1"/>
  <c r="M305" i="3"/>
  <c r="C305" i="3"/>
  <c r="AG298" i="3"/>
  <c r="P297" i="3"/>
  <c r="S297" i="3" s="1"/>
  <c r="M297" i="3"/>
  <c r="C297" i="3"/>
  <c r="P293" i="3"/>
  <c r="S293" i="3" s="1"/>
  <c r="M293" i="3"/>
  <c r="C293" i="3"/>
  <c r="P295" i="3"/>
  <c r="S295" i="3" s="1"/>
  <c r="M295" i="3"/>
  <c r="C295" i="3"/>
  <c r="P296" i="3"/>
  <c r="S296" i="3" s="1"/>
  <c r="M296" i="3"/>
  <c r="C296" i="3"/>
  <c r="P292" i="3"/>
  <c r="S292" i="3" s="1"/>
  <c r="M292" i="3"/>
  <c r="C292" i="3"/>
  <c r="P294" i="3"/>
  <c r="S294" i="3" s="1"/>
  <c r="M294" i="3"/>
  <c r="C294" i="3"/>
  <c r="Q285" i="3"/>
  <c r="P284" i="3"/>
  <c r="S284" i="3" s="1"/>
  <c r="M284" i="3"/>
  <c r="C284" i="3"/>
  <c r="Q275" i="3"/>
  <c r="C124" i="4"/>
  <c r="M124" i="4"/>
  <c r="P124" i="4"/>
  <c r="S124" i="4" s="1"/>
  <c r="C125" i="4"/>
  <c r="M125" i="4"/>
  <c r="P125" i="4"/>
  <c r="S125" i="4" s="1"/>
  <c r="C122" i="4"/>
  <c r="M122" i="4"/>
  <c r="P122" i="4"/>
  <c r="S122" i="4" s="1"/>
  <c r="C123" i="4"/>
  <c r="M123" i="4"/>
  <c r="P123" i="4"/>
  <c r="S123" i="4" s="1"/>
  <c r="C113" i="4"/>
  <c r="M113" i="4"/>
  <c r="P113" i="4"/>
  <c r="S113" i="4" s="1"/>
  <c r="C114" i="4"/>
  <c r="M114" i="4"/>
  <c r="P114" i="4"/>
  <c r="S114" i="4" s="1"/>
  <c r="C115" i="4"/>
  <c r="M115" i="4"/>
  <c r="P115" i="4"/>
  <c r="S115" i="4" s="1"/>
  <c r="C116" i="4"/>
  <c r="M116" i="4"/>
  <c r="P116" i="4"/>
  <c r="S116" i="4" s="1"/>
  <c r="C117" i="4"/>
  <c r="M117" i="4"/>
  <c r="P117" i="4"/>
  <c r="S117" i="4" s="1"/>
  <c r="C118" i="4"/>
  <c r="M118" i="4"/>
  <c r="P118" i="4"/>
  <c r="S118" i="4" s="1"/>
  <c r="C119" i="4"/>
  <c r="M119" i="4"/>
  <c r="P119" i="4"/>
  <c r="S119" i="4" s="1"/>
  <c r="C120" i="4"/>
  <c r="M120" i="4"/>
  <c r="P120" i="4"/>
  <c r="S120" i="4" s="1"/>
  <c r="C121" i="4"/>
  <c r="M121" i="4"/>
  <c r="P121" i="4"/>
  <c r="S121" i="4" s="1"/>
  <c r="T306" i="3" l="1"/>
  <c r="T298" i="3"/>
  <c r="Q291" i="3" l="1"/>
  <c r="AG291" i="3"/>
  <c r="P288" i="3"/>
  <c r="S288" i="3" s="1"/>
  <c r="M288" i="3"/>
  <c r="C288" i="3"/>
  <c r="P287" i="3"/>
  <c r="S287" i="3" s="1"/>
  <c r="M287" i="3"/>
  <c r="C287" i="3"/>
  <c r="P290" i="3"/>
  <c r="S290" i="3" s="1"/>
  <c r="M290" i="3"/>
  <c r="C290" i="3"/>
  <c r="P289" i="3"/>
  <c r="S289" i="3" s="1"/>
  <c r="M289" i="3"/>
  <c r="C289" i="3"/>
  <c r="P286" i="3"/>
  <c r="S286" i="3" s="1"/>
  <c r="M286" i="3"/>
  <c r="C286" i="3"/>
  <c r="AG285" i="3"/>
  <c r="P281" i="3"/>
  <c r="S281" i="3" s="1"/>
  <c r="M281" i="3"/>
  <c r="C281" i="3"/>
  <c r="P280" i="3"/>
  <c r="S280" i="3" s="1"/>
  <c r="M280" i="3"/>
  <c r="C280" i="3"/>
  <c r="P276" i="3"/>
  <c r="S276" i="3" s="1"/>
  <c r="M276" i="3"/>
  <c r="C276" i="3"/>
  <c r="P277" i="3"/>
  <c r="S277" i="3" s="1"/>
  <c r="M277" i="3"/>
  <c r="C277" i="3"/>
  <c r="P283" i="3"/>
  <c r="S283" i="3" s="1"/>
  <c r="M283" i="3"/>
  <c r="C283" i="3"/>
  <c r="P279" i="3"/>
  <c r="S279" i="3" s="1"/>
  <c r="M279" i="3"/>
  <c r="C279" i="3"/>
  <c r="P282" i="3"/>
  <c r="S282" i="3" s="1"/>
  <c r="M282" i="3"/>
  <c r="C282" i="3"/>
  <c r="P278" i="3"/>
  <c r="S278" i="3" s="1"/>
  <c r="M278" i="3"/>
  <c r="C278" i="3"/>
  <c r="Q263" i="3"/>
  <c r="AG275" i="3"/>
  <c r="P266" i="3"/>
  <c r="S266" i="3" s="1"/>
  <c r="M266" i="3"/>
  <c r="C266" i="3"/>
  <c r="P267" i="3"/>
  <c r="S267" i="3" s="1"/>
  <c r="M267" i="3"/>
  <c r="C267" i="3"/>
  <c r="P274" i="3"/>
  <c r="S274" i="3" s="1"/>
  <c r="M274" i="3"/>
  <c r="C274" i="3"/>
  <c r="P272" i="3"/>
  <c r="S272" i="3" s="1"/>
  <c r="M272" i="3"/>
  <c r="C272" i="3"/>
  <c r="P270" i="3"/>
  <c r="S270" i="3" s="1"/>
  <c r="M270" i="3"/>
  <c r="C270" i="3"/>
  <c r="P273" i="3"/>
  <c r="S273" i="3" s="1"/>
  <c r="M273" i="3"/>
  <c r="C273" i="3"/>
  <c r="P269" i="3"/>
  <c r="S269" i="3" s="1"/>
  <c r="M269" i="3"/>
  <c r="C269" i="3"/>
  <c r="P268" i="3"/>
  <c r="S268" i="3" s="1"/>
  <c r="M268" i="3"/>
  <c r="C268" i="3"/>
  <c r="P265" i="3"/>
  <c r="S265" i="3" s="1"/>
  <c r="M265" i="3"/>
  <c r="C265" i="3"/>
  <c r="P264" i="3"/>
  <c r="S264" i="3" s="1"/>
  <c r="M264" i="3"/>
  <c r="C264" i="3"/>
  <c r="P271" i="3"/>
  <c r="S271" i="3" s="1"/>
  <c r="M271" i="3"/>
  <c r="C271" i="3"/>
  <c r="C112" i="4"/>
  <c r="M112" i="4"/>
  <c r="P112" i="4"/>
  <c r="S112" i="4" s="1"/>
  <c r="C111" i="4"/>
  <c r="M111" i="4"/>
  <c r="P111" i="4"/>
  <c r="S111" i="4" s="1"/>
  <c r="M249" i="3"/>
  <c r="M250" i="3"/>
  <c r="M251" i="3"/>
  <c r="Q252" i="3"/>
  <c r="C106" i="4"/>
  <c r="M106" i="4"/>
  <c r="P106" i="4"/>
  <c r="S106" i="4" s="1"/>
  <c r="C107" i="4"/>
  <c r="M107" i="4"/>
  <c r="P107" i="4"/>
  <c r="S107" i="4" s="1"/>
  <c r="C108" i="4"/>
  <c r="M108" i="4"/>
  <c r="P108" i="4"/>
  <c r="S108" i="4" s="1"/>
  <c r="C109" i="4"/>
  <c r="M109" i="4"/>
  <c r="P109" i="4"/>
  <c r="S109" i="4" s="1"/>
  <c r="C110" i="4"/>
  <c r="M110" i="4"/>
  <c r="P110" i="4"/>
  <c r="S110" i="4" s="1"/>
  <c r="C104" i="4"/>
  <c r="M104" i="4"/>
  <c r="P104" i="4"/>
  <c r="S104" i="4" s="1"/>
  <c r="C105" i="4"/>
  <c r="M105" i="4"/>
  <c r="P105" i="4"/>
  <c r="S105" i="4" s="1"/>
  <c r="C98" i="4"/>
  <c r="M98" i="4"/>
  <c r="P98" i="4"/>
  <c r="S98" i="4" s="1"/>
  <c r="C99" i="4"/>
  <c r="M99" i="4"/>
  <c r="P99" i="4"/>
  <c r="S99" i="4" s="1"/>
  <c r="C100" i="4"/>
  <c r="M100" i="4"/>
  <c r="P100" i="4"/>
  <c r="S100" i="4" s="1"/>
  <c r="C101" i="4"/>
  <c r="M101" i="4"/>
  <c r="P101" i="4"/>
  <c r="S101" i="4" s="1"/>
  <c r="C102" i="4"/>
  <c r="M102" i="4"/>
  <c r="P102" i="4"/>
  <c r="S102" i="4" s="1"/>
  <c r="C103" i="4"/>
  <c r="M103" i="4"/>
  <c r="P103" i="4"/>
  <c r="S103" i="4" s="1"/>
  <c r="C92" i="4"/>
  <c r="M92" i="4"/>
  <c r="P92" i="4"/>
  <c r="S92" i="4" s="1"/>
  <c r="C93" i="4"/>
  <c r="M93" i="4"/>
  <c r="P93" i="4"/>
  <c r="S93" i="4" s="1"/>
  <c r="C94" i="4"/>
  <c r="M94" i="4"/>
  <c r="P94" i="4"/>
  <c r="S94" i="4" s="1"/>
  <c r="C95" i="4"/>
  <c r="M95" i="4"/>
  <c r="P95" i="4"/>
  <c r="S95" i="4" s="1"/>
  <c r="C96" i="4"/>
  <c r="M96" i="4"/>
  <c r="P96" i="4"/>
  <c r="S96" i="4" s="1"/>
  <c r="C97" i="4"/>
  <c r="M97" i="4"/>
  <c r="P97" i="4"/>
  <c r="S97" i="4" s="1"/>
  <c r="AG263" i="3"/>
  <c r="P261" i="3"/>
  <c r="S261" i="3" s="1"/>
  <c r="M261" i="3"/>
  <c r="C261" i="3"/>
  <c r="P260" i="3"/>
  <c r="S260" i="3" s="1"/>
  <c r="M260" i="3"/>
  <c r="C260" i="3"/>
  <c r="P256" i="3"/>
  <c r="S256" i="3" s="1"/>
  <c r="M256" i="3"/>
  <c r="C256" i="3"/>
  <c r="P258" i="3"/>
  <c r="S258" i="3" s="1"/>
  <c r="M258" i="3"/>
  <c r="C258" i="3"/>
  <c r="P254" i="3"/>
  <c r="S254" i="3" s="1"/>
  <c r="M254" i="3"/>
  <c r="C254" i="3"/>
  <c r="P253" i="3"/>
  <c r="S253" i="3" s="1"/>
  <c r="M253" i="3"/>
  <c r="C253" i="3"/>
  <c r="P262" i="3"/>
  <c r="S262" i="3" s="1"/>
  <c r="M262" i="3"/>
  <c r="C262" i="3"/>
  <c r="P257" i="3"/>
  <c r="S257" i="3" s="1"/>
  <c r="M257" i="3"/>
  <c r="C257" i="3"/>
  <c r="P259" i="3"/>
  <c r="S259" i="3" s="1"/>
  <c r="M259" i="3"/>
  <c r="C259" i="3"/>
  <c r="P255" i="3"/>
  <c r="S255" i="3" s="1"/>
  <c r="M255" i="3"/>
  <c r="C255" i="3"/>
  <c r="Q245" i="3"/>
  <c r="P244" i="3"/>
  <c r="S244" i="3" s="1"/>
  <c r="M244" i="3"/>
  <c r="C244" i="3"/>
  <c r="Q238" i="3"/>
  <c r="P237" i="3"/>
  <c r="S237" i="3" s="1"/>
  <c r="M237" i="3"/>
  <c r="C237" i="3"/>
  <c r="P232" i="3"/>
  <c r="S232" i="3" s="1"/>
  <c r="M232" i="3"/>
  <c r="C232" i="3"/>
  <c r="AG252" i="3"/>
  <c r="P250" i="3"/>
  <c r="S250" i="3" s="1"/>
  <c r="C250" i="3"/>
  <c r="P249" i="3"/>
  <c r="S249" i="3" s="1"/>
  <c r="C249" i="3"/>
  <c r="P248" i="3"/>
  <c r="S248" i="3" s="1"/>
  <c r="M248" i="3"/>
  <c r="C248" i="3"/>
  <c r="P251" i="3"/>
  <c r="S251" i="3" s="1"/>
  <c r="C251" i="3"/>
  <c r="P246" i="3"/>
  <c r="S246" i="3" s="1"/>
  <c r="M246" i="3"/>
  <c r="C246" i="3"/>
  <c r="P247" i="3"/>
  <c r="S247" i="3" s="1"/>
  <c r="M247" i="3"/>
  <c r="C247" i="3"/>
  <c r="Q228" i="3"/>
  <c r="AG245" i="3"/>
  <c r="P229" i="3"/>
  <c r="S229" i="3" s="1"/>
  <c r="M229" i="3"/>
  <c r="C229" i="3"/>
  <c r="P243" i="3"/>
  <c r="S243" i="3" s="1"/>
  <c r="M243" i="3"/>
  <c r="C243" i="3"/>
  <c r="P242" i="3"/>
  <c r="S242" i="3" s="1"/>
  <c r="M242" i="3"/>
  <c r="C242" i="3"/>
  <c r="P241" i="3"/>
  <c r="S241" i="3" s="1"/>
  <c r="M241" i="3"/>
  <c r="C241" i="3"/>
  <c r="P240" i="3"/>
  <c r="S240" i="3" s="1"/>
  <c r="M240" i="3"/>
  <c r="C240" i="3"/>
  <c r="P239" i="3"/>
  <c r="S239" i="3" s="1"/>
  <c r="M239" i="3"/>
  <c r="C239" i="3"/>
  <c r="AG238" i="3"/>
  <c r="P236" i="3"/>
  <c r="S236" i="3" s="1"/>
  <c r="M236" i="3"/>
  <c r="C236" i="3"/>
  <c r="P231" i="3"/>
  <c r="S231" i="3" s="1"/>
  <c r="M231" i="3"/>
  <c r="C231" i="3"/>
  <c r="P233" i="3"/>
  <c r="S233" i="3" s="1"/>
  <c r="M233" i="3"/>
  <c r="C233" i="3"/>
  <c r="P230" i="3"/>
  <c r="S230" i="3" s="1"/>
  <c r="M230" i="3"/>
  <c r="C230" i="3"/>
  <c r="P234" i="3"/>
  <c r="S234" i="3" s="1"/>
  <c r="M234" i="3"/>
  <c r="C234" i="3"/>
  <c r="P235" i="3"/>
  <c r="S235" i="3" s="1"/>
  <c r="M235" i="3"/>
  <c r="C235" i="3"/>
  <c r="AG228" i="3"/>
  <c r="P227" i="3"/>
  <c r="S227" i="3" s="1"/>
  <c r="M227" i="3"/>
  <c r="C227" i="3"/>
  <c r="P225" i="3"/>
  <c r="S225" i="3" s="1"/>
  <c r="M225" i="3"/>
  <c r="C225" i="3"/>
  <c r="P226" i="3"/>
  <c r="S226" i="3" s="1"/>
  <c r="M226" i="3"/>
  <c r="C226" i="3"/>
  <c r="P224" i="3"/>
  <c r="S224" i="3" s="1"/>
  <c r="M224" i="3"/>
  <c r="C224" i="3"/>
  <c r="C91" i="4"/>
  <c r="M91" i="4"/>
  <c r="P91" i="4"/>
  <c r="S91" i="4" s="1"/>
  <c r="C87" i="4"/>
  <c r="M87" i="4"/>
  <c r="P87" i="4"/>
  <c r="S87" i="4" s="1"/>
  <c r="C88" i="4"/>
  <c r="M88" i="4"/>
  <c r="P88" i="4"/>
  <c r="S88" i="4" s="1"/>
  <c r="C89" i="4"/>
  <c r="M89" i="4"/>
  <c r="P89" i="4"/>
  <c r="S89" i="4" s="1"/>
  <c r="C90" i="4"/>
  <c r="M90" i="4"/>
  <c r="P90" i="4"/>
  <c r="S90" i="4" s="1"/>
  <c r="C81" i="4"/>
  <c r="M81" i="4"/>
  <c r="P81" i="4"/>
  <c r="S81" i="4" s="1"/>
  <c r="C82" i="4"/>
  <c r="M82" i="4"/>
  <c r="P82" i="4"/>
  <c r="S82" i="4" s="1"/>
  <c r="C83" i="4"/>
  <c r="M83" i="4"/>
  <c r="P83" i="4"/>
  <c r="S83" i="4" s="1"/>
  <c r="C84" i="4"/>
  <c r="M84" i="4"/>
  <c r="P84" i="4"/>
  <c r="S84" i="4" s="1"/>
  <c r="C85" i="4"/>
  <c r="M85" i="4"/>
  <c r="P85" i="4"/>
  <c r="S85" i="4" s="1"/>
  <c r="C86" i="4"/>
  <c r="M86" i="4"/>
  <c r="P86" i="4"/>
  <c r="S86" i="4" s="1"/>
  <c r="Q217" i="3"/>
  <c r="P211" i="3"/>
  <c r="S211" i="3" s="1"/>
  <c r="M211" i="3"/>
  <c r="C211" i="3"/>
  <c r="Q223" i="3"/>
  <c r="M220" i="3"/>
  <c r="M221" i="3"/>
  <c r="M222" i="3"/>
  <c r="AG223" i="3"/>
  <c r="P218" i="3"/>
  <c r="S218" i="3" s="1"/>
  <c r="M218" i="3"/>
  <c r="C218" i="3"/>
  <c r="P221" i="3"/>
  <c r="S221" i="3" s="1"/>
  <c r="C221" i="3"/>
  <c r="P222" i="3"/>
  <c r="S222" i="3" s="1"/>
  <c r="C222" i="3"/>
  <c r="P219" i="3"/>
  <c r="S219" i="3" s="1"/>
  <c r="M219" i="3"/>
  <c r="C219" i="3"/>
  <c r="P220" i="3"/>
  <c r="S220" i="3" s="1"/>
  <c r="C220" i="3"/>
  <c r="AG217" i="3"/>
  <c r="P216" i="3"/>
  <c r="S216" i="3" s="1"/>
  <c r="M216" i="3"/>
  <c r="C216" i="3"/>
  <c r="P214" i="3"/>
  <c r="S214" i="3" s="1"/>
  <c r="M214" i="3"/>
  <c r="C214" i="3"/>
  <c r="P212" i="3"/>
  <c r="S212" i="3" s="1"/>
  <c r="M212" i="3"/>
  <c r="C212" i="3"/>
  <c r="P215" i="3"/>
  <c r="S215" i="3" s="1"/>
  <c r="M215" i="3"/>
  <c r="C215" i="3"/>
  <c r="P213" i="3"/>
  <c r="S213" i="3" s="1"/>
  <c r="M213" i="3"/>
  <c r="C213" i="3"/>
  <c r="Q210" i="3"/>
  <c r="Q206" i="3"/>
  <c r="C178" i="3"/>
  <c r="C177" i="3"/>
  <c r="C179" i="3"/>
  <c r="C180" i="3"/>
  <c r="C181" i="3"/>
  <c r="C182" i="3"/>
  <c r="C183" i="3"/>
  <c r="C176" i="3"/>
  <c r="C175" i="3"/>
  <c r="AG210" i="3"/>
  <c r="P209" i="3"/>
  <c r="S209" i="3" s="1"/>
  <c r="M209" i="3"/>
  <c r="C209" i="3"/>
  <c r="P207" i="3"/>
  <c r="S207" i="3" s="1"/>
  <c r="M207" i="3"/>
  <c r="C207" i="3"/>
  <c r="P208" i="3"/>
  <c r="S208" i="3" s="1"/>
  <c r="M208" i="3"/>
  <c r="C208" i="3"/>
  <c r="AG206" i="3"/>
  <c r="P203" i="3"/>
  <c r="S203" i="3" s="1"/>
  <c r="M203" i="3"/>
  <c r="C203" i="3"/>
  <c r="P198" i="3"/>
  <c r="S198" i="3" s="1"/>
  <c r="M198" i="3"/>
  <c r="C198" i="3"/>
  <c r="P201" i="3"/>
  <c r="S201" i="3" s="1"/>
  <c r="M201" i="3"/>
  <c r="C201" i="3"/>
  <c r="P199" i="3"/>
  <c r="S199" i="3" s="1"/>
  <c r="M199" i="3"/>
  <c r="C199" i="3"/>
  <c r="P205" i="3"/>
  <c r="S205" i="3" s="1"/>
  <c r="M205" i="3"/>
  <c r="C205" i="3"/>
  <c r="P204" i="3"/>
  <c r="S204" i="3" s="1"/>
  <c r="M204" i="3"/>
  <c r="C204" i="3"/>
  <c r="P202" i="3"/>
  <c r="S202" i="3" s="1"/>
  <c r="M202" i="3"/>
  <c r="C202" i="3"/>
  <c r="P200" i="3"/>
  <c r="S200" i="3" s="1"/>
  <c r="M200" i="3"/>
  <c r="C200" i="3"/>
  <c r="B1" i="7"/>
  <c r="Q197" i="3"/>
  <c r="C77" i="4"/>
  <c r="M77" i="4"/>
  <c r="P77" i="4"/>
  <c r="S77" i="4" s="1"/>
  <c r="C78" i="4"/>
  <c r="M78" i="4"/>
  <c r="P78" i="4"/>
  <c r="S78" i="4" s="1"/>
  <c r="C79" i="4"/>
  <c r="M79" i="4"/>
  <c r="P79" i="4"/>
  <c r="S79" i="4" s="1"/>
  <c r="C80" i="4"/>
  <c r="M80" i="4"/>
  <c r="P80" i="4"/>
  <c r="S80" i="4" s="1"/>
  <c r="C75" i="4"/>
  <c r="M75" i="4"/>
  <c r="P75" i="4"/>
  <c r="S75" i="4" s="1"/>
  <c r="C76" i="4"/>
  <c r="M76" i="4"/>
  <c r="P76" i="4"/>
  <c r="S76" i="4" s="1"/>
  <c r="C72" i="4"/>
  <c r="M72" i="4"/>
  <c r="P72" i="4"/>
  <c r="S72" i="4" s="1"/>
  <c r="C73" i="4"/>
  <c r="M73" i="4"/>
  <c r="P73" i="4"/>
  <c r="S73" i="4" s="1"/>
  <c r="C74" i="4"/>
  <c r="M74" i="4"/>
  <c r="P74" i="4"/>
  <c r="S74" i="4" s="1"/>
  <c r="AG197" i="3"/>
  <c r="P193" i="3"/>
  <c r="S193" i="3" s="1"/>
  <c r="M193" i="3"/>
  <c r="C193" i="3"/>
  <c r="P190" i="3"/>
  <c r="S190" i="3" s="1"/>
  <c r="M190" i="3"/>
  <c r="C190" i="3"/>
  <c r="P189" i="3"/>
  <c r="S189" i="3" s="1"/>
  <c r="M189" i="3"/>
  <c r="C189" i="3"/>
  <c r="P196" i="3"/>
  <c r="S196" i="3" s="1"/>
  <c r="M196" i="3"/>
  <c r="C196" i="3"/>
  <c r="P195" i="3"/>
  <c r="S195" i="3" s="1"/>
  <c r="M195" i="3"/>
  <c r="C195" i="3"/>
  <c r="P194" i="3"/>
  <c r="S194" i="3" s="1"/>
  <c r="M194" i="3"/>
  <c r="C194" i="3"/>
  <c r="P191" i="3"/>
  <c r="S191" i="3" s="1"/>
  <c r="M191" i="3"/>
  <c r="C191" i="3"/>
  <c r="P192" i="3"/>
  <c r="S192" i="3" s="1"/>
  <c r="M192" i="3"/>
  <c r="C192" i="3"/>
  <c r="Q188" i="3"/>
  <c r="Q184" i="3"/>
  <c r="P175" i="3"/>
  <c r="S175" i="3" s="1"/>
  <c r="M175" i="3"/>
  <c r="AG188" i="3"/>
  <c r="P177" i="3"/>
  <c r="S177" i="3" s="1"/>
  <c r="M177" i="3"/>
  <c r="P186" i="3"/>
  <c r="S186" i="3" s="1"/>
  <c r="M186" i="3"/>
  <c r="C186" i="3"/>
  <c r="P176" i="3"/>
  <c r="S176" i="3" s="1"/>
  <c r="M176" i="3"/>
  <c r="P187" i="3"/>
  <c r="S187" i="3" s="1"/>
  <c r="M187" i="3"/>
  <c r="C187" i="3"/>
  <c r="P185" i="3"/>
  <c r="S185" i="3" s="1"/>
  <c r="M185" i="3"/>
  <c r="C185" i="3"/>
  <c r="AG184" i="3"/>
  <c r="P182" i="3"/>
  <c r="S182" i="3" s="1"/>
  <c r="M182" i="3"/>
  <c r="P180" i="3"/>
  <c r="S180" i="3" s="1"/>
  <c r="M180" i="3"/>
  <c r="P183" i="3"/>
  <c r="S183" i="3" s="1"/>
  <c r="M183" i="3"/>
  <c r="P179" i="3"/>
  <c r="S179" i="3" s="1"/>
  <c r="M179" i="3"/>
  <c r="P181" i="3"/>
  <c r="S181" i="3" s="1"/>
  <c r="M181" i="3"/>
  <c r="P178" i="3"/>
  <c r="S178" i="3" s="1"/>
  <c r="M178" i="3"/>
  <c r="Q174" i="3"/>
  <c r="C66" i="4"/>
  <c r="M66" i="4"/>
  <c r="P66" i="4"/>
  <c r="S66" i="4" s="1"/>
  <c r="C67" i="4"/>
  <c r="M67" i="4"/>
  <c r="P67" i="4"/>
  <c r="S67" i="4" s="1"/>
  <c r="C68" i="4"/>
  <c r="M68" i="4"/>
  <c r="P68" i="4"/>
  <c r="S68" i="4" s="1"/>
  <c r="C69" i="4"/>
  <c r="M69" i="4"/>
  <c r="P69" i="4"/>
  <c r="S69" i="4" s="1"/>
  <c r="C70" i="4"/>
  <c r="M70" i="4"/>
  <c r="P70" i="4"/>
  <c r="S70" i="4" s="1"/>
  <c r="C71" i="4"/>
  <c r="M71" i="4"/>
  <c r="P71" i="4"/>
  <c r="S71" i="4" s="1"/>
  <c r="C62" i="4"/>
  <c r="M62" i="4"/>
  <c r="P62" i="4"/>
  <c r="S62" i="4" s="1"/>
  <c r="C63" i="4"/>
  <c r="M63" i="4"/>
  <c r="P63" i="4"/>
  <c r="S63" i="4" s="1"/>
  <c r="C64" i="4"/>
  <c r="M64" i="4"/>
  <c r="P64" i="4"/>
  <c r="S64" i="4" s="1"/>
  <c r="C65" i="4"/>
  <c r="M65" i="4"/>
  <c r="P65" i="4"/>
  <c r="S65" i="4" s="1"/>
  <c r="C47" i="4"/>
  <c r="M47" i="4"/>
  <c r="P47" i="4"/>
  <c r="S47" i="4" s="1"/>
  <c r="C48" i="4"/>
  <c r="M48" i="4"/>
  <c r="P48" i="4"/>
  <c r="S48" i="4" s="1"/>
  <c r="C49" i="4"/>
  <c r="M49" i="4"/>
  <c r="P49" i="4"/>
  <c r="S49" i="4" s="1"/>
  <c r="C50" i="4"/>
  <c r="M50" i="4"/>
  <c r="P50" i="4"/>
  <c r="S50" i="4" s="1"/>
  <c r="C51" i="4"/>
  <c r="M51" i="4"/>
  <c r="P51" i="4"/>
  <c r="S51" i="4" s="1"/>
  <c r="C52" i="4"/>
  <c r="M52" i="4"/>
  <c r="P52" i="4"/>
  <c r="S52" i="4" s="1"/>
  <c r="C53" i="4"/>
  <c r="M53" i="4"/>
  <c r="P53" i="4"/>
  <c r="S53" i="4" s="1"/>
  <c r="C54" i="4"/>
  <c r="M54" i="4"/>
  <c r="P54" i="4"/>
  <c r="S54" i="4" s="1"/>
  <c r="C55" i="4"/>
  <c r="M55" i="4"/>
  <c r="P55" i="4"/>
  <c r="S55" i="4" s="1"/>
  <c r="C56" i="4"/>
  <c r="M56" i="4"/>
  <c r="P56" i="4"/>
  <c r="S56" i="4" s="1"/>
  <c r="C57" i="4"/>
  <c r="M57" i="4"/>
  <c r="P57" i="4"/>
  <c r="S57" i="4" s="1"/>
  <c r="C58" i="4"/>
  <c r="M58" i="4"/>
  <c r="P58" i="4"/>
  <c r="S58" i="4" s="1"/>
  <c r="C59" i="4"/>
  <c r="M59" i="4"/>
  <c r="P59" i="4"/>
  <c r="S59" i="4" s="1"/>
  <c r="C60" i="4"/>
  <c r="M60" i="4"/>
  <c r="P60" i="4"/>
  <c r="S60" i="4" s="1"/>
  <c r="C61" i="4"/>
  <c r="M61" i="4"/>
  <c r="P61" i="4"/>
  <c r="S61" i="4" s="1"/>
  <c r="C46" i="4"/>
  <c r="M46" i="4"/>
  <c r="P46" i="4"/>
  <c r="S46" i="4" s="1"/>
  <c r="Q159" i="3"/>
  <c r="M157" i="3"/>
  <c r="M158" i="3"/>
  <c r="P156" i="3"/>
  <c r="S156" i="3" s="1"/>
  <c r="M156" i="3"/>
  <c r="C156" i="3"/>
  <c r="Q152" i="3"/>
  <c r="M160" i="3"/>
  <c r="M163" i="3"/>
  <c r="M161" i="3"/>
  <c r="M169" i="3"/>
  <c r="M167" i="3"/>
  <c r="M171" i="3"/>
  <c r="M170" i="3"/>
  <c r="M172" i="3"/>
  <c r="M164" i="3"/>
  <c r="M168" i="3"/>
  <c r="P160" i="3"/>
  <c r="S160" i="3" s="1"/>
  <c r="C160" i="3"/>
  <c r="Q148" i="3"/>
  <c r="M145" i="3"/>
  <c r="M146" i="3"/>
  <c r="M147" i="3"/>
  <c r="M173" i="3"/>
  <c r="M166" i="3"/>
  <c r="P173" i="3"/>
  <c r="S173" i="3" s="1"/>
  <c r="C173" i="3"/>
  <c r="AG174" i="3"/>
  <c r="P168" i="3"/>
  <c r="S168" i="3" s="1"/>
  <c r="C168" i="3"/>
  <c r="P164" i="3"/>
  <c r="S164" i="3" s="1"/>
  <c r="C164" i="3"/>
  <c r="P172" i="3"/>
  <c r="S172" i="3" s="1"/>
  <c r="C172" i="3"/>
  <c r="P170" i="3"/>
  <c r="S170" i="3" s="1"/>
  <c r="C170" i="3"/>
  <c r="P171" i="3"/>
  <c r="S171" i="3" s="1"/>
  <c r="C171" i="3"/>
  <c r="P167" i="3"/>
  <c r="S167" i="3" s="1"/>
  <c r="C167" i="3"/>
  <c r="P169" i="3"/>
  <c r="S169" i="3" s="1"/>
  <c r="C169" i="3"/>
  <c r="P161" i="3"/>
  <c r="S161" i="3" s="1"/>
  <c r="C161" i="3"/>
  <c r="P163" i="3"/>
  <c r="S163" i="3" s="1"/>
  <c r="C163" i="3"/>
  <c r="P166" i="3"/>
  <c r="S166" i="3" s="1"/>
  <c r="C166" i="3"/>
  <c r="P162" i="3"/>
  <c r="S162" i="3" s="1"/>
  <c r="M162" i="3"/>
  <c r="C162" i="3"/>
  <c r="P165" i="3"/>
  <c r="S165" i="3" s="1"/>
  <c r="M165" i="3"/>
  <c r="C165" i="3"/>
  <c r="AG159" i="3"/>
  <c r="P158" i="3"/>
  <c r="S158" i="3" s="1"/>
  <c r="C158" i="3"/>
  <c r="P154" i="3"/>
  <c r="S154" i="3" s="1"/>
  <c r="M154" i="3"/>
  <c r="C154" i="3"/>
  <c r="P155" i="3"/>
  <c r="S155" i="3" s="1"/>
  <c r="M155" i="3"/>
  <c r="C155" i="3"/>
  <c r="P157" i="3"/>
  <c r="S157" i="3" s="1"/>
  <c r="C157" i="3"/>
  <c r="P153" i="3"/>
  <c r="S153" i="3" s="1"/>
  <c r="M153" i="3"/>
  <c r="C153" i="3"/>
  <c r="AG152" i="3"/>
  <c r="P150" i="3"/>
  <c r="S150" i="3" s="1"/>
  <c r="M150" i="3"/>
  <c r="C150" i="3"/>
  <c r="P149" i="3"/>
  <c r="S149" i="3" s="1"/>
  <c r="M149" i="3"/>
  <c r="C149" i="3"/>
  <c r="P151" i="3"/>
  <c r="S151" i="3" s="1"/>
  <c r="M151" i="3"/>
  <c r="C151" i="3"/>
  <c r="Q139" i="3"/>
  <c r="P127" i="3"/>
  <c r="S127" i="3" s="1"/>
  <c r="M127" i="3"/>
  <c r="C127" i="3"/>
  <c r="AG148" i="3"/>
  <c r="P141" i="3"/>
  <c r="S141" i="3" s="1"/>
  <c r="M141" i="3"/>
  <c r="C141" i="3"/>
  <c r="P146" i="3"/>
  <c r="S146" i="3" s="1"/>
  <c r="C146" i="3"/>
  <c r="P143" i="3"/>
  <c r="S143" i="3" s="1"/>
  <c r="M143" i="3"/>
  <c r="C143" i="3"/>
  <c r="P147" i="3"/>
  <c r="S147" i="3" s="1"/>
  <c r="C147" i="3"/>
  <c r="P145" i="3"/>
  <c r="S145" i="3" s="1"/>
  <c r="C145" i="3"/>
  <c r="P140" i="3"/>
  <c r="S140" i="3" s="1"/>
  <c r="M140" i="3"/>
  <c r="C140" i="3"/>
  <c r="P142" i="3"/>
  <c r="S142" i="3" s="1"/>
  <c r="M142" i="3"/>
  <c r="C142" i="3"/>
  <c r="P144" i="3"/>
  <c r="S144" i="3" s="1"/>
  <c r="M144" i="3"/>
  <c r="C144" i="3"/>
  <c r="AG139" i="3"/>
  <c r="P136" i="3"/>
  <c r="S136" i="3" s="1"/>
  <c r="M136" i="3"/>
  <c r="C136" i="3"/>
  <c r="P133" i="3"/>
  <c r="S133" i="3" s="1"/>
  <c r="M133" i="3"/>
  <c r="C133" i="3"/>
  <c r="P131" i="3"/>
  <c r="S131" i="3" s="1"/>
  <c r="M131" i="3"/>
  <c r="C131" i="3"/>
  <c r="P128" i="3"/>
  <c r="S128" i="3" s="1"/>
  <c r="M128" i="3"/>
  <c r="C128" i="3"/>
  <c r="P135" i="3"/>
  <c r="S135" i="3" s="1"/>
  <c r="M135" i="3"/>
  <c r="C135" i="3"/>
  <c r="P134" i="3"/>
  <c r="S134" i="3" s="1"/>
  <c r="M134" i="3"/>
  <c r="C134" i="3"/>
  <c r="P132" i="3"/>
  <c r="S132" i="3" s="1"/>
  <c r="M132" i="3"/>
  <c r="C132" i="3"/>
  <c r="P130" i="3"/>
  <c r="S130" i="3" s="1"/>
  <c r="M130" i="3"/>
  <c r="C130" i="3"/>
  <c r="P137" i="3"/>
  <c r="S137" i="3" s="1"/>
  <c r="M137" i="3"/>
  <c r="C137" i="3"/>
  <c r="P138" i="3"/>
  <c r="S138" i="3" s="1"/>
  <c r="M138" i="3"/>
  <c r="C138" i="3"/>
  <c r="P129" i="3"/>
  <c r="S129" i="3" s="1"/>
  <c r="M129" i="3"/>
  <c r="C129" i="3"/>
  <c r="C45" i="4"/>
  <c r="M45" i="4"/>
  <c r="P45" i="4"/>
  <c r="S45" i="4" s="1"/>
  <c r="C43" i="4"/>
  <c r="M43" i="4"/>
  <c r="P43" i="4"/>
  <c r="S43" i="4" s="1"/>
  <c r="C44" i="4"/>
  <c r="M44" i="4"/>
  <c r="P44" i="4"/>
  <c r="S44" i="4" s="1"/>
  <c r="C41" i="4"/>
  <c r="M41" i="4"/>
  <c r="P41" i="4"/>
  <c r="S41" i="4" s="1"/>
  <c r="C42" i="4"/>
  <c r="M42" i="4"/>
  <c r="P42" i="4"/>
  <c r="S42" i="4" s="1"/>
  <c r="Q126" i="3"/>
  <c r="M122" i="3"/>
  <c r="M124" i="3"/>
  <c r="M123" i="3"/>
  <c r="M125" i="3"/>
  <c r="Q119" i="3"/>
  <c r="P122" i="3"/>
  <c r="S122" i="3" s="1"/>
  <c r="C122" i="3"/>
  <c r="P123" i="3"/>
  <c r="S123" i="3" s="1"/>
  <c r="C123" i="3"/>
  <c r="P113" i="3"/>
  <c r="S113" i="3" s="1"/>
  <c r="M113" i="3"/>
  <c r="C113" i="3"/>
  <c r="AG126" i="3"/>
  <c r="P125" i="3"/>
  <c r="S125" i="3" s="1"/>
  <c r="C125" i="3"/>
  <c r="P120" i="3"/>
  <c r="S120" i="3" s="1"/>
  <c r="M120" i="3"/>
  <c r="C120" i="3"/>
  <c r="P124" i="3"/>
  <c r="S124" i="3" s="1"/>
  <c r="C124" i="3"/>
  <c r="P121" i="3"/>
  <c r="S121" i="3" s="1"/>
  <c r="M121" i="3"/>
  <c r="C121" i="3"/>
  <c r="AG119" i="3"/>
  <c r="P112" i="3"/>
  <c r="S112" i="3" s="1"/>
  <c r="M112" i="3"/>
  <c r="C112" i="3"/>
  <c r="P116" i="3"/>
  <c r="S116" i="3" s="1"/>
  <c r="M116" i="3"/>
  <c r="C116" i="3"/>
  <c r="P117" i="3"/>
  <c r="S117" i="3" s="1"/>
  <c r="M117" i="3"/>
  <c r="C117" i="3"/>
  <c r="P114" i="3"/>
  <c r="S114" i="3" s="1"/>
  <c r="M114" i="3"/>
  <c r="C114" i="3"/>
  <c r="P115" i="3"/>
  <c r="S115" i="3" s="1"/>
  <c r="M115" i="3"/>
  <c r="C115" i="3"/>
  <c r="P118" i="3"/>
  <c r="S118" i="3" s="1"/>
  <c r="M118" i="3"/>
  <c r="C118" i="3"/>
  <c r="Q111" i="3"/>
  <c r="AG111" i="3"/>
  <c r="P110" i="3"/>
  <c r="S110" i="3" s="1"/>
  <c r="M110" i="3"/>
  <c r="C110" i="3"/>
  <c r="P109" i="3"/>
  <c r="S109" i="3" s="1"/>
  <c r="M109" i="3"/>
  <c r="C109" i="3"/>
  <c r="P106" i="3"/>
  <c r="S106" i="3" s="1"/>
  <c r="M106" i="3"/>
  <c r="C106" i="3"/>
  <c r="P105" i="3"/>
  <c r="S105" i="3" s="1"/>
  <c r="M105" i="3"/>
  <c r="C105" i="3"/>
  <c r="P108" i="3"/>
  <c r="S108" i="3" s="1"/>
  <c r="M108" i="3"/>
  <c r="C108" i="3"/>
  <c r="P107" i="3"/>
  <c r="S107" i="3" s="1"/>
  <c r="M107" i="3"/>
  <c r="C107" i="3"/>
  <c r="P104" i="3"/>
  <c r="S104" i="3" s="1"/>
  <c r="M104" i="3"/>
  <c r="C104" i="3"/>
  <c r="Q103" i="3"/>
  <c r="AG103" i="3"/>
  <c r="P102" i="3"/>
  <c r="S102" i="3" s="1"/>
  <c r="M102" i="3"/>
  <c r="C102" i="3"/>
  <c r="P100" i="3"/>
  <c r="S100" i="3" s="1"/>
  <c r="M100" i="3"/>
  <c r="C100" i="3"/>
  <c r="P98" i="3"/>
  <c r="S98" i="3" s="1"/>
  <c r="M98" i="3"/>
  <c r="C98" i="3"/>
  <c r="P99" i="3"/>
  <c r="S99" i="3" s="1"/>
  <c r="M99" i="3"/>
  <c r="C99" i="3"/>
  <c r="P101" i="3"/>
  <c r="S101" i="3" s="1"/>
  <c r="M101" i="3"/>
  <c r="C101" i="3"/>
  <c r="P96" i="3"/>
  <c r="S96" i="3" s="1"/>
  <c r="M96" i="3"/>
  <c r="C96" i="3"/>
  <c r="P97" i="3"/>
  <c r="S97" i="3" s="1"/>
  <c r="M97" i="3"/>
  <c r="C97" i="3"/>
  <c r="P95" i="3"/>
  <c r="S95" i="3" s="1"/>
  <c r="M95" i="3"/>
  <c r="C95" i="3"/>
  <c r="Q94" i="3"/>
  <c r="Q84" i="3"/>
  <c r="Q69" i="3"/>
  <c r="Q51" i="3"/>
  <c r="C2" i="6"/>
  <c r="C40" i="4"/>
  <c r="M40" i="4"/>
  <c r="P40" i="4"/>
  <c r="S40" i="4" s="1"/>
  <c r="C39" i="4"/>
  <c r="M39" i="4"/>
  <c r="P39" i="4"/>
  <c r="S39" i="4" s="1"/>
  <c r="C38" i="4"/>
  <c r="M38" i="4"/>
  <c r="P38" i="4"/>
  <c r="S38" i="4" s="1"/>
  <c r="C37" i="4"/>
  <c r="M37" i="4"/>
  <c r="P37" i="4"/>
  <c r="S37" i="4" s="1"/>
  <c r="C29" i="4"/>
  <c r="M29" i="4"/>
  <c r="P29" i="4"/>
  <c r="S29" i="4" s="1"/>
  <c r="C30" i="4"/>
  <c r="M30" i="4"/>
  <c r="P30" i="4"/>
  <c r="S30" i="4" s="1"/>
  <c r="C31" i="4"/>
  <c r="M31" i="4"/>
  <c r="P31" i="4"/>
  <c r="S31" i="4" s="1"/>
  <c r="C32" i="4"/>
  <c r="M32" i="4"/>
  <c r="P32" i="4"/>
  <c r="S32" i="4" s="1"/>
  <c r="C33" i="4"/>
  <c r="M33" i="4"/>
  <c r="P33" i="4"/>
  <c r="S33" i="4" s="1"/>
  <c r="C34" i="4"/>
  <c r="M34" i="4"/>
  <c r="P34" i="4"/>
  <c r="S34" i="4" s="1"/>
  <c r="C35" i="4"/>
  <c r="M35" i="4"/>
  <c r="P35" i="4"/>
  <c r="S35" i="4" s="1"/>
  <c r="C36" i="4"/>
  <c r="M36" i="4"/>
  <c r="P36" i="4"/>
  <c r="S36" i="4" s="1"/>
  <c r="C27" i="4"/>
  <c r="M27" i="4"/>
  <c r="P27" i="4"/>
  <c r="S27" i="4" s="1"/>
  <c r="C28" i="4"/>
  <c r="M28" i="4"/>
  <c r="P28" i="4"/>
  <c r="S28" i="4" s="1"/>
  <c r="C25" i="4"/>
  <c r="M25" i="4"/>
  <c r="P25" i="4"/>
  <c r="S25" i="4" s="1"/>
  <c r="C26" i="4"/>
  <c r="M26" i="4"/>
  <c r="P26" i="4"/>
  <c r="S26" i="4" s="1"/>
  <c r="Q13" i="3"/>
  <c r="P86" i="3"/>
  <c r="S86" i="3" s="1"/>
  <c r="M86" i="3"/>
  <c r="C86" i="3"/>
  <c r="P92" i="3"/>
  <c r="S92" i="3" s="1"/>
  <c r="M92" i="3"/>
  <c r="C92" i="3"/>
  <c r="M93" i="3"/>
  <c r="M88" i="3"/>
  <c r="M91" i="3"/>
  <c r="M89" i="3"/>
  <c r="M85" i="3"/>
  <c r="M87" i="3"/>
  <c r="M90" i="3"/>
  <c r="P88" i="3"/>
  <c r="S88" i="3" s="1"/>
  <c r="C88" i="3"/>
  <c r="AG94" i="3"/>
  <c r="P90" i="3"/>
  <c r="S90" i="3" s="1"/>
  <c r="C90" i="3"/>
  <c r="P87" i="3"/>
  <c r="S87" i="3" s="1"/>
  <c r="C87" i="3"/>
  <c r="P85" i="3"/>
  <c r="S85" i="3" s="1"/>
  <c r="C85" i="3"/>
  <c r="P89" i="3"/>
  <c r="S89" i="3" s="1"/>
  <c r="C89" i="3"/>
  <c r="P91" i="3"/>
  <c r="S91" i="3" s="1"/>
  <c r="C91" i="3"/>
  <c r="P93" i="3"/>
  <c r="S93" i="3" s="1"/>
  <c r="C93" i="3"/>
  <c r="M79" i="3"/>
  <c r="M74" i="3"/>
  <c r="M76" i="3"/>
  <c r="M77" i="3"/>
  <c r="M80" i="3"/>
  <c r="M81" i="3"/>
  <c r="M82" i="3"/>
  <c r="M83" i="3"/>
  <c r="M78" i="3"/>
  <c r="M73" i="3"/>
  <c r="M66" i="3"/>
  <c r="M65" i="3"/>
  <c r="M60" i="3"/>
  <c r="M67" i="3"/>
  <c r="M62" i="3"/>
  <c r="M63" i="3"/>
  <c r="M68" i="3"/>
  <c r="M64" i="3"/>
  <c r="AG84" i="3"/>
  <c r="P73" i="3"/>
  <c r="S73" i="3" s="1"/>
  <c r="C73" i="3"/>
  <c r="P78" i="3"/>
  <c r="S78" i="3" s="1"/>
  <c r="C78" i="3"/>
  <c r="P83" i="3"/>
  <c r="S83" i="3" s="1"/>
  <c r="C83" i="3"/>
  <c r="P82" i="3"/>
  <c r="S82" i="3" s="1"/>
  <c r="C82" i="3"/>
  <c r="P81" i="3"/>
  <c r="S81" i="3" s="1"/>
  <c r="C81" i="3"/>
  <c r="P80" i="3"/>
  <c r="S80" i="3" s="1"/>
  <c r="C80" i="3"/>
  <c r="P77" i="3"/>
  <c r="S77" i="3" s="1"/>
  <c r="C77" i="3"/>
  <c r="P76" i="3"/>
  <c r="S76" i="3" s="1"/>
  <c r="C76" i="3"/>
  <c r="P74" i="3"/>
  <c r="S74" i="3" s="1"/>
  <c r="C74" i="3"/>
  <c r="P79" i="3"/>
  <c r="S79" i="3" s="1"/>
  <c r="C79" i="3"/>
  <c r="P75" i="3"/>
  <c r="S75" i="3" s="1"/>
  <c r="M75" i="3"/>
  <c r="C75" i="3"/>
  <c r="P68" i="3"/>
  <c r="S68" i="3" s="1"/>
  <c r="C68" i="3"/>
  <c r="P66" i="3"/>
  <c r="S66" i="3" s="1"/>
  <c r="C66" i="3"/>
  <c r="Q72" i="3"/>
  <c r="AG72" i="3"/>
  <c r="P71" i="3"/>
  <c r="S71" i="3" s="1"/>
  <c r="M71" i="3"/>
  <c r="C71" i="3"/>
  <c r="P70" i="3"/>
  <c r="S70" i="3" s="1"/>
  <c r="M70" i="3"/>
  <c r="C70" i="3"/>
  <c r="AG69" i="3"/>
  <c r="P64" i="3"/>
  <c r="S64" i="3" s="1"/>
  <c r="C64" i="3"/>
  <c r="P63" i="3"/>
  <c r="S63" i="3" s="1"/>
  <c r="C63" i="3"/>
  <c r="P62" i="3"/>
  <c r="S62" i="3" s="1"/>
  <c r="C62" i="3"/>
  <c r="P67" i="3"/>
  <c r="S67" i="3" s="1"/>
  <c r="C67" i="3"/>
  <c r="P60" i="3"/>
  <c r="S60" i="3" s="1"/>
  <c r="C60" i="3"/>
  <c r="P65" i="3"/>
  <c r="S65" i="3" s="1"/>
  <c r="C65" i="3"/>
  <c r="P61" i="3"/>
  <c r="S61" i="3" s="1"/>
  <c r="M61" i="3"/>
  <c r="C61" i="3"/>
  <c r="C24" i="4"/>
  <c r="M24" i="4"/>
  <c r="P24" i="4"/>
  <c r="S24" i="4" s="1"/>
  <c r="C23" i="4"/>
  <c r="M23" i="4"/>
  <c r="P23" i="4"/>
  <c r="S23" i="4" s="1"/>
  <c r="C20" i="4"/>
  <c r="M20" i="4"/>
  <c r="P20" i="4"/>
  <c r="S20" i="4" s="1"/>
  <c r="C21" i="4"/>
  <c r="M21" i="4"/>
  <c r="P21" i="4"/>
  <c r="S21" i="4" s="1"/>
  <c r="C22" i="4"/>
  <c r="M22" i="4"/>
  <c r="P22" i="4"/>
  <c r="S22" i="4" s="1"/>
  <c r="C18" i="4"/>
  <c r="M18" i="4"/>
  <c r="P18" i="4"/>
  <c r="S18" i="4" s="1"/>
  <c r="C19" i="4"/>
  <c r="M19" i="4"/>
  <c r="P19" i="4"/>
  <c r="S19" i="4" s="1"/>
  <c r="C10" i="4"/>
  <c r="M10" i="4"/>
  <c r="P10" i="4"/>
  <c r="S10" i="4" s="1"/>
  <c r="C11" i="4"/>
  <c r="M11" i="4"/>
  <c r="P11" i="4"/>
  <c r="S11" i="4" s="1"/>
  <c r="C12" i="4"/>
  <c r="M12" i="4"/>
  <c r="P12" i="4"/>
  <c r="S12" i="4" s="1"/>
  <c r="C13" i="4"/>
  <c r="M13" i="4"/>
  <c r="P13" i="4"/>
  <c r="S13" i="4" s="1"/>
  <c r="C14" i="4"/>
  <c r="M14" i="4"/>
  <c r="P14" i="4"/>
  <c r="S14" i="4" s="1"/>
  <c r="C15" i="4"/>
  <c r="M15" i="4"/>
  <c r="P15" i="4"/>
  <c r="S15" i="4" s="1"/>
  <c r="C16" i="4"/>
  <c r="M16" i="4"/>
  <c r="P16" i="4"/>
  <c r="S16" i="4" s="1"/>
  <c r="C17" i="4"/>
  <c r="M17" i="4"/>
  <c r="P17" i="4"/>
  <c r="S17" i="4" s="1"/>
  <c r="Q59" i="3"/>
  <c r="M53" i="3"/>
  <c r="M56" i="3"/>
  <c r="M57" i="3"/>
  <c r="M58" i="3"/>
  <c r="AG59" i="3"/>
  <c r="P58" i="3"/>
  <c r="S58" i="3" s="1"/>
  <c r="C58" i="3"/>
  <c r="P57" i="3"/>
  <c r="S57" i="3" s="1"/>
  <c r="C57" i="3"/>
  <c r="P56" i="3"/>
  <c r="S56" i="3" s="1"/>
  <c r="C56" i="3"/>
  <c r="P53" i="3"/>
  <c r="S53" i="3" s="1"/>
  <c r="C53" i="3"/>
  <c r="P52" i="3"/>
  <c r="S52" i="3" s="1"/>
  <c r="M52" i="3"/>
  <c r="C52" i="3"/>
  <c r="P55" i="3"/>
  <c r="S55" i="3" s="1"/>
  <c r="M55" i="3"/>
  <c r="C55" i="3"/>
  <c r="P54" i="3"/>
  <c r="S54" i="3" s="1"/>
  <c r="M54" i="3"/>
  <c r="C54" i="3"/>
  <c r="AG51" i="3"/>
  <c r="P50" i="3"/>
  <c r="S50" i="3" s="1"/>
  <c r="M50" i="3"/>
  <c r="C50" i="3"/>
  <c r="P49" i="3"/>
  <c r="S49" i="3" s="1"/>
  <c r="M49" i="3"/>
  <c r="C49" i="3"/>
  <c r="P47" i="3"/>
  <c r="S47" i="3" s="1"/>
  <c r="M47" i="3"/>
  <c r="C47" i="3"/>
  <c r="P46" i="3"/>
  <c r="S46" i="3" s="1"/>
  <c r="M46" i="3"/>
  <c r="C46" i="3"/>
  <c r="P48" i="3"/>
  <c r="S48" i="3" s="1"/>
  <c r="M48" i="3"/>
  <c r="C48" i="3"/>
  <c r="Q37" i="3"/>
  <c r="Q45" i="3"/>
  <c r="M33" i="3"/>
  <c r="M34" i="3"/>
  <c r="M24" i="3"/>
  <c r="M27" i="3"/>
  <c r="M32" i="3"/>
  <c r="M31" i="3"/>
  <c r="M36" i="3"/>
  <c r="M26" i="3"/>
  <c r="M25" i="3"/>
  <c r="P35" i="3"/>
  <c r="S35" i="3" s="1"/>
  <c r="M35" i="3"/>
  <c r="C35" i="3"/>
  <c r="P30" i="3"/>
  <c r="S30" i="3" s="1"/>
  <c r="M30" i="3"/>
  <c r="C30" i="3"/>
  <c r="P26" i="3"/>
  <c r="S26" i="3" s="1"/>
  <c r="C26" i="3"/>
  <c r="P32" i="3"/>
  <c r="S32" i="3" s="1"/>
  <c r="C32" i="3"/>
  <c r="P33" i="3"/>
  <c r="S33" i="3" s="1"/>
  <c r="C33" i="3"/>
  <c r="P29" i="3"/>
  <c r="S29" i="3" s="1"/>
  <c r="M29" i="3"/>
  <c r="C29" i="3"/>
  <c r="AG45" i="3"/>
  <c r="P44" i="3"/>
  <c r="S44" i="3" s="1"/>
  <c r="M44" i="3"/>
  <c r="C44" i="3"/>
  <c r="P38" i="3"/>
  <c r="S38" i="3" s="1"/>
  <c r="M38" i="3"/>
  <c r="C38" i="3"/>
  <c r="P43" i="3"/>
  <c r="S43" i="3" s="1"/>
  <c r="M43" i="3"/>
  <c r="C43" i="3"/>
  <c r="P39" i="3"/>
  <c r="S39" i="3" s="1"/>
  <c r="M39" i="3"/>
  <c r="C39" i="3"/>
  <c r="P40" i="3"/>
  <c r="S40" i="3" s="1"/>
  <c r="M40" i="3"/>
  <c r="C40" i="3"/>
  <c r="P41" i="3"/>
  <c r="S41" i="3" s="1"/>
  <c r="M41" i="3"/>
  <c r="C41" i="3"/>
  <c r="P42" i="3"/>
  <c r="S42" i="3" s="1"/>
  <c r="M42" i="3"/>
  <c r="C42" i="3"/>
  <c r="AG37" i="3"/>
  <c r="P25" i="3"/>
  <c r="S25" i="3" s="1"/>
  <c r="C25" i="3"/>
  <c r="P36" i="3"/>
  <c r="S36" i="3" s="1"/>
  <c r="C36" i="3"/>
  <c r="P31" i="3"/>
  <c r="S31" i="3" s="1"/>
  <c r="C31" i="3"/>
  <c r="P27" i="3"/>
  <c r="S27" i="3" s="1"/>
  <c r="C27" i="3"/>
  <c r="P24" i="3"/>
  <c r="S24" i="3" s="1"/>
  <c r="C24" i="3"/>
  <c r="P34" i="3"/>
  <c r="S34" i="3" s="1"/>
  <c r="C34" i="3"/>
  <c r="P28" i="3"/>
  <c r="S28" i="3" s="1"/>
  <c r="M28" i="3"/>
  <c r="C28" i="3"/>
  <c r="C9" i="4"/>
  <c r="M9" i="4"/>
  <c r="P9" i="4"/>
  <c r="S9" i="4" s="1"/>
  <c r="C7" i="4"/>
  <c r="M7" i="4"/>
  <c r="P7" i="4"/>
  <c r="S7" i="4" s="1"/>
  <c r="C8" i="4"/>
  <c r="M8" i="4"/>
  <c r="P8" i="4"/>
  <c r="S8" i="4" s="1"/>
  <c r="Q23" i="3"/>
  <c r="M18" i="3"/>
  <c r="M19" i="3"/>
  <c r="M17" i="3"/>
  <c r="M22" i="3"/>
  <c r="M21" i="3"/>
  <c r="M20" i="3"/>
  <c r="AG23" i="3"/>
  <c r="P20" i="3"/>
  <c r="S20" i="3" s="1"/>
  <c r="C20" i="3"/>
  <c r="P21" i="3"/>
  <c r="S21" i="3" s="1"/>
  <c r="C21" i="3"/>
  <c r="P22" i="3"/>
  <c r="S22" i="3" s="1"/>
  <c r="C22" i="3"/>
  <c r="P17" i="3"/>
  <c r="S17" i="3" s="1"/>
  <c r="C17" i="3"/>
  <c r="P19" i="3"/>
  <c r="S19" i="3" s="1"/>
  <c r="C19" i="3"/>
  <c r="P18" i="3"/>
  <c r="S18" i="3" s="1"/>
  <c r="C18" i="3"/>
  <c r="P16" i="3"/>
  <c r="S16" i="3" s="1"/>
  <c r="M16" i="3"/>
  <c r="C16" i="3"/>
  <c r="P15" i="3"/>
  <c r="S15" i="3" s="1"/>
  <c r="M15" i="3"/>
  <c r="C15" i="3"/>
  <c r="P14" i="3"/>
  <c r="S14" i="3" s="1"/>
  <c r="M14" i="3"/>
  <c r="C14" i="3"/>
  <c r="AG13" i="3"/>
  <c r="P10" i="3"/>
  <c r="S10" i="3" s="1"/>
  <c r="M10" i="3"/>
  <c r="C10" i="3"/>
  <c r="P5" i="3"/>
  <c r="S5" i="3" s="1"/>
  <c r="M5" i="3"/>
  <c r="C5" i="3"/>
  <c r="P9" i="3"/>
  <c r="S9" i="3" s="1"/>
  <c r="M9" i="3"/>
  <c r="C9" i="3"/>
  <c r="P8" i="3"/>
  <c r="S8" i="3" s="1"/>
  <c r="M8" i="3"/>
  <c r="C8" i="3"/>
  <c r="P6" i="3"/>
  <c r="S6" i="3" s="1"/>
  <c r="M6" i="3"/>
  <c r="C6" i="3"/>
  <c r="P7" i="3"/>
  <c r="S7" i="3" s="1"/>
  <c r="M7" i="3"/>
  <c r="C7" i="3"/>
  <c r="P12" i="3"/>
  <c r="S12" i="3" s="1"/>
  <c r="M12" i="3"/>
  <c r="C12" i="3"/>
  <c r="P11" i="3"/>
  <c r="S11" i="3" s="1"/>
  <c r="M11" i="3"/>
  <c r="C11" i="3"/>
  <c r="C6" i="4"/>
  <c r="M6" i="4"/>
  <c r="P6" i="4"/>
  <c r="S6" i="4" s="1"/>
  <c r="C5" i="4"/>
  <c r="M5" i="4"/>
  <c r="P5" i="4"/>
  <c r="S5" i="4" s="1"/>
  <c r="E11" i="5"/>
  <c r="D11" i="5"/>
  <c r="C11" i="5"/>
  <c r="B11" i="5"/>
  <c r="A11" i="5"/>
  <c r="B1" i="4"/>
  <c r="B1" i="3"/>
  <c r="F173" i="2"/>
  <c r="T285" i="3" l="1"/>
  <c r="T275" i="3"/>
  <c r="T291" i="3"/>
  <c r="T263" i="3"/>
  <c r="T184" i="3"/>
  <c r="T72" i="3"/>
  <c r="T69" i="3"/>
  <c r="T174" i="3"/>
  <c r="T217" i="3"/>
  <c r="T228" i="3"/>
  <c r="T238" i="3"/>
  <c r="T84" i="3"/>
  <c r="T59" i="3"/>
  <c r="T51" i="3"/>
  <c r="T126" i="3"/>
  <c r="T197" i="3"/>
  <c r="T245" i="3"/>
  <c r="T45" i="3"/>
  <c r="T111" i="3"/>
  <c r="T188" i="3"/>
  <c r="T152" i="3"/>
  <c r="T159" i="3"/>
  <c r="T139" i="3"/>
  <c r="T210" i="3"/>
  <c r="T23" i="3"/>
  <c r="T94" i="3"/>
  <c r="T148" i="3"/>
  <c r="T103" i="3"/>
  <c r="T119" i="3"/>
  <c r="T206" i="3"/>
  <c r="T223" i="3"/>
  <c r="T37" i="3"/>
  <c r="T252" i="3"/>
  <c r="F186" i="2"/>
  <c r="F198" i="2"/>
  <c r="F192" i="2"/>
  <c r="F180" i="2" l="1"/>
  <c r="F191" i="2"/>
  <c r="F194" i="2"/>
  <c r="F193" i="2" s="1"/>
  <c r="F197" i="2"/>
  <c r="F200" i="2"/>
  <c r="F199" i="2" s="1"/>
  <c r="F185" i="2"/>
  <c r="F188" i="2"/>
  <c r="F187" i="2" s="1"/>
  <c r="F182" i="2" l="1"/>
  <c r="F181" i="2" s="1"/>
  <c r="F179" i="2"/>
</calcChain>
</file>

<file path=xl/sharedStrings.xml><?xml version="1.0" encoding="utf-8"?>
<sst xmlns="http://schemas.openxmlformats.org/spreadsheetml/2006/main" count="20572" uniqueCount="1189">
  <si>
    <t>Date:</t>
  </si>
  <si>
    <t>(MM/DD/YYYY)</t>
  </si>
  <si>
    <t>DP</t>
  </si>
  <si>
    <t>Quantity</t>
  </si>
  <si>
    <t>Eaches</t>
  </si>
  <si>
    <t>Ship</t>
  </si>
  <si>
    <t>Artwork/</t>
  </si>
  <si>
    <t>Art Approved</t>
  </si>
  <si>
    <t>Est. Transit Dates</t>
  </si>
  <si>
    <t>PO #</t>
  </si>
  <si>
    <t>Customer</t>
  </si>
  <si>
    <t>Item</t>
  </si>
  <si>
    <t>Sales/CSR</t>
  </si>
  <si>
    <t>PO Date</t>
  </si>
  <si>
    <t>On Blanket</t>
  </si>
  <si>
    <t>Already</t>
  </si>
  <si>
    <t>On Floor At</t>
  </si>
  <si>
    <t>BioFlex</t>
  </si>
  <si>
    <t>Per</t>
  </si>
  <si>
    <t>To</t>
  </si>
  <si>
    <t>Prod.</t>
  </si>
  <si>
    <t>Date Print</t>
  </si>
  <si>
    <t>Tiff File</t>
  </si>
  <si>
    <t>or Tiff File</t>
  </si>
  <si>
    <t>Plates</t>
  </si>
  <si>
    <t>Priority</t>
  </si>
  <si>
    <t>Deliver</t>
  </si>
  <si>
    <t>Item #</t>
  </si>
  <si>
    <t>Description</t>
  </si>
  <si>
    <t>Type</t>
  </si>
  <si>
    <t>Names</t>
  </si>
  <si>
    <t>Ordered</t>
  </si>
  <si>
    <t>Due</t>
  </si>
  <si>
    <t>Order</t>
  </si>
  <si>
    <t>Produced</t>
  </si>
  <si>
    <t>Shipped</t>
  </si>
  <si>
    <t>Pallet</t>
  </si>
  <si>
    <t>Location</t>
  </si>
  <si>
    <t>Status</t>
  </si>
  <si>
    <t>Completed</t>
  </si>
  <si>
    <t>Comments</t>
  </si>
  <si>
    <t>Submitted</t>
  </si>
  <si>
    <t>Downloaded</t>
  </si>
  <si>
    <t>Made</t>
  </si>
  <si>
    <t>Bag No Wicket/Zipper Orders</t>
  </si>
  <si>
    <t>1579</t>
  </si>
  <si>
    <t>CB 2ct Baby Romaine</t>
  </si>
  <si>
    <t>Bag No Wicket/Zipper</t>
  </si>
  <si>
    <t>Zoya/Amanda</t>
  </si>
  <si>
    <t>Church Brothers</t>
  </si>
  <si>
    <t>Per Release</t>
  </si>
  <si>
    <t>PRINTED</t>
  </si>
  <si>
    <t>YES</t>
  </si>
  <si>
    <t>B-360</t>
  </si>
  <si>
    <t>Toni/Dana</t>
  </si>
  <si>
    <t>Boskovich</t>
  </si>
  <si>
    <t>Bakersfield, CA</t>
  </si>
  <si>
    <t>Elsie/Natali</t>
  </si>
  <si>
    <t>Taylor Farms</t>
  </si>
  <si>
    <t>SCHEDULED</t>
  </si>
  <si>
    <t>40040956</t>
  </si>
  <si>
    <t>SYSCO ROMAINE HEART BAG CLEAR</t>
  </si>
  <si>
    <t>Zoya/Joceta</t>
  </si>
  <si>
    <t>VGS</t>
  </si>
  <si>
    <t>T&amp;A VMI</t>
  </si>
  <si>
    <t>ASAP</t>
  </si>
  <si>
    <t>35020900-00</t>
  </si>
  <si>
    <t>TUTTI FRUTTI PARSNIP 20LB</t>
  </si>
  <si>
    <t>TBD</t>
  </si>
  <si>
    <t>OM 3ct Rom Hrt BI - NO ZIP</t>
  </si>
  <si>
    <t>Ocean Mist</t>
  </si>
  <si>
    <t>Total:</t>
  </si>
  <si>
    <t>Bag Wicket Orders</t>
  </si>
  <si>
    <t>1580</t>
  </si>
  <si>
    <t>Church Bros 5ct Petite Romaine</t>
  </si>
  <si>
    <t>Bag Wicket</t>
  </si>
  <si>
    <t>09549007</t>
  </si>
  <si>
    <t>Nature's Reward Purple Cauli</t>
  </si>
  <si>
    <t>Zoya/Belen</t>
  </si>
  <si>
    <t>Bolthouse</t>
  </si>
  <si>
    <t>EBF Org Broccoli Bg USA</t>
  </si>
  <si>
    <t>Coke Farms</t>
  </si>
  <si>
    <t>NO</t>
  </si>
  <si>
    <t>5TSSAMSPP</t>
  </si>
  <si>
    <t>5lb TS Sams Perfect Pair Wkt</t>
  </si>
  <si>
    <t>Tasteful</t>
  </si>
  <si>
    <t>Kern Ridge</t>
  </si>
  <si>
    <t>1314</t>
  </si>
  <si>
    <t>Church Bros Cauliflower</t>
  </si>
  <si>
    <t>0922</t>
  </si>
  <si>
    <t>OCEAN MST UPC/PLU CAULIFLOWER</t>
  </si>
  <si>
    <t>TFR Org Marketside Broccoli</t>
  </si>
  <si>
    <t>61967-12</t>
  </si>
  <si>
    <t>Hello Frsh 1Ct Broc Crown Clr</t>
  </si>
  <si>
    <t>T&amp;A</t>
  </si>
  <si>
    <t>KER-091</t>
  </si>
  <si>
    <t>2LB KERN RIDGE FS WKT</t>
  </si>
  <si>
    <t>KER-2FSWKT</t>
  </si>
  <si>
    <t>2LB FIRST STREET CRT WKT</t>
  </si>
  <si>
    <t>KER-1FSWKT</t>
  </si>
  <si>
    <t>1LB FIRST STREET CRT WKT</t>
  </si>
  <si>
    <t>Bag Zipper Orders</t>
  </si>
  <si>
    <t>Bag Zipper</t>
  </si>
  <si>
    <t>002-40-55043-00</t>
  </si>
  <si>
    <t>Dole</t>
  </si>
  <si>
    <t>1351</t>
  </si>
  <si>
    <t>Church Bros 3ct Rom Hrts - BI</t>
  </si>
  <si>
    <t>002-40-56065-02</t>
  </si>
  <si>
    <t>Wild Hrvst 3ct O Rom Hrt US</t>
  </si>
  <si>
    <t>61822-12</t>
  </si>
  <si>
    <t>T&amp;A Org 3ct Rom Hrts - BI</t>
  </si>
  <si>
    <t>61977-12</t>
  </si>
  <si>
    <t>T&amp;A 3Ct Jumbo Romaine SHORT</t>
  </si>
  <si>
    <t>Elsie/Joceta</t>
  </si>
  <si>
    <t>002-40-55032-01</t>
  </si>
  <si>
    <t>Dole 23oz Romaine USA w/Zipper</t>
  </si>
  <si>
    <t>506694C</t>
  </si>
  <si>
    <t>Western Family 3ct Romaine</t>
  </si>
  <si>
    <t>Anthony Costa</t>
  </si>
  <si>
    <t>CF-005</t>
  </si>
  <si>
    <t>COKE 3ct Rom Hrt 12oz Bil</t>
  </si>
  <si>
    <t>4090</t>
  </si>
  <si>
    <t>Wegmans 3ct Romaine Hearts</t>
  </si>
  <si>
    <t>9501808</t>
  </si>
  <si>
    <t>TFR 6ct Rom Hrts-COSTCO-BILIN</t>
  </si>
  <si>
    <t>61245-12</t>
  </si>
  <si>
    <t>TJ's 2ct Celery HRTS-ZIP</t>
  </si>
  <si>
    <t>01749024</t>
  </si>
  <si>
    <t>Foxy Org 3ct Rom Hrt 12oz Bil</t>
  </si>
  <si>
    <t>19800956-03</t>
  </si>
  <si>
    <t>0932</t>
  </si>
  <si>
    <t>Film Orders</t>
  </si>
  <si>
    <t>Film</t>
  </si>
  <si>
    <t>Pat/Catrina</t>
  </si>
  <si>
    <t>300002305</t>
  </si>
  <si>
    <t>Dole Frozen</t>
  </si>
  <si>
    <t>300002304</t>
  </si>
  <si>
    <t>300002258</t>
  </si>
  <si>
    <t>4-7OZ DOLE DAILY FRT n GRN OUT</t>
  </si>
  <si>
    <t>300002271</t>
  </si>
  <si>
    <t>7oz Banana,MangoBerry Inner</t>
  </si>
  <si>
    <t>300002269</t>
  </si>
  <si>
    <t>7oz Dream w/ Dragon FRT INNER</t>
  </si>
  <si>
    <t>300002267</t>
  </si>
  <si>
    <t>7oz Dole DAILY FRT N GRN INNER</t>
  </si>
  <si>
    <t>300000859</t>
  </si>
  <si>
    <t>5/8OZ DOLE SLC STRAW/BAN- OUT</t>
  </si>
  <si>
    <t>300000906</t>
  </si>
  <si>
    <t>300001585</t>
  </si>
  <si>
    <t>5LB DOLE CR SL BANANAS</t>
  </si>
  <si>
    <t>300001754</t>
  </si>
  <si>
    <t>5lb CR DOLE PINEAPPLE CUBED</t>
  </si>
  <si>
    <t>300000839</t>
  </si>
  <si>
    <t>5LB BLUEBERRIES DOLE</t>
  </si>
  <si>
    <t>300000910</t>
  </si>
  <si>
    <t>5LB WH STRAWBERRIES DOLE</t>
  </si>
  <si>
    <t>300001482</t>
  </si>
  <si>
    <t>5LB CR CUBED MANGO DOLE</t>
  </si>
  <si>
    <t>300001581</t>
  </si>
  <si>
    <t>5LB CR DICED STRAWBERRIES DOLE</t>
  </si>
  <si>
    <t>300002268</t>
  </si>
  <si>
    <t>7oz Protein Kick Inner Inner</t>
  </si>
  <si>
    <t>Toni/Catrina</t>
  </si>
  <si>
    <t>300002303</t>
  </si>
  <si>
    <t>4/7oz Protein Kick Outer</t>
  </si>
  <si>
    <t>Capacity and Lead Time Summary</t>
  </si>
  <si>
    <t>Production days per week</t>
  </si>
  <si>
    <t># of production days needed to fill truck</t>
  </si>
  <si>
    <t>Shipped truckload maximum capacity - eaches</t>
  </si>
  <si>
    <t>Shipped truckload maximum capacity - pallets</t>
  </si>
  <si>
    <t>Grand total eaches on order</t>
  </si>
  <si>
    <t>Total on order</t>
  </si>
  <si>
    <t>Production capacity per day</t>
  </si>
  <si>
    <t>2 machines</t>
  </si>
  <si>
    <t>Order ship date</t>
  </si>
  <si>
    <t>Order ship lead time - weeks</t>
  </si>
  <si>
    <t>Order delivery date</t>
  </si>
  <si>
    <t>Order delivery lead time - weeks</t>
  </si>
  <si>
    <t>3 machines</t>
  </si>
  <si>
    <t>1 machine</t>
  </si>
  <si>
    <t>Freight</t>
  </si>
  <si>
    <t xml:space="preserve">MEX Only Or </t>
  </si>
  <si>
    <t>USA Only</t>
  </si>
  <si>
    <t>Total</t>
  </si>
  <si>
    <t>USA+MEX Invoice</t>
  </si>
  <si>
    <t>Invoice</t>
  </si>
  <si>
    <t>Invoiced</t>
  </si>
  <si>
    <t>Broker</t>
  </si>
  <si>
    <t>#</t>
  </si>
  <si>
    <t>Amount</t>
  </si>
  <si>
    <t>5022</t>
  </si>
  <si>
    <t>Church Bros 2ct Lett-Sams Club</t>
  </si>
  <si>
    <t>Yuma, AZ</t>
  </si>
  <si>
    <t>Salinas, CA</t>
  </si>
  <si>
    <t>002-40-55018-03</t>
  </si>
  <si>
    <t>Kroger 18oz Romaine Heart USA</t>
  </si>
  <si>
    <t>19800952-01</t>
  </si>
  <si>
    <t>Queen Vic 6ct Rom w/Heat Seal</t>
  </si>
  <si>
    <t>Grimmway</t>
  </si>
  <si>
    <t>94173</t>
  </si>
  <si>
    <t>5LB SAFEWAY O ORG WKT</t>
  </si>
  <si>
    <t>EBF Org Cauliflower Bag USA</t>
  </si>
  <si>
    <t>002-00-55115-04</t>
  </si>
  <si>
    <t>Dole Clean &amp; Trim Icebrg Lett</t>
  </si>
  <si>
    <t>01749036</t>
  </si>
  <si>
    <t>Foxy 3ct Org Rom Biling. POM</t>
  </si>
  <si>
    <t>5019</t>
  </si>
  <si>
    <t>Trader Joe's 1ct Green Cabbage</t>
  </si>
  <si>
    <t>1318</t>
  </si>
  <si>
    <t>Markon 6ct Romaine Hearts</t>
  </si>
  <si>
    <t>9503025</t>
  </si>
  <si>
    <t>TFR 6Ct Rom Hrts MEX-Purple</t>
  </si>
  <si>
    <t>002-00-53350-00</t>
  </si>
  <si>
    <t>Lidl 13.5: Iceberg Lettuce</t>
  </si>
  <si>
    <t>002-00-30000-04</t>
  </si>
  <si>
    <t>Markon 6ct Lettuce</t>
  </si>
  <si>
    <t>002-10-51007-00</t>
  </si>
  <si>
    <t>Lidl Cauliflower USA</t>
  </si>
  <si>
    <t>002-40-55045-00</t>
  </si>
  <si>
    <t>LIDL 3CT ROMAINE HEARTS USA</t>
  </si>
  <si>
    <t>300000795</t>
  </si>
  <si>
    <t>8OZ DOLE MIXED BERRIES - INNER</t>
  </si>
  <si>
    <t>300001783</t>
  </si>
  <si>
    <t>5LB SLICED PEACHES FROZEN</t>
  </si>
  <si>
    <t>300001669</t>
  </si>
  <si>
    <t>3LB MBRS SELECTION BLUEBERRIES</t>
  </si>
  <si>
    <t>300000869</t>
  </si>
  <si>
    <t>5LB MIXED BERRIES DOLE</t>
  </si>
  <si>
    <t>300000867</t>
  </si>
  <si>
    <t>5LB MANGO CHUNKS DOLE</t>
  </si>
  <si>
    <t>CF-003-2</t>
  </si>
  <si>
    <t>Coke Farms Organic Cauli</t>
  </si>
  <si>
    <t>002-00-53348-02</t>
  </si>
  <si>
    <t>Dole Canadian 13.5" Lettuce</t>
  </si>
  <si>
    <t>506961A</t>
  </si>
  <si>
    <t>Mann 3ct Romaine Hearts w/ZIP</t>
  </si>
  <si>
    <t>14010980-00</t>
  </si>
  <si>
    <t>WEIS Frsh from Fld Cauli 14.75</t>
  </si>
  <si>
    <t>61769-11</t>
  </si>
  <si>
    <t>T&amp;A Org Cauliflower USA</t>
  </si>
  <si>
    <t>300000728</t>
  </si>
  <si>
    <t>8OZ DOLE SLICED STRWBRY/BANANA</t>
  </si>
  <si>
    <t>Mann 6ct Romaine</t>
  </si>
  <si>
    <t>Peak 3ct Rom Zip 22oz (624g)</t>
  </si>
  <si>
    <t>19800900-01</t>
  </si>
  <si>
    <t>300000908</t>
  </si>
  <si>
    <t>5LB SLICED APPLES DOLE</t>
  </si>
  <si>
    <t>T&amp;A 2ct Baby Iceberg SUP</t>
  </si>
  <si>
    <t>300001580</t>
  </si>
  <si>
    <t>5LB SL STRAWBERRIES DOLE</t>
  </si>
  <si>
    <t>OM Good&amp;Gather 3ct Rom Hrts US</t>
  </si>
  <si>
    <t>PO CLOSED</t>
  </si>
  <si>
    <t>KER-5FSWKT</t>
  </si>
  <si>
    <t>5LB FIRST STREET CRT WKT</t>
  </si>
  <si>
    <t>Coachella, CA</t>
  </si>
  <si>
    <t>300000905</t>
  </si>
  <si>
    <t>5lb DL Whole Blackber Zarzamor</t>
  </si>
  <si>
    <t>Zoya/Natali</t>
  </si>
  <si>
    <t>300000900</t>
  </si>
  <si>
    <t>5LB DARK SWEET CHERRIES DOLE</t>
  </si>
  <si>
    <t>5lb PINEAPPLE CHUCKS</t>
  </si>
  <si>
    <t>5ANWKT</t>
  </si>
  <si>
    <t>5lb ALL Natural Organic Carrot</t>
  </si>
  <si>
    <t>B-85B</t>
  </si>
  <si>
    <t>Boskovich 2lb Grn Onion 350OTR</t>
  </si>
  <si>
    <t>7oz Banana,MangoBerry inner</t>
  </si>
  <si>
    <t>HIGH PRIORITY! Must ship by 2/21</t>
  </si>
  <si>
    <t>T&amp;A 3ct Artisan Romaine-Zipper</t>
  </si>
  <si>
    <t>300001784</t>
  </si>
  <si>
    <t>5LB Dole Diced Peaches</t>
  </si>
  <si>
    <t>002-20-10030-02</t>
  </si>
  <si>
    <t>Dole Broccoli Crwn CA State ID</t>
  </si>
  <si>
    <t>300002266</t>
  </si>
  <si>
    <t>7oz Dole TROP AVO w KALE INNER</t>
  </si>
  <si>
    <t>Date</t>
  </si>
  <si>
    <t>PO CANCELLED</t>
  </si>
  <si>
    <t>Monthly Capacity</t>
  </si>
  <si>
    <t>Wickets</t>
  </si>
  <si>
    <t>Zipper</t>
  </si>
  <si>
    <t>Side Seal</t>
  </si>
  <si>
    <t>Machines</t>
  </si>
  <si>
    <t>LEMO</t>
  </si>
  <si>
    <t>Weekly Capacity</t>
  </si>
  <si>
    <t>5 wicket</t>
  </si>
  <si>
    <t>1586</t>
  </si>
  <si>
    <t>Cheney Bros Romaine Hrts 3Ct</t>
  </si>
  <si>
    <t>T&amp;A 3ct ArtsnSwt Gem-Zp w/Hdl</t>
  </si>
  <si>
    <t>28370944-01</t>
  </si>
  <si>
    <t>Josie's Rm Hrt 3ct 22oz Bil US</t>
  </si>
  <si>
    <t>94822-1</t>
  </si>
  <si>
    <t>5LB WEGMANS ORG WKT</t>
  </si>
  <si>
    <t>002-40-55010-06</t>
  </si>
  <si>
    <t>Dole 6ct Romaine Hrts 40oz USA</t>
  </si>
  <si>
    <t>19800975-01</t>
  </si>
  <si>
    <t>Queen Vic 14 UPC PLU Lett US</t>
  </si>
  <si>
    <t>1350</t>
  </si>
  <si>
    <t>Church Bros Lett</t>
  </si>
  <si>
    <t>61953-11</t>
  </si>
  <si>
    <t>KROGER 2Ct Artsn Rom SUP</t>
  </si>
  <si>
    <t>129261</t>
  </si>
  <si>
    <t>2LB WHOLSOME PANTRY ORG RS CF</t>
  </si>
  <si>
    <t>Field Fresh Icbg Lettuce Bil</t>
  </si>
  <si>
    <t>Field Fresh Farms</t>
  </si>
  <si>
    <t>62021-11</t>
  </si>
  <si>
    <t>T&amp;A 6Ct Rom Hrts Nt Wt St</t>
  </si>
  <si>
    <t>300002360</t>
  </si>
  <si>
    <t>POLY 48OZ GIANT EAGLE TRIPLE B</t>
  </si>
  <si>
    <t>97886-1</t>
  </si>
  <si>
    <t>2LB PRESIDENTS CHOICE ORG CAN</t>
  </si>
  <si>
    <t>F2101</t>
  </si>
  <si>
    <t>129259</t>
  </si>
  <si>
    <t>1LB WHOLESOME PANTRY ORG RS CF</t>
  </si>
  <si>
    <t>61955-11</t>
  </si>
  <si>
    <t>GIANT EAGLE 2Ct Atsn Rom SUP</t>
  </si>
  <si>
    <t>59953</t>
  </si>
  <si>
    <t>BAG, 10#, GF, HP</t>
  </si>
  <si>
    <t>54972</t>
  </si>
  <si>
    <t>BAG, 2#, KROGER, RS</t>
  </si>
  <si>
    <t>4/7oz Banana,Mango,Berry Outer</t>
  </si>
  <si>
    <t>Cheney Brothers</t>
  </si>
  <si>
    <t>150269</t>
  </si>
  <si>
    <t>BAG, 3#, OUR FAMILY, WKT</t>
  </si>
  <si>
    <t>150267</t>
  </si>
  <si>
    <t>BAG, 1#, OUR FAMILY, RS</t>
  </si>
  <si>
    <t>55112</t>
  </si>
  <si>
    <t>BAG, 12OZ, GF, MW, TRI PERF'D</t>
  </si>
  <si>
    <t>BAG, 12OZ WEGMANS PETITE MW OR</t>
  </si>
  <si>
    <t>300002362</t>
  </si>
  <si>
    <t>48OZ GIANT EAGLE BLU BRY FAM</t>
  </si>
  <si>
    <t>300002357</t>
  </si>
  <si>
    <t>POLY 48OZ GIANT EAGLE MIXED FR</t>
  </si>
  <si>
    <t>300002358</t>
  </si>
  <si>
    <t>POLY 48OZ GIANT EAGLE SL STRAW</t>
  </si>
  <si>
    <t>121807</t>
  </si>
  <si>
    <t>BAG, 12OZ, TARGET, MW ORG PERF</t>
  </si>
  <si>
    <t>92194</t>
  </si>
  <si>
    <t>BAG, 12OZ SAFEWAY SIGN MW PERF</t>
  </si>
  <si>
    <t>300001782</t>
  </si>
  <si>
    <t>5LB DOLE MIXED FRUIT</t>
  </si>
  <si>
    <t>9801866</t>
  </si>
  <si>
    <t>9801864</t>
  </si>
  <si>
    <t>4962N</t>
  </si>
  <si>
    <t>61559-16</t>
  </si>
  <si>
    <t>ALDIS Broccoli Crowns-ANTIFOG</t>
  </si>
  <si>
    <t>F2103</t>
  </si>
  <si>
    <t>Field Frsh Farm Cauli Wrap</t>
  </si>
  <si>
    <t>F2102</t>
  </si>
  <si>
    <t>Field Frsh Farm 3Ct Romaine</t>
  </si>
  <si>
    <t>Oceanmist 13" Lettuce Bag</t>
  </si>
  <si>
    <t>C1BFCNALG-A1</t>
  </si>
  <si>
    <t>1LB BOLTHOUSE FRESH CAN FS A/B</t>
  </si>
  <si>
    <t>C3BFCNALG-A1</t>
  </si>
  <si>
    <t>3LB BOLTHOUSE FRESH CAN A/B</t>
  </si>
  <si>
    <t>C5BFCNLA-A1</t>
  </si>
  <si>
    <t>5LB BOLTHOUSE FRESH CAN FS A/B</t>
  </si>
  <si>
    <t>S0110HEBOFLW-A2</t>
  </si>
  <si>
    <t>5-2.25oz HEB ORG SNACK FLW WRP</t>
  </si>
  <si>
    <t>61952-12</t>
  </si>
  <si>
    <t>121799</t>
  </si>
  <si>
    <t>BAG 12OZ TARGET MW PERF'D</t>
  </si>
  <si>
    <t>DMF-01</t>
  </si>
  <si>
    <t>GE ROMAINE HRTS 3CT</t>
  </si>
  <si>
    <t>Mann</t>
  </si>
  <si>
    <t>100909</t>
  </si>
  <si>
    <t>BAG, 5#, DOLE, WKT</t>
  </si>
  <si>
    <t>9801863</t>
  </si>
  <si>
    <t>EBF OrgCeleryHrts Bag USA</t>
  </si>
  <si>
    <t>149986</t>
  </si>
  <si>
    <t>BAG, 5#, WILD HARVEST, ORG WKT</t>
  </si>
  <si>
    <t>9801890</t>
  </si>
  <si>
    <t>1LB BOLTHOUSE FRESH ORG FS CAN</t>
  </si>
  <si>
    <t>2LB BOLTHOUSE FRESH ORG FS CAN</t>
  </si>
  <si>
    <t>9801902</t>
  </si>
  <si>
    <t>2LB WHOLESOME PANTRY ORG RS CF</t>
  </si>
  <si>
    <t>Zoya/Cynthia</t>
  </si>
  <si>
    <t>C1BFCNOALG-A1</t>
  </si>
  <si>
    <t>C2BFCNOALG-A1</t>
  </si>
  <si>
    <t>Lidl 13.5 Iceberg Lettuce</t>
  </si>
  <si>
    <t>C5BFCNOLA-A1</t>
  </si>
  <si>
    <t>5LB BOLTHOUSE FRESH FS BILING</t>
  </si>
  <si>
    <t>C2BBALG-A4</t>
  </si>
  <si>
    <t>2LB BRENDA BELLE FARMS AUTOBAG</t>
  </si>
  <si>
    <t>0958M</t>
  </si>
  <si>
    <t>OM 3ct Rom Hrt BIL Zip 1 POM</t>
  </si>
  <si>
    <t>Cheney</t>
  </si>
  <si>
    <t>4960</t>
  </si>
  <si>
    <t>13" UPC/PLU CLR IcebergLett OM</t>
  </si>
  <si>
    <t>0921M</t>
  </si>
  <si>
    <t>Ocean Mist Cauliflower POM</t>
  </si>
  <si>
    <t>61653-15</t>
  </si>
  <si>
    <t>4963N</t>
  </si>
  <si>
    <t>Ocean Mist 14" Lettuce USA</t>
  </si>
  <si>
    <t>61182-20</t>
  </si>
  <si>
    <t>T&amp;A Cauliflower-Bilingual</t>
  </si>
  <si>
    <t>OZUNA-001</t>
  </si>
  <si>
    <t>Ozuna Tortilla</t>
  </si>
  <si>
    <t>61186-19</t>
  </si>
  <si>
    <t>T&amp;A Celery Sleeve 30's USA-Bil</t>
  </si>
  <si>
    <t>61195-18</t>
  </si>
  <si>
    <t>T&amp;A Celery Stalk Sleeves 24's</t>
  </si>
  <si>
    <t>1320</t>
  </si>
  <si>
    <t>Markon 3ct Romaine Hearts</t>
  </si>
  <si>
    <t>2LB MARKON WASH/ RIMM GR ONION</t>
  </si>
  <si>
    <t>0930N</t>
  </si>
  <si>
    <t>9502890</t>
  </si>
  <si>
    <t>TFR Bilin 3ctRomHrt USA-NoZip</t>
  </si>
  <si>
    <t>Zoya/Michelle</t>
  </si>
  <si>
    <t>9801857</t>
  </si>
  <si>
    <t>EBF Org Rom Hrt 6Ct USA</t>
  </si>
  <si>
    <t>9801895</t>
  </si>
  <si>
    <t>002-00-80005-01</t>
  </si>
  <si>
    <t>13.5" KING SIZE LETTUCE</t>
  </si>
  <si>
    <t>BAG, 2# KROGER, RS</t>
  </si>
  <si>
    <t>002-10-50130-05</t>
  </si>
  <si>
    <t>Dole Cauliflower-Canada</t>
  </si>
  <si>
    <t>150268</t>
  </si>
  <si>
    <t>BAG, 2#, OUR FAMILY, RS</t>
  </si>
  <si>
    <t>9801899</t>
  </si>
  <si>
    <t>Marketside 12oz Rom Hearts USA</t>
  </si>
  <si>
    <t>5CCSBPW3</t>
  </si>
  <si>
    <t>5lb Costco Creamrs Sunbrst Wkt</t>
  </si>
  <si>
    <t>Tasteful Selections</t>
  </si>
  <si>
    <t>C1NPROALG-B4</t>
  </si>
  <si>
    <t>C5NPROLA-A4</t>
  </si>
  <si>
    <t>5LB NAT PROM ORG LONG AB CELLO</t>
  </si>
  <si>
    <t>9801910</t>
  </si>
  <si>
    <t>Marketside Org Cauliflower USA</t>
  </si>
  <si>
    <t>9801908</t>
  </si>
  <si>
    <t>0930M</t>
  </si>
  <si>
    <t>OM 3ct Rom Hearts BI NoZip POM</t>
  </si>
  <si>
    <t>0921N</t>
  </si>
  <si>
    <t>Ocean Mist Cauliflower USA</t>
  </si>
  <si>
    <t>506967A</t>
  </si>
  <si>
    <t>Mann Broccoli w/Vents-Anti-fog</t>
  </si>
  <si>
    <t>300000911</t>
  </si>
  <si>
    <t>5LB RED TART CHERRIES DOLE</t>
  </si>
  <si>
    <t>61270-12</t>
  </si>
  <si>
    <t>TJ's Cauliflower</t>
  </si>
  <si>
    <t>C2WEGRAINOALG-A1</t>
  </si>
  <si>
    <t>2LB WEGMANS ORG RAINBOW CRTS</t>
  </si>
  <si>
    <t>Elsie/Cynthia</t>
  </si>
  <si>
    <t>KER-089</t>
  </si>
  <si>
    <t>1 LB Kern Ridge WKT Long 7x16</t>
  </si>
  <si>
    <t>5CALOSBPW-1</t>
  </si>
  <si>
    <t>5lb Cal O Sunburst Poly Wicket</t>
  </si>
  <si>
    <t>C2STOALG-A3</t>
  </si>
  <si>
    <t>2LB SIMPLE TRUTH ORG CELLO A/B</t>
  </si>
  <si>
    <t>506923A</t>
  </si>
  <si>
    <t>Mann SS Cauliflower</t>
  </si>
  <si>
    <t>61837-11</t>
  </si>
  <si>
    <t>T&amp;A Org Broccoli Bunch USA</t>
  </si>
  <si>
    <t>86881-1</t>
  </si>
  <si>
    <t>Purchase Order Tracking Report - DP+BioFlex - Open POs</t>
  </si>
  <si>
    <t>Purchase Order Tracking Report - DP+BioFlex - Shipped Orders</t>
  </si>
  <si>
    <t>Purchase Order Tracking Report - DP+BioFlex - Closed POs</t>
  </si>
  <si>
    <t>Purchase Order Tracking Report - DP+BioFlex - Capacity</t>
  </si>
  <si>
    <t>9801865</t>
  </si>
  <si>
    <t>5LB DICED STRAWBERRIES DOLE</t>
  </si>
  <si>
    <t>4 zipper</t>
  </si>
  <si>
    <t>C2NPROALG-A2</t>
  </si>
  <si>
    <t>2LB NATURE'S PROMISE ORG CRTS</t>
  </si>
  <si>
    <t>TFRCOSTCO USA 6Ct Romaine Hrts</t>
  </si>
  <si>
    <t>4150</t>
  </si>
  <si>
    <t>Trader Joes Broccoli Crown USA</t>
  </si>
  <si>
    <t>60174-11</t>
  </si>
  <si>
    <t>T&amp;A UPC/PLU Cauliflower</t>
  </si>
  <si>
    <t>9801900</t>
  </si>
  <si>
    <t>TJ 3ct Org Rom Heart Bag - USA</t>
  </si>
  <si>
    <t>9801905</t>
  </si>
  <si>
    <t>TFR 2ct Iceberg Lett USA GREEN</t>
  </si>
  <si>
    <t>5TSSBOPW</t>
  </si>
  <si>
    <t>5lb TS Sunburst Org Creamers</t>
  </si>
  <si>
    <t>C5NBOLA-A6</t>
  </si>
  <si>
    <t>5LB NATURES BASKET ORG LONG AB</t>
  </si>
  <si>
    <t>Simple Truth Cauliflower USA</t>
  </si>
  <si>
    <t>4 machines</t>
  </si>
  <si>
    <t>1LB NATURES PROMISE ORGANIC</t>
  </si>
  <si>
    <t>HIGH PRIORITY! Must ship by 2/7</t>
  </si>
  <si>
    <t>TFR COSTCO 6Ct Rom Hrts USA</t>
  </si>
  <si>
    <t>4/7oz Dream /Dragon FRT OUTER</t>
  </si>
  <si>
    <t>HIGH PRIORITY! Must ship by 2/18</t>
  </si>
  <si>
    <t>KROGER Artisan Baby Iceberg</t>
  </si>
  <si>
    <t>9801906</t>
  </si>
  <si>
    <t>TFR 6ct Romaine USA PURPLE</t>
  </si>
  <si>
    <t>BioFlex (25-025)</t>
  </si>
  <si>
    <t>9801950</t>
  </si>
  <si>
    <t>TFR COSTCO 5Ct Petite Romaine</t>
  </si>
  <si>
    <t>BioFlex (25-026)</t>
  </si>
  <si>
    <t>BioFlex (25-027)</t>
  </si>
  <si>
    <t>BioFlex (25-028)</t>
  </si>
  <si>
    <t>BioFlex (25-029)</t>
  </si>
  <si>
    <t>BioFlex (25-030)</t>
  </si>
  <si>
    <t>HIGH PRIORITY! Must ship by 2/25</t>
  </si>
  <si>
    <t>EBF Org Rom Hrts 3ct - POM</t>
  </si>
  <si>
    <t>BioFlex (25-032)</t>
  </si>
  <si>
    <t>BioFlex (25-033)</t>
  </si>
  <si>
    <t>BioFlex (25-034)</t>
  </si>
  <si>
    <t>97910</t>
  </si>
  <si>
    <t>BAG, 5# NATURE'S PROMISE, WKT</t>
  </si>
  <si>
    <t>8127</t>
  </si>
  <si>
    <t>8197</t>
  </si>
  <si>
    <t>Packing</t>
  </si>
  <si>
    <t>List</t>
  </si>
  <si>
    <t>Error</t>
  </si>
  <si>
    <t>Pallets</t>
  </si>
  <si>
    <t>Qty per</t>
  </si>
  <si>
    <t>Spec</t>
  </si>
  <si>
    <t>Load</t>
  </si>
  <si>
    <t>Variance</t>
  </si>
  <si>
    <t>DP+BioFlex Freight Discrepencies</t>
  </si>
  <si>
    <t>Notes</t>
  </si>
  <si>
    <t>PL Qty</t>
  </si>
  <si>
    <t>8233</t>
  </si>
  <si>
    <t>8228</t>
  </si>
  <si>
    <t>BioFlex (25-031)</t>
  </si>
  <si>
    <t>8288</t>
  </si>
  <si>
    <t>8295</t>
  </si>
  <si>
    <t>8333</t>
  </si>
  <si>
    <t>8338</t>
  </si>
  <si>
    <t>BioFlex (25-035)</t>
  </si>
  <si>
    <t>BioFlex (25-036)</t>
  </si>
  <si>
    <t>HIGH PRIORITY! Must ship by 3/11</t>
  </si>
  <si>
    <t>Zoya/Elsie</t>
  </si>
  <si>
    <t>BioFlex (25-037)</t>
  </si>
  <si>
    <t>NOTE: This schedule is separated by transit date per truckload. The supplier may convert any item listed in full, even if that shipment is only part of the total quantity ordered, if it increases efficiency while allowing for all other items scheduled to ship on time. Trucks scheduled to match capacity.</t>
  </si>
  <si>
    <t>8463</t>
  </si>
  <si>
    <t>8518</t>
  </si>
  <si>
    <t>19800984-00</t>
  </si>
  <si>
    <t>QVIC Baby Rom 2Ct Pouch Bg USA</t>
  </si>
  <si>
    <t>BioFlex (25-039)</t>
  </si>
  <si>
    <t>BioFlex (25-040)</t>
  </si>
  <si>
    <t>8564</t>
  </si>
  <si>
    <t>8475</t>
  </si>
  <si>
    <t>BioFlex (25-041)</t>
  </si>
  <si>
    <t>BioFlex (25-042)</t>
  </si>
  <si>
    <t>BioFlex (25-043)</t>
  </si>
  <si>
    <t>BioFlex (25-038)</t>
  </si>
  <si>
    <t>9801975</t>
  </si>
  <si>
    <t>Good &amp; Gather 3Ct Org Rom USA</t>
  </si>
  <si>
    <t>8587</t>
  </si>
  <si>
    <t>CB 2Ct Baby Romaine</t>
  </si>
  <si>
    <t>Zoya/Mila</t>
  </si>
  <si>
    <t>Zoya/Brianna</t>
  </si>
  <si>
    <t>BioFlex (25-045)</t>
  </si>
  <si>
    <t>BioFlex (25-046)</t>
  </si>
  <si>
    <t>8089</t>
  </si>
  <si>
    <t>8192</t>
  </si>
  <si>
    <t>8524</t>
  </si>
  <si>
    <t>S1BFX-A1</t>
  </si>
  <si>
    <t>1LB BOLTHOUSE FRESH BBY CRTS RS</t>
  </si>
  <si>
    <t>8725</t>
  </si>
  <si>
    <t>8715</t>
  </si>
  <si>
    <t>C2GEALG-A3</t>
  </si>
  <si>
    <t>2LB GIANT EAGLE CRT CELLO AUTO</t>
  </si>
  <si>
    <t>BioFlex (25-047)</t>
  </si>
  <si>
    <t>Queen Vic 3Ct Rom Hrt Zip Bil</t>
  </si>
  <si>
    <t>9801921</t>
  </si>
  <si>
    <t>8794</t>
  </si>
  <si>
    <t>Scheduled Facility Closures</t>
  </si>
  <si>
    <t>Facility</t>
  </si>
  <si>
    <t>Note</t>
  </si>
  <si>
    <t>Marketside Org Broccoli</t>
  </si>
  <si>
    <t>BioFlex (25-048)</t>
  </si>
  <si>
    <t>BioFlex (25-049)</t>
  </si>
  <si>
    <t>8847</t>
  </si>
  <si>
    <t>8863</t>
  </si>
  <si>
    <t>BioFlex (25-050)</t>
  </si>
  <si>
    <t>BioFlex (25-051)</t>
  </si>
  <si>
    <t>8910</t>
  </si>
  <si>
    <t>300002201</t>
  </si>
  <si>
    <t>5lb Chef Ready Diced Avocado</t>
  </si>
  <si>
    <t>BioFlex (25-053)</t>
  </si>
  <si>
    <t>BioFlex (25-054)</t>
  </si>
  <si>
    <t>BioFlex (25-055)</t>
  </si>
  <si>
    <t>BioFlex (25-056)</t>
  </si>
  <si>
    <t>8656</t>
  </si>
  <si>
    <t>9009</t>
  </si>
  <si>
    <t>BioFlex (25-057)</t>
  </si>
  <si>
    <t>8577</t>
  </si>
  <si>
    <t>8618</t>
  </si>
  <si>
    <t>8923</t>
  </si>
  <si>
    <t>8992</t>
  </si>
  <si>
    <t>9056</t>
  </si>
  <si>
    <t>BioFlex (25-058)</t>
  </si>
  <si>
    <t>9106</t>
  </si>
  <si>
    <t>BioFlex (25-059)</t>
  </si>
  <si>
    <t>BioFlex (25-060)</t>
  </si>
  <si>
    <t>CF-004</t>
  </si>
  <si>
    <t>Coke Farms Org 10# Bulk</t>
  </si>
  <si>
    <t>9119</t>
  </si>
  <si>
    <t>9199</t>
  </si>
  <si>
    <t>002-20-10031-00</t>
  </si>
  <si>
    <t>DOLE 1LB BROCCOLI WRAP</t>
  </si>
  <si>
    <t>Destiny</t>
  </si>
  <si>
    <t>BioFlex (25-061)</t>
  </si>
  <si>
    <t>BioFlex (25-062)</t>
  </si>
  <si>
    <t>61933-11</t>
  </si>
  <si>
    <t>TJ's Org 2ct Celery Hrt</t>
  </si>
  <si>
    <t>EBF Org Rom Hrt 3ct - USA</t>
  </si>
  <si>
    <t>9247</t>
  </si>
  <si>
    <t>9047</t>
  </si>
  <si>
    <t>CF-001</t>
  </si>
  <si>
    <t>Coke Farms Celery</t>
  </si>
  <si>
    <t>9168</t>
  </si>
  <si>
    <t>002-00-80022-02</t>
  </si>
  <si>
    <t>13.5" Clear Lettuce</t>
  </si>
  <si>
    <t>Dole 3ct Rom Hrt USA - BI</t>
  </si>
  <si>
    <t>BioFlex (25-063)</t>
  </si>
  <si>
    <t>BioFlex (25-064)</t>
  </si>
  <si>
    <t>P150</t>
  </si>
  <si>
    <t>POLY CLEAR ZIP LOCK 8# 12X18</t>
  </si>
  <si>
    <t>Volkman</t>
  </si>
  <si>
    <t>9357</t>
  </si>
  <si>
    <t>BioFlex (25-065)</t>
  </si>
  <si>
    <t>BioFlex (25-066)</t>
  </si>
  <si>
    <t>9394</t>
  </si>
  <si>
    <t>9426</t>
  </si>
  <si>
    <t>BioFlex (25-067)</t>
  </si>
  <si>
    <t>158609</t>
  </si>
  <si>
    <t>BAG, GREEN BEAN</t>
  </si>
  <si>
    <t>9483</t>
  </si>
  <si>
    <t>BioFlex (25-068)</t>
  </si>
  <si>
    <t>BioFlex (25-069)</t>
  </si>
  <si>
    <t>9557</t>
  </si>
  <si>
    <t>9279</t>
  </si>
  <si>
    <t>9574</t>
  </si>
  <si>
    <t>62033-11</t>
  </si>
  <si>
    <t>Meijer 3ct Artisan Romaine-Zip</t>
  </si>
  <si>
    <t>BioFlex (25-070)</t>
  </si>
  <si>
    <t>Bosko Bilingual Green Onion</t>
  </si>
  <si>
    <t>S2BFT-A1</t>
  </si>
  <si>
    <t>2LB BOLTHOUSE FRESH TZIP RS</t>
  </si>
  <si>
    <t>C3MEALGMI-A1</t>
  </si>
  <si>
    <t>3LB MEIJR WHOLE CRT MI LONG</t>
  </si>
  <si>
    <t>9633</t>
  </si>
  <si>
    <t>BioFlex (25-071)</t>
  </si>
  <si>
    <t>002-40-55037-03</t>
  </si>
  <si>
    <t>Signature Frm 18oz Rom Hrt USA</t>
  </si>
  <si>
    <t>Ozuna Ext. Sup Tortilla bag</t>
  </si>
  <si>
    <t>Lori/Dana</t>
  </si>
  <si>
    <t>9441</t>
  </si>
  <si>
    <t>BioFlex (25-072)</t>
  </si>
  <si>
    <t>BioFlex (25-073)</t>
  </si>
  <si>
    <t>9674</t>
  </si>
  <si>
    <t>No</t>
  </si>
  <si>
    <t>9720</t>
  </si>
  <si>
    <t>Trader Joe's 1 ct Green Cabbage</t>
  </si>
  <si>
    <t>BioFlex (25-074)</t>
  </si>
  <si>
    <t>BioFlex (25-075)</t>
  </si>
  <si>
    <t>BioFlex (25-076)</t>
  </si>
  <si>
    <t>9751</t>
  </si>
  <si>
    <t>9795</t>
  </si>
  <si>
    <t>9806</t>
  </si>
  <si>
    <t>9808</t>
  </si>
  <si>
    <t>BioFlex (25-077)</t>
  </si>
  <si>
    <t>BioFlex (25-078)</t>
  </si>
  <si>
    <t>61494-16NZ</t>
  </si>
  <si>
    <t>TA 3ct Jmbo Rom Long USA No Zp</t>
  </si>
  <si>
    <t>9865</t>
  </si>
  <si>
    <t>9867</t>
  </si>
  <si>
    <t>B-86FR</t>
  </si>
  <si>
    <t>BioFlex (25-079)</t>
  </si>
  <si>
    <t>BioFlex (25-080)</t>
  </si>
  <si>
    <t>159180</t>
  </si>
  <si>
    <t>BAG, CAULIFLOWER, MARKETSIDE</t>
  </si>
  <si>
    <t>300001584</t>
  </si>
  <si>
    <t>5LB DICED APPLES DOLE</t>
  </si>
  <si>
    <t>4/7oz Banana, Mango, Berry Outer</t>
  </si>
  <si>
    <t>9946</t>
  </si>
  <si>
    <t>9941</t>
  </si>
  <si>
    <t>BioFlex (25-081)</t>
  </si>
  <si>
    <t>9801993</t>
  </si>
  <si>
    <t>TFR COSTCO 5ct Petite Romaine</t>
  </si>
  <si>
    <t>TRIAL</t>
  </si>
  <si>
    <t>002-40-55022-01</t>
  </si>
  <si>
    <t>DOLE 18oz Org Rom. Hrt Zip USA</t>
  </si>
  <si>
    <t>10024</t>
  </si>
  <si>
    <t>BioFlex (25-082)</t>
  </si>
  <si>
    <t>62036-11</t>
  </si>
  <si>
    <t>10112</t>
  </si>
  <si>
    <t>002-40-55032-02</t>
  </si>
  <si>
    <t>Dole 23oz Rom USA Zip Grwn CA</t>
  </si>
  <si>
    <t>BioFlex (25-083)</t>
  </si>
  <si>
    <t>BioFlex (25-084)</t>
  </si>
  <si>
    <t>61791-11NZ</t>
  </si>
  <si>
    <t>TA 3ct Jmbo Rom No Zp</t>
  </si>
  <si>
    <t>10196</t>
  </si>
  <si>
    <t>10222</t>
  </si>
  <si>
    <t>BioFlex (25-085)</t>
  </si>
  <si>
    <t>BioFlex (25-086)</t>
  </si>
  <si>
    <t>BioFlex (25-087)</t>
  </si>
  <si>
    <t>BioFlex (25-088)</t>
  </si>
  <si>
    <t>10283</t>
  </si>
  <si>
    <t>10309</t>
  </si>
  <si>
    <t>10367</t>
  </si>
  <si>
    <t>10369</t>
  </si>
  <si>
    <t>BioFlex (25-089)</t>
  </si>
  <si>
    <t>BioFlex (25-090)</t>
  </si>
  <si>
    <t>Mann Packing</t>
  </si>
  <si>
    <t>BioFlex (25-091)</t>
  </si>
  <si>
    <t>BioFlex (25-092)</t>
  </si>
  <si>
    <t>BioFlex (25-093)</t>
  </si>
  <si>
    <t>002-40-55046-00</t>
  </si>
  <si>
    <t>DOLE 3CT ROM HEART USA NO-ZIP</t>
  </si>
  <si>
    <t>BioFlex (25-094)</t>
  </si>
  <si>
    <t>BioFlex (25-095)</t>
  </si>
  <si>
    <t>BioFlex (25-096)</t>
  </si>
  <si>
    <t>BioFlex (25-097)</t>
  </si>
  <si>
    <t>OM 3ct Rom Hrt BI - NO ZIP USA</t>
  </si>
  <si>
    <t>1587</t>
  </si>
  <si>
    <t>CB Trdr Joe 3ct Little Gem Ltt</t>
  </si>
  <si>
    <t>BioFlex (25-098)</t>
  </si>
  <si>
    <t>BioFlex (25-099)</t>
  </si>
  <si>
    <t>10803</t>
  </si>
  <si>
    <t>10599</t>
  </si>
  <si>
    <t>10677</t>
  </si>
  <si>
    <t>10744</t>
  </si>
  <si>
    <t>9801865 - 783092</t>
  </si>
  <si>
    <t>10851</t>
  </si>
  <si>
    <t>10864</t>
  </si>
  <si>
    <t>T&amp;A 3ct Rom Bilin Jumbo NO-ZIP</t>
  </si>
  <si>
    <t>9501808 - 780177</t>
  </si>
  <si>
    <t>EBF Org Celery Sleeve USA</t>
  </si>
  <si>
    <t>BioFlex (25-100)</t>
  </si>
  <si>
    <t>10924</t>
  </si>
  <si>
    <t>BioFlex (25-101)</t>
  </si>
  <si>
    <t>61370-17NZ</t>
  </si>
  <si>
    <t>TA 3ct Jmbo Rom Shrt USA No Zp</t>
  </si>
  <si>
    <t>9801905 - 783916</t>
  </si>
  <si>
    <t>BioFlex (25-102)</t>
  </si>
  <si>
    <t>BioFlex (25-103)</t>
  </si>
  <si>
    <t>9801857 - 783084</t>
  </si>
  <si>
    <t>506957B</t>
  </si>
  <si>
    <t>10976</t>
  </si>
  <si>
    <t>11068</t>
  </si>
  <si>
    <t>BioFlex (25-104)</t>
  </si>
  <si>
    <t>11078</t>
  </si>
  <si>
    <t>9801902 - 783913</t>
  </si>
  <si>
    <t>11143</t>
  </si>
  <si>
    <t>BioFlex (25-105)</t>
  </si>
  <si>
    <t>54972-1</t>
  </si>
  <si>
    <t>BioFlex (25-106)</t>
  </si>
  <si>
    <t>11268</t>
  </si>
  <si>
    <t>10605</t>
  </si>
  <si>
    <t>10748</t>
  </si>
  <si>
    <t>10746</t>
  </si>
  <si>
    <t>10487</t>
  </si>
  <si>
    <t>10512</t>
  </si>
  <si>
    <t>BioFlex (25-107)</t>
  </si>
  <si>
    <t>BioFlex (25-108)</t>
  </si>
  <si>
    <t>19800956-04</t>
  </si>
  <si>
    <t>QnVic 3Ct Rom Hrt Bg EN/FR US</t>
  </si>
  <si>
    <t>11340</t>
  </si>
  <si>
    <t>14010912-00</t>
  </si>
  <si>
    <t>WEIS 3Ct Romaine Hearts</t>
  </si>
  <si>
    <t>BioFlex (25-109)</t>
  </si>
  <si>
    <t>9801906 - 783917</t>
  </si>
  <si>
    <t>9801993 - 787274</t>
  </si>
  <si>
    <t>BioFlex (25-110)</t>
  </si>
  <si>
    <t>BioFlex (25-111)</t>
  </si>
  <si>
    <t>61579-15</t>
  </si>
  <si>
    <t>9801900 - 783911</t>
  </si>
  <si>
    <t>11350</t>
  </si>
  <si>
    <t>11433</t>
  </si>
  <si>
    <t>BioFlex (25-112)</t>
  </si>
  <si>
    <t>BioFlex (25-113)</t>
  </si>
  <si>
    <t>BioFlex (25-114)</t>
  </si>
  <si>
    <t>S0120KRFLW-A2</t>
  </si>
  <si>
    <t>4-3oz KROGER SNACK FLW WRAP RS</t>
  </si>
  <si>
    <t>S090BFCNFLW-A1</t>
  </si>
  <si>
    <t>4-2.25oz BH SNACK FLOW WRAP RS</t>
  </si>
  <si>
    <t>Elsie/Larissa</t>
  </si>
  <si>
    <t>BioFlex (25-115)</t>
  </si>
  <si>
    <t>BioFlex (25-116)</t>
  </si>
  <si>
    <t>62036 / 61494-16NZ</t>
  </si>
  <si>
    <t>Toni/Crystal</t>
  </si>
  <si>
    <t>11221</t>
  </si>
  <si>
    <t>11458</t>
  </si>
  <si>
    <t>11570</t>
  </si>
  <si>
    <t>11562</t>
  </si>
  <si>
    <t>11673</t>
  </si>
  <si>
    <t>11595</t>
  </si>
  <si>
    <t>11472</t>
  </si>
  <si>
    <t>11669</t>
  </si>
  <si>
    <t>Zoya/Larissa</t>
  </si>
  <si>
    <t>BioFlex (25-117)</t>
  </si>
  <si>
    <t>BioFlex (25-118)</t>
  </si>
  <si>
    <t>61370-17_O</t>
  </si>
  <si>
    <t>11732</t>
  </si>
  <si>
    <t>11757</t>
  </si>
  <si>
    <t>Church Bros Broccoli Crown USA</t>
  </si>
  <si>
    <t>BioFlex (25-119)</t>
  </si>
  <si>
    <t>BioFlex (25-120)</t>
  </si>
  <si>
    <t>BioFlex (25-121)</t>
  </si>
  <si>
    <t>BioFlex (25-122)</t>
  </si>
  <si>
    <t>BioFlex (25-123)</t>
  </si>
  <si>
    <t>BioFlex (25-124)</t>
  </si>
  <si>
    <t>61494-16</t>
  </si>
  <si>
    <t>T&amp;A 3ct Jumbo Rom Long USA</t>
  </si>
  <si>
    <t>19800940-00</t>
  </si>
  <si>
    <t>QUEEN VIC CHOKES 4CT BAG</t>
  </si>
  <si>
    <t>Zoya/ Larissa</t>
  </si>
  <si>
    <t>11990</t>
  </si>
  <si>
    <t>11950</t>
  </si>
  <si>
    <t>12181</t>
  </si>
  <si>
    <t>BioFlex (25-125)</t>
  </si>
  <si>
    <t>4069V1</t>
  </si>
  <si>
    <t>BioFlex (25-126)</t>
  </si>
  <si>
    <t>62036-11 / 61494-16NZ</t>
  </si>
  <si>
    <t>8oz Dole Mixed Berries - Inner</t>
  </si>
  <si>
    <t>300000881</t>
  </si>
  <si>
    <t>5LB DOLE RASPBERRIES</t>
  </si>
  <si>
    <t>12283</t>
  </si>
  <si>
    <t>TFR 6ct Romaine Usa PURPLE</t>
  </si>
  <si>
    <t>BioFlex (25-127)</t>
  </si>
  <si>
    <t>300001996</t>
  </si>
  <si>
    <t>POUCH 12 OZ WEGMAN ORG MANGO</t>
  </si>
  <si>
    <t>300001998</t>
  </si>
  <si>
    <t>POUCH 32OZ WGMNS ORG BLUEBERRI</t>
  </si>
  <si>
    <t>300002200</t>
  </si>
  <si>
    <t>POUCH 32OZ WGMNS ORG PINEAPPLE</t>
  </si>
  <si>
    <t>30002199</t>
  </si>
  <si>
    <t>POUCH 32OZ WGMNS ORG MIXED FRT</t>
  </si>
  <si>
    <t>30001743</t>
  </si>
  <si>
    <t>POUCH 12OZGE POMEGRANATE ARILS SUP</t>
  </si>
  <si>
    <t>300002024</t>
  </si>
  <si>
    <t>POUCH 12OZ NAT BASKET ORG MGO</t>
  </si>
  <si>
    <t>30002021</t>
  </si>
  <si>
    <t>POUCH 12OZ NAT BASKT ORG WH ST</t>
  </si>
  <si>
    <t>300000895</t>
  </si>
  <si>
    <t>POUCH 16OZ NAT GROCERS ORG MGO</t>
  </si>
  <si>
    <t>300002512</t>
  </si>
  <si>
    <t>POUCH 32OZ DOLE VITA-C POWER</t>
  </si>
  <si>
    <t>300002513</t>
  </si>
  <si>
    <t>POUCH 32OZ DLE DRM W/ DGRN FRT</t>
  </si>
  <si>
    <t>300001995</t>
  </si>
  <si>
    <t>POUCH 12OZ WGMNS ORG RASPBERRI</t>
  </si>
  <si>
    <t>300002385</t>
  </si>
  <si>
    <t>POUCH 16OZ WEGMANS RASPBERRIE</t>
  </si>
  <si>
    <t>300001997</t>
  </si>
  <si>
    <t>POUCH 23OZ WEGMAN ORG MGO CHNK</t>
  </si>
  <si>
    <t>300001981</t>
  </si>
  <si>
    <t>POUCH 16OZ WEGMANS BLUEBERRIES</t>
  </si>
  <si>
    <t>300002386</t>
  </si>
  <si>
    <t>POUCH 16OZ WGMNS SLICED PEACH</t>
  </si>
  <si>
    <t>300001993</t>
  </si>
  <si>
    <t>POUCH 3# WEGMANS BLUEBERRIES</t>
  </si>
  <si>
    <t>300001666</t>
  </si>
  <si>
    <t>POUCH 48OZ WEGMANS SL STRAW</t>
  </si>
  <si>
    <t>300002384</t>
  </si>
  <si>
    <t>POUCH 48OZ WEGMANS MIXED FRT</t>
  </si>
  <si>
    <t>300000922</t>
  </si>
  <si>
    <t>POUCH 16OZ NAT GROCERS ORG RSP</t>
  </si>
  <si>
    <t>300002008</t>
  </si>
  <si>
    <t>POUCH 3LB WEGMANS STRAWBERRY</t>
  </si>
  <si>
    <t>300002196</t>
  </si>
  <si>
    <t>POUCH 48OZ WGMNS MANGO BERRY</t>
  </si>
  <si>
    <t>300002006</t>
  </si>
  <si>
    <t>POUCH 3LB WEGMANS PINEAPPLE CH</t>
  </si>
  <si>
    <t>300002001</t>
  </si>
  <si>
    <t>POUCH 12OZ WEGMNS ORG SL PEACH</t>
  </si>
  <si>
    <t>300001659</t>
  </si>
  <si>
    <t>POUCH 16OZ WEGMNS PINEAPPLE CH</t>
  </si>
  <si>
    <t>300001661</t>
  </si>
  <si>
    <t>POUCH 16OZ WEGMANS SL STRAW</t>
  </si>
  <si>
    <t>300001664</t>
  </si>
  <si>
    <t>POUCH 16OZ WEGMANS WILD BLUEBR</t>
  </si>
  <si>
    <t>300001665</t>
  </si>
  <si>
    <t>POUCH 48OZ WEGMANS WILD BLUEBE</t>
  </si>
  <si>
    <t>BioFlex (25-128)</t>
  </si>
  <si>
    <t>300002003</t>
  </si>
  <si>
    <t>POUCH 16OZ WEGMANS DS CHERRIES</t>
  </si>
  <si>
    <t>300002198</t>
  </si>
  <si>
    <t>POUCH 32OZ WEGMANS ORG MX BERRIES</t>
  </si>
  <si>
    <t>300002179</t>
  </si>
  <si>
    <t>POUCH 48OZ WGMNS JST PCKD MGO</t>
  </si>
  <si>
    <t>300001667</t>
  </si>
  <si>
    <t>POUCH 12OZ WEGMANS ORG SL BANA</t>
  </si>
  <si>
    <t>300002197</t>
  </si>
  <si>
    <t>POUCH 32OZ WGMNS ORG DK SWT CH</t>
  </si>
  <si>
    <t>12374</t>
  </si>
  <si>
    <t>BioFlex (25-129)</t>
  </si>
  <si>
    <t>BioFlex (25-130)</t>
  </si>
  <si>
    <t>BioFlex (25-131)</t>
  </si>
  <si>
    <t>BioFlex (25-132)</t>
  </si>
  <si>
    <t>BioFlex (25-133)</t>
  </si>
  <si>
    <t>BioFlex (25-134)</t>
  </si>
  <si>
    <t>BioFlex (25-135)</t>
  </si>
  <si>
    <t>12522</t>
  </si>
  <si>
    <t>12629</t>
  </si>
  <si>
    <t>12631</t>
  </si>
  <si>
    <t>F2110</t>
  </si>
  <si>
    <t>60303-16</t>
  </si>
  <si>
    <t>TJ's 3ct Romaine HRTS-ZIP</t>
  </si>
  <si>
    <t>BioFlex (25-136)</t>
  </si>
  <si>
    <t>BioFlex (25-137)</t>
  </si>
  <si>
    <t>11932</t>
  </si>
  <si>
    <t>11994</t>
  </si>
  <si>
    <t>12106</t>
  </si>
  <si>
    <t>5lLB Dole Diced Peaches</t>
  </si>
  <si>
    <t>BioFlex (25-138)</t>
  </si>
  <si>
    <t>12724</t>
  </si>
  <si>
    <t>12722</t>
  </si>
  <si>
    <t>12792</t>
  </si>
  <si>
    <t>BioFlex (25-139)</t>
  </si>
  <si>
    <t>12807</t>
  </si>
  <si>
    <t>BioFlex (25-140)</t>
  </si>
  <si>
    <t>300001989</t>
  </si>
  <si>
    <t>POUCH 3# WEGMANS MX BERRIES</t>
  </si>
  <si>
    <t>300001991</t>
  </si>
  <si>
    <t>POUCH 3# WEGMANS DS CHERRIES</t>
  </si>
  <si>
    <t>300001745</t>
  </si>
  <si>
    <t>POUCH, 16OZ GIANT EAGLE MIXED</t>
  </si>
  <si>
    <t>300001721</t>
  </si>
  <si>
    <t>POUCH, 16OZ GIANT EAGLE MANGO</t>
  </si>
  <si>
    <t>OCEAM MST UPC/PLU CAULIFLOWER</t>
  </si>
  <si>
    <t>Elsie/Brianna</t>
  </si>
  <si>
    <t>9801975 - 785089</t>
  </si>
  <si>
    <t>9801921 - 783932</t>
  </si>
  <si>
    <t>9502890 - 780181</t>
  </si>
  <si>
    <t>BioFlex (25-141)</t>
  </si>
  <si>
    <t>13005</t>
  </si>
  <si>
    <t>12926</t>
  </si>
  <si>
    <t>300001923</t>
  </si>
  <si>
    <t>POUCH 2# WEGMANS STRAW</t>
  </si>
  <si>
    <t>300001660</t>
  </si>
  <si>
    <t>POUCH 16OZ WEGMANS MANGO</t>
  </si>
  <si>
    <t>300001999</t>
  </si>
  <si>
    <t>POUCH 16OZ WEGMANS WH STRAW</t>
  </si>
  <si>
    <t>13052</t>
  </si>
  <si>
    <t>BioFlex (25-142)</t>
  </si>
  <si>
    <t>161514</t>
  </si>
  <si>
    <t>BAG, 2LB WEIS MKT, WKT</t>
  </si>
  <si>
    <t>Church Bros Broccoli Bunch POM</t>
  </si>
  <si>
    <t>13120</t>
  </si>
  <si>
    <t>BioFlex (25-143)</t>
  </si>
  <si>
    <t>BioFlex (25-144)</t>
  </si>
  <si>
    <t>BioFlex (25-145)</t>
  </si>
  <si>
    <t>1529V1</t>
  </si>
  <si>
    <t>BioFlex (25-146)</t>
  </si>
  <si>
    <t>0997N</t>
  </si>
  <si>
    <t>OCM 4Ct Artichoke</t>
  </si>
  <si>
    <t>BioFlex (25-147)</t>
  </si>
  <si>
    <t>BioFlex (25-148)</t>
  </si>
  <si>
    <t>1587V1</t>
  </si>
  <si>
    <t>9801993 - 787313</t>
  </si>
  <si>
    <t>BioFlex (25-149)</t>
  </si>
  <si>
    <t>BioFlex (25-150)</t>
  </si>
  <si>
    <t>13621</t>
  </si>
  <si>
    <t>BioFlex (25-151)</t>
  </si>
  <si>
    <t>5TSSPOPW-1</t>
  </si>
  <si>
    <t>5TSSAMSPP-1</t>
  </si>
  <si>
    <t>TFR COSTCO 6Ct Rom Hrt USA</t>
  </si>
  <si>
    <t>9801864 - 783091</t>
  </si>
  <si>
    <t>COEAN MIST UPC/PLU CAULIFLOWER</t>
  </si>
  <si>
    <t>13660</t>
  </si>
  <si>
    <t>BioFlex (25-152)</t>
  </si>
  <si>
    <t>POUCH 32OZ WEGMAN ORG MGO CHNK</t>
  </si>
  <si>
    <t>BioFlex (25-153)</t>
  </si>
  <si>
    <t>12726</t>
  </si>
  <si>
    <t>12924</t>
  </si>
  <si>
    <t>13221</t>
  </si>
  <si>
    <t>13458</t>
  </si>
  <si>
    <t>13492</t>
  </si>
  <si>
    <t>13576</t>
  </si>
  <si>
    <t>13720</t>
  </si>
  <si>
    <t>13780</t>
  </si>
  <si>
    <t>300000897</t>
  </si>
  <si>
    <t>Pouch 16oz Nat. Grocers Org Bl</t>
  </si>
  <si>
    <t>300000915</t>
  </si>
  <si>
    <t>Pouch 3lb Dole SL Strawberries</t>
  </si>
  <si>
    <t>300000870</t>
  </si>
  <si>
    <t>Pouch 2lb Dole Pineapple Chunk</t>
  </si>
  <si>
    <t>300000837</t>
  </si>
  <si>
    <t>Pouch 32oz Dole DS Cherries</t>
  </si>
  <si>
    <t>300000782</t>
  </si>
  <si>
    <t>Pouch 16oz Dole Mango Chunks</t>
  </si>
  <si>
    <t>300000779</t>
  </si>
  <si>
    <t>Pouch 12oz Dole Mixed Berries</t>
  </si>
  <si>
    <t>300000778</t>
  </si>
  <si>
    <t>Pouch 12oz Dole Blueberries</t>
  </si>
  <si>
    <t>300001987</t>
  </si>
  <si>
    <t>Pouch 12oz Wegmans Org Blueber</t>
  </si>
  <si>
    <t>300002026</t>
  </si>
  <si>
    <t>Pouch 12oz Nat Basket Org Trop</t>
  </si>
  <si>
    <t>300001749</t>
  </si>
  <si>
    <t>Pouch 16oz Giant Eagle Pineapp</t>
  </si>
  <si>
    <t>300002019</t>
  </si>
  <si>
    <t>Pouch 12oz Nat Basket Org MX B</t>
  </si>
  <si>
    <t>300002028</t>
  </si>
  <si>
    <t>Pouch 32oz Nat Bask Org Bluebe</t>
  </si>
  <si>
    <t>300001746</t>
  </si>
  <si>
    <t>Pouch 12oz Giant Eagle Berry M</t>
  </si>
  <si>
    <t>300001720</t>
  </si>
  <si>
    <t>Pouch 16oz Giant Eagle SL Peac</t>
  </si>
  <si>
    <t>300001748</t>
  </si>
  <si>
    <t>Pouch 12oz Giant Eagle DS Cher</t>
  </si>
  <si>
    <t>300002208</t>
  </si>
  <si>
    <t>Pouch 16oz Wegmans Berry Medle</t>
  </si>
  <si>
    <t>300001969</t>
  </si>
  <si>
    <t>Pouch16oz Wegmans Blackberri</t>
  </si>
  <si>
    <t>300002007</t>
  </si>
  <si>
    <t>Pouch 16oz Wegmans Cherry Berr</t>
  </si>
  <si>
    <t>300002002</t>
  </si>
  <si>
    <t>Pouch 12oz Wegmans Org Blackbe</t>
  </si>
  <si>
    <t>300001663</t>
  </si>
  <si>
    <t>Pouch 16oz Wegmns Straw/Pch/Ba</t>
  </si>
  <si>
    <t>300001662</t>
  </si>
  <si>
    <t>Pouch 16oz Wegmans Straw/Banan</t>
  </si>
  <si>
    <t>Pouch 3lb Wegmans Blueberries SUP</t>
  </si>
  <si>
    <t>300001994</t>
  </si>
  <si>
    <t>Pouch 12oz Wegmans Org Strawbr</t>
  </si>
  <si>
    <t>300002009</t>
  </si>
  <si>
    <t>Pouch 12oz Wegmans Org WH Cran</t>
  </si>
  <si>
    <t>300000781</t>
  </si>
  <si>
    <t>Pouch 16oz Dole Pineapple Chunks SUP</t>
  </si>
  <si>
    <t>POUCH 2lb WEGMANS WH STRAW ORG SUP</t>
  </si>
  <si>
    <t>BioFlex (25-154)</t>
  </si>
  <si>
    <t>BioFlex (25-155)</t>
  </si>
  <si>
    <t>BioFlex (25-156)</t>
  </si>
  <si>
    <t>BioFlex (25-157)</t>
  </si>
  <si>
    <t>BioFlex (25-158)</t>
  </si>
  <si>
    <t>BioFlex (25-159)</t>
  </si>
  <si>
    <t>13899</t>
  </si>
  <si>
    <t>13964</t>
  </si>
  <si>
    <t>Closed</t>
  </si>
  <si>
    <t>14058</t>
  </si>
  <si>
    <t>14216</t>
  </si>
  <si>
    <t>4070V1</t>
  </si>
  <si>
    <t>Church Bros Broccoli Crown POM</t>
  </si>
  <si>
    <t>BioFlex (25-160)</t>
  </si>
  <si>
    <t>BioFlex (25-161)</t>
  </si>
  <si>
    <t>BioFlex (25-162)</t>
  </si>
  <si>
    <t>S0120TARFLW-B1</t>
  </si>
  <si>
    <t>4-3oz GOOD &amp; GATHER SNACK R/S</t>
  </si>
  <si>
    <t>14344</t>
  </si>
  <si>
    <t>14313</t>
  </si>
  <si>
    <t>BioFlex (25-163)</t>
  </si>
  <si>
    <t>14429</t>
  </si>
  <si>
    <t>14419</t>
  </si>
  <si>
    <t>BioFlex (25-164)</t>
  </si>
  <si>
    <t>14532</t>
  </si>
  <si>
    <t>61203-18</t>
  </si>
  <si>
    <t>T&amp;A 6ct Romaine Hrts-COSTCO</t>
  </si>
  <si>
    <t>14596</t>
  </si>
  <si>
    <t>BioFlex (25-165)</t>
  </si>
  <si>
    <t>9801890 - 783747</t>
  </si>
  <si>
    <t>BioFlex (25-166)</t>
  </si>
  <si>
    <t>1351V1</t>
  </si>
  <si>
    <t>Church</t>
  </si>
  <si>
    <t>Pat/Crystal</t>
  </si>
  <si>
    <t>14713</t>
  </si>
  <si>
    <t>BioFlex (25-167)</t>
  </si>
  <si>
    <t>BioFlex (25-168)</t>
  </si>
  <si>
    <t>BioFlex (25-169)</t>
  </si>
  <si>
    <t>BioFlex (25-170)</t>
  </si>
  <si>
    <t>OCM 4 Ct Artichoke</t>
  </si>
  <si>
    <t>14777</t>
  </si>
  <si>
    <t>14781</t>
  </si>
  <si>
    <t>14882</t>
  </si>
  <si>
    <t>BioFlex (26-001)</t>
  </si>
  <si>
    <t>BioFlex (26-002)</t>
  </si>
  <si>
    <t>002-40-56045-01</t>
  </si>
  <si>
    <t>DOLE 4CT/48oz ARTICHOKE USA</t>
  </si>
  <si>
    <t>14959</t>
  </si>
  <si>
    <t>BioFlex (26-003)</t>
  </si>
  <si>
    <t>14800</t>
  </si>
  <si>
    <t>14793</t>
  </si>
  <si>
    <t>14661</t>
  </si>
  <si>
    <t>15033</t>
  </si>
  <si>
    <t>002-40-55010-07</t>
  </si>
  <si>
    <t>DOLE 6Ct Rom Hrt Bil USA</t>
  </si>
  <si>
    <t>TJ 3ct Rom Heart Bag - USA</t>
  </si>
  <si>
    <t>BioFlex (26-004)</t>
  </si>
  <si>
    <t>300002493</t>
  </si>
  <si>
    <t>300002491</t>
  </si>
  <si>
    <t>300002461</t>
  </si>
  <si>
    <t>POUCH 12OZ GIANT EAGLE POMEGRANATE ARILS</t>
  </si>
  <si>
    <t>300002504</t>
  </si>
  <si>
    <t>Pouch, Dole 12oz Blueberries</t>
  </si>
  <si>
    <t>BioFlex (26-005)</t>
  </si>
  <si>
    <t>15153</t>
  </si>
  <si>
    <t>300002462</t>
  </si>
  <si>
    <t>15222</t>
  </si>
  <si>
    <t>HIGH PRIORITY! Must ship by 2/16</t>
  </si>
  <si>
    <t>BioFlex (26-006)</t>
  </si>
  <si>
    <t>BioFlex (26-007)</t>
  </si>
  <si>
    <t>300002502</t>
  </si>
  <si>
    <t>Pouch, Dole 16oz Tropical Gold</t>
  </si>
  <si>
    <t>300002503</t>
  </si>
  <si>
    <t>Pouch, Dole 14oz Sliced Strawb</t>
  </si>
  <si>
    <t>13254</t>
  </si>
  <si>
    <t>13382</t>
  </si>
  <si>
    <t>15318</t>
  </si>
  <si>
    <t>BioFlex (26-008)</t>
  </si>
  <si>
    <t>15335</t>
  </si>
  <si>
    <t>12207</t>
  </si>
  <si>
    <t>14271</t>
  </si>
  <si>
    <t>300002458</t>
  </si>
  <si>
    <t>BioFlex (26-009)</t>
  </si>
  <si>
    <t>HIGH PRIORITY! Must ship by 2/5</t>
  </si>
  <si>
    <t>15426</t>
  </si>
  <si>
    <t>1LB BOLTHOUSE FRESH BBY CRT RS</t>
  </si>
  <si>
    <t>300002452</t>
  </si>
  <si>
    <t>1587V2</t>
  </si>
  <si>
    <t>TJ's 3Ct Little Gem 14oz</t>
  </si>
  <si>
    <t>1598</t>
  </si>
  <si>
    <t>CVF 3CT ROMAINE HEARTS</t>
  </si>
  <si>
    <t>300001963</t>
  </si>
  <si>
    <t>Pouch 12oz Wegmans Mix Berry</t>
  </si>
  <si>
    <t>300002505</t>
  </si>
  <si>
    <t>Pouch ,Dole 16oz Mango Chunks</t>
  </si>
  <si>
    <t>300002453</t>
  </si>
  <si>
    <t>300002463</t>
  </si>
  <si>
    <t>BioFlex (26-010)</t>
  </si>
  <si>
    <t>C5EARCNLA-A1</t>
  </si>
  <si>
    <t>5LB EARBD CAN LONG CELLO AB</t>
  </si>
  <si>
    <t>SAMPLE</t>
  </si>
  <si>
    <t>CB 2ct Cabbage-Clear Samples</t>
  </si>
  <si>
    <t>C1GGCNALG-A2</t>
  </si>
  <si>
    <t>1LB GREEN GIANT CAN HS A/B WKT</t>
  </si>
  <si>
    <t>HIGH PRIORITY! Must ship by 2/23</t>
  </si>
  <si>
    <t>BioFlex (26-011)</t>
  </si>
  <si>
    <t>HIGH PRIORITY! Must ship by 2/24</t>
  </si>
  <si>
    <t>C2BFCNALG-A1</t>
  </si>
  <si>
    <t>2LB BOLTHOUSE FRESH CANADA FS</t>
  </si>
  <si>
    <t>BioFlex (26-012)</t>
  </si>
  <si>
    <t>Natali</t>
  </si>
  <si>
    <t>15706</t>
  </si>
  <si>
    <t>POUCH 32OZ WGMNS ORG MX BERRIE</t>
  </si>
  <si>
    <t>300001925</t>
  </si>
  <si>
    <t>Pouch 12oz Wegman Organic Pine</t>
  </si>
  <si>
    <t>S0120BFFLW-A1</t>
  </si>
  <si>
    <t>4-3oz BOLTHOUSE FRESH SP FLOW</t>
  </si>
  <si>
    <t>300002507</t>
  </si>
  <si>
    <t>12oz Dole Mixed Berries - SUP</t>
  </si>
  <si>
    <t>HIGH PRIORITY! Must ship by 2/9</t>
  </si>
  <si>
    <t>15752</t>
  </si>
  <si>
    <t>HIGH PRIORITY! Must ship by 3/17</t>
  </si>
  <si>
    <t>129259-A1</t>
  </si>
  <si>
    <t>61699-13</t>
  </si>
  <si>
    <t>Org 2Ct Artsn Rom Pouch Bag</t>
  </si>
  <si>
    <t>HIGH PRIORITY! Must ship by 2/11</t>
  </si>
  <si>
    <t>BioFlex (26-013)</t>
  </si>
  <si>
    <t>HIGH PRIORITY! Must ship by 2/14</t>
  </si>
  <si>
    <t>HIGH PRIORITY! Must ship 252M by 2/14</t>
  </si>
  <si>
    <t>To Ship</t>
  </si>
  <si>
    <t>Remaining</t>
  </si>
  <si>
    <t>Released</t>
  </si>
  <si>
    <t>Quantity of Pallets</t>
  </si>
  <si>
    <t>15586</t>
  </si>
  <si>
    <t>15790</t>
  </si>
  <si>
    <t>15897</t>
  </si>
  <si>
    <t>C3HFALG-A5</t>
  </si>
  <si>
    <t>3LB HANNAFORD A/B</t>
  </si>
  <si>
    <t>C5FLLA-A5</t>
  </si>
  <si>
    <t>5LB FOOD LION CELLO LONG AUTO</t>
  </si>
  <si>
    <t>BioFlex (26-014)</t>
  </si>
  <si>
    <t>BioFlex (26-015)</t>
  </si>
  <si>
    <t>BioFlex (26-016)</t>
  </si>
  <si>
    <t>15985</t>
  </si>
  <si>
    <t>5TSSAMSPP-2</t>
  </si>
  <si>
    <t>HIGH PRIORITY! Must ship by 3/23</t>
  </si>
  <si>
    <t>5CALOSAMSPW/162817</t>
  </si>
  <si>
    <t>5lb Cal Org Red and Gold Potat</t>
  </si>
  <si>
    <t>300002451</t>
  </si>
  <si>
    <t>129261-1</t>
  </si>
  <si>
    <t>HOLD TO SHIP</t>
  </si>
  <si>
    <t>HIGH PRIORITY! No overrun; must ship by 2/21</t>
  </si>
  <si>
    <t>BioFlex (26-017)</t>
  </si>
  <si>
    <t>HOLD AND RELABEL TO NEW PO</t>
  </si>
  <si>
    <t>16076</t>
  </si>
  <si>
    <t>16134</t>
  </si>
  <si>
    <t>300002511</t>
  </si>
  <si>
    <t>Pouch 32oz Dole DS Cherries SU</t>
  </si>
  <si>
    <t>BioFlex (26-018)</t>
  </si>
  <si>
    <t>BioFlex (26-019)</t>
  </si>
  <si>
    <t>Castroville, CA</t>
  </si>
  <si>
    <t>KER-024</t>
  </si>
  <si>
    <t>5LB KERN RIDGE FULL SCRIM</t>
  </si>
  <si>
    <t>HIGH PRIORITY! No overrun; must ship by 2/23</t>
  </si>
  <si>
    <t>26-018</t>
  </si>
  <si>
    <t>26-019</t>
  </si>
  <si>
    <t>26-020</t>
  </si>
  <si>
    <t>BioFlex (26-020)</t>
  </si>
  <si>
    <t>16237</t>
  </si>
  <si>
    <t>Dole 23oz Rom USA Zip</t>
  </si>
  <si>
    <t>16253</t>
  </si>
  <si>
    <t>End-of-run-pallet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</si>
</sst>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quot;$&quot;* #,##0.00_);_(&quot;$&quot;* \(#,##0.00\);_(&quot;$&quot;* &quot;-&quot;??_);_(@_)"/>
    <numFmt numFmtId="165" formatCode="_(* #,##0.00_);_(* \(#,##0.00\);_(* &quot;-&quot;??_);_(@_)"/>
    <numFmt numFmtId="166" formatCode="[$-F800]dddd\,\ mmmm\ dd\,\ yyyy"/>
    <numFmt numFmtId="167" formatCode="_-* #,##0_-;\-* #,##0_-;_-* &quot;-&quot;??_-;_-@_-"/>
    <numFmt numFmtId="168" formatCode="_(* #,##0_);_(* \(#,##0\);_(* &quot;-&quot;??_);_(@_)"/>
    <numFmt numFmtId="169" formatCode="_(* #,##0.0_);_(* \(#,##0.0\);_(* &quot;-&quot;??_);_(@_)"/>
    <numFmt numFmtId="170" formatCode="0.0"/>
  </numFmts>
  <fonts count="11"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b/>
      <sz val="11"/>
      <color rgb="FFFF0000"/>
      <name val="Aptos Narrow"/>
      <family val="2"/>
      <scheme val="minor"/>
    </font>
    <font>
      <b/>
      <sz val="12"/>
      <name val="Aptos Narrow"/>
      <family val="2"/>
      <scheme val="minor"/>
    </font>
    <font>
      <sz val="8"/>
      <name val="Aptos Narrow"/>
      <family val="2"/>
      <scheme val="minor"/>
    </font>
    <font>
      <sz val="12"/>
      <color theme="1"/>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1"/>
        <bgColor indexed="64"/>
      </patternFill>
    </fill>
    <fill>
      <patternFill patternType="solid">
        <fgColor rgb="FF92D05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10" fillId="0" borderId="0"/>
  </cellStyleXfs>
  <cellXfs count="180">
    <xf numFmtId="0" fontId="0" fillId="0" borderId="0" xfId="0"/>
    <xf numFmtId="0" fontId="5" fillId="0" borderId="1" xfId="0" applyFont="1" applyBorder="1" applyAlignment="1">
      <alignment horizontal="right"/>
    </xf>
    <xf numFmtId="0" fontId="4" fillId="3" borderId="1" xfId="0" applyFont="1" applyFill="1" applyBorder="1" applyAlignment="1">
      <alignment horizontal="center"/>
    </xf>
    <xf numFmtId="0" fontId="4" fillId="3" borderId="6" xfId="0" applyFont="1" applyFill="1" applyBorder="1" applyAlignment="1">
      <alignment horizontal="center"/>
    </xf>
    <xf numFmtId="0" fontId="4" fillId="3" borderId="4" xfId="0" applyFont="1" applyFill="1" applyBorder="1" applyAlignment="1">
      <alignment horizontal="center"/>
    </xf>
    <xf numFmtId="0" fontId="4" fillId="3" borderId="8" xfId="0" applyFont="1" applyFill="1" applyBorder="1" applyAlignment="1">
      <alignment horizontal="center"/>
    </xf>
    <xf numFmtId="0" fontId="4" fillId="3" borderId="2" xfId="0" applyFont="1" applyFill="1" applyBorder="1" applyAlignment="1">
      <alignment horizontal="center"/>
    </xf>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4" fillId="3" borderId="12" xfId="0" applyFont="1" applyFill="1" applyBorder="1" applyAlignment="1">
      <alignment horizontal="center"/>
    </xf>
    <xf numFmtId="0" fontId="4" fillId="3" borderId="0" xfId="0" applyFont="1" applyFill="1" applyAlignment="1">
      <alignment horizontal="center"/>
    </xf>
    <xf numFmtId="0" fontId="4" fillId="3" borderId="13" xfId="0" applyFont="1" applyFill="1" applyBorder="1" applyAlignment="1">
      <alignment horizontal="center"/>
    </xf>
    <xf numFmtId="0" fontId="4" fillId="3" borderId="14" xfId="0" applyFont="1" applyFill="1" applyBorder="1" applyAlignment="1">
      <alignment horizontal="center"/>
    </xf>
    <xf numFmtId="0" fontId="5" fillId="0" borderId="1" xfId="0" applyFont="1" applyBorder="1" applyAlignment="1">
      <alignment horizontal="center"/>
    </xf>
    <xf numFmtId="14" fontId="6" fillId="0" borderId="1" xfId="0" applyNumberFormat="1" applyFont="1" applyBorder="1"/>
    <xf numFmtId="49" fontId="0" fillId="0" borderId="1" xfId="0" applyNumberFormat="1" applyBorder="1" applyAlignment="1">
      <alignment horizontal="center"/>
    </xf>
    <xf numFmtId="0" fontId="0" fillId="0" borderId="1" xfId="0" applyBorder="1" applyAlignment="1">
      <alignment horizontal="left"/>
    </xf>
    <xf numFmtId="0" fontId="0" fillId="0" borderId="1" xfId="0" applyBorder="1"/>
    <xf numFmtId="0" fontId="6" fillId="0" borderId="1" xfId="0" applyFont="1" applyBorder="1" applyAlignment="1">
      <alignment horizontal="center"/>
    </xf>
    <xf numFmtId="14" fontId="6" fillId="0" borderId="1" xfId="0" applyNumberFormat="1" applyFont="1" applyBorder="1" applyAlignment="1">
      <alignment horizontal="center"/>
    </xf>
    <xf numFmtId="167" fontId="6" fillId="0" borderId="1" xfId="1" applyNumberFormat="1" applyFont="1" applyFill="1" applyBorder="1" applyAlignment="1"/>
    <xf numFmtId="167" fontId="6" fillId="0" borderId="1" xfId="1" applyNumberFormat="1" applyFont="1" applyFill="1" applyBorder="1" applyAlignment="1">
      <alignment horizontal="center"/>
    </xf>
    <xf numFmtId="167" fontId="6" fillId="2" borderId="1" xfId="1" applyNumberFormat="1" applyFont="1" applyFill="1" applyBorder="1" applyAlignment="1">
      <alignment horizontal="center"/>
    </xf>
    <xf numFmtId="167" fontId="6" fillId="5" borderId="14" xfId="1" applyNumberFormat="1" applyFont="1" applyFill="1" applyBorder="1" applyAlignment="1">
      <alignment horizontal="center"/>
    </xf>
    <xf numFmtId="167" fontId="6" fillId="6" borderId="1" xfId="1" applyNumberFormat="1" applyFont="1" applyFill="1" applyBorder="1" applyAlignment="1">
      <alignment horizontal="left"/>
    </xf>
    <xf numFmtId="168" fontId="6" fillId="0" borderId="14" xfId="1" applyNumberFormat="1" applyFont="1" applyFill="1" applyBorder="1" applyAlignment="1"/>
    <xf numFmtId="0" fontId="6" fillId="0" borderId="14" xfId="1" applyNumberFormat="1" applyFont="1" applyFill="1" applyBorder="1" applyAlignment="1"/>
    <xf numFmtId="0" fontId="0" fillId="0" borderId="15" xfId="0" applyBorder="1" applyAlignment="1">
      <alignment horizontal="left"/>
    </xf>
    <xf numFmtId="0" fontId="6" fillId="0" borderId="0" xfId="0" applyFont="1"/>
    <xf numFmtId="0" fontId="6" fillId="2" borderId="1" xfId="0" applyFont="1" applyFill="1" applyBorder="1" applyAlignment="1">
      <alignment horizontal="center"/>
    </xf>
    <xf numFmtId="14" fontId="6" fillId="2" borderId="1" xfId="0" applyNumberFormat="1" applyFont="1" applyFill="1" applyBorder="1" applyAlignment="1">
      <alignment horizontal="center"/>
    </xf>
    <xf numFmtId="14" fontId="6" fillId="2" borderId="1" xfId="0" applyNumberFormat="1" applyFont="1" applyFill="1" applyBorder="1"/>
    <xf numFmtId="0" fontId="4" fillId="3" borderId="2" xfId="0" applyFont="1" applyFill="1" applyBorder="1"/>
    <xf numFmtId="0" fontId="4" fillId="3" borderId="3" xfId="0" applyFont="1" applyFill="1" applyBorder="1"/>
    <xf numFmtId="166" fontId="4" fillId="3" borderId="3" xfId="0" applyNumberFormat="1" applyFont="1" applyFill="1" applyBorder="1" applyAlignment="1">
      <alignment horizontal="left"/>
    </xf>
    <xf numFmtId="167" fontId="4" fillId="3" borderId="3" xfId="1" applyNumberFormat="1" applyFont="1" applyFill="1" applyBorder="1" applyAlignment="1"/>
    <xf numFmtId="0" fontId="4" fillId="3" borderId="3" xfId="1" applyNumberFormat="1" applyFont="1" applyFill="1" applyBorder="1" applyAlignment="1"/>
    <xf numFmtId="0" fontId="6" fillId="3" borderId="3" xfId="0" applyFont="1" applyFill="1" applyBorder="1"/>
    <xf numFmtId="0" fontId="4" fillId="3" borderId="5" xfId="0" applyFont="1" applyFill="1" applyBorder="1"/>
    <xf numFmtId="16" fontId="0" fillId="0" borderId="1" xfId="0" applyNumberFormat="1" applyBorder="1" applyAlignment="1">
      <alignment horizontal="left"/>
    </xf>
    <xf numFmtId="0" fontId="6" fillId="6" borderId="1" xfId="0" applyFont="1" applyFill="1" applyBorder="1" applyAlignment="1">
      <alignment horizontal="center"/>
    </xf>
    <xf numFmtId="0" fontId="6" fillId="0" borderId="15" xfId="0" applyFont="1" applyBorder="1" applyAlignment="1">
      <alignment horizontal="left"/>
    </xf>
    <xf numFmtId="0" fontId="4" fillId="0" borderId="0" xfId="0" applyFont="1"/>
    <xf numFmtId="0" fontId="3" fillId="0" borderId="0" xfId="0" applyFont="1"/>
    <xf numFmtId="16" fontId="6" fillId="0" borderId="0" xfId="0" applyNumberFormat="1" applyFont="1"/>
    <xf numFmtId="14" fontId="6" fillId="0" borderId="0" xfId="0" applyNumberFormat="1" applyFont="1"/>
    <xf numFmtId="0" fontId="4" fillId="0" borderId="0" xfId="0" applyFont="1" applyAlignment="1">
      <alignment horizontal="left"/>
    </xf>
    <xf numFmtId="165" fontId="0" fillId="0" borderId="14" xfId="1" applyFont="1" applyBorder="1" applyAlignment="1"/>
    <xf numFmtId="169" fontId="0" fillId="0" borderId="1" xfId="1" applyNumberFormat="1" applyFont="1" applyBorder="1" applyAlignment="1"/>
    <xf numFmtId="168" fontId="0" fillId="0" borderId="1" xfId="1" applyNumberFormat="1" applyFont="1" applyBorder="1" applyAlignment="1"/>
    <xf numFmtId="168" fontId="0" fillId="0" borderId="1" xfId="1" applyNumberFormat="1" applyFont="1" applyBorder="1" applyAlignment="1">
      <alignment horizontal="right"/>
    </xf>
    <xf numFmtId="168" fontId="0" fillId="0" borderId="16" xfId="1" applyNumberFormat="1" applyFont="1" applyBorder="1" applyAlignment="1"/>
    <xf numFmtId="168" fontId="0" fillId="0" borderId="19" xfId="1" applyNumberFormat="1" applyFont="1" applyBorder="1" applyAlignment="1"/>
    <xf numFmtId="168" fontId="0" fillId="0" borderId="0" xfId="1" applyNumberFormat="1" applyFont="1" applyAlignment="1"/>
    <xf numFmtId="165" fontId="0" fillId="0" borderId="0" xfId="1" applyFont="1" applyAlignment="1"/>
    <xf numFmtId="168" fontId="0" fillId="2" borderId="1" xfId="1" applyNumberFormat="1" applyFont="1" applyFill="1" applyBorder="1" applyAlignment="1"/>
    <xf numFmtId="14" fontId="0" fillId="0" borderId="1" xfId="0" applyNumberFormat="1" applyBorder="1" applyAlignment="1">
      <alignment horizontal="right"/>
    </xf>
    <xf numFmtId="169" fontId="0" fillId="0" borderId="1" xfId="1" applyNumberFormat="1" applyFont="1" applyBorder="1" applyAlignment="1">
      <alignment horizontal="left"/>
    </xf>
    <xf numFmtId="169" fontId="6" fillId="5" borderId="16" xfId="1" applyNumberFormat="1" applyFont="1" applyFill="1" applyBorder="1" applyAlignment="1">
      <alignment horizontal="left"/>
    </xf>
    <xf numFmtId="168" fontId="0" fillId="0" borderId="14" xfId="1" applyNumberFormat="1" applyFont="1" applyBorder="1" applyAlignment="1"/>
    <xf numFmtId="169" fontId="6" fillId="5" borderId="6" xfId="1" applyNumberFormat="1" applyFont="1" applyFill="1" applyBorder="1" applyAlignment="1">
      <alignment horizontal="left"/>
    </xf>
    <xf numFmtId="168" fontId="0" fillId="0" borderId="22" xfId="1" applyNumberFormat="1" applyFont="1" applyBorder="1" applyAlignment="1"/>
    <xf numFmtId="168" fontId="0" fillId="2" borderId="2" xfId="1" applyNumberFormat="1" applyFont="1" applyFill="1" applyBorder="1" applyAlignment="1"/>
    <xf numFmtId="14" fontId="0" fillId="0" borderId="2" xfId="0" applyNumberFormat="1" applyBorder="1" applyAlignment="1">
      <alignment horizontal="right"/>
    </xf>
    <xf numFmtId="169" fontId="0" fillId="0" borderId="2" xfId="1" applyNumberFormat="1" applyFont="1" applyBorder="1" applyAlignment="1">
      <alignment horizontal="left"/>
    </xf>
    <xf numFmtId="169" fontId="6" fillId="5" borderId="23" xfId="1" applyNumberFormat="1" applyFont="1" applyFill="1" applyBorder="1" applyAlignment="1">
      <alignment horizontal="left"/>
    </xf>
    <xf numFmtId="167" fontId="4" fillId="0" borderId="0" xfId="0" applyNumberFormat="1" applyFont="1" applyAlignment="1">
      <alignment horizontal="left"/>
    </xf>
    <xf numFmtId="0" fontId="0" fillId="0" borderId="0" xfId="0" applyAlignment="1">
      <alignment horizontal="left"/>
    </xf>
    <xf numFmtId="0" fontId="4" fillId="0" borderId="1" xfId="0" applyFont="1" applyBorder="1" applyAlignment="1">
      <alignment horizontal="right"/>
    </xf>
    <xf numFmtId="0" fontId="8" fillId="8" borderId="1" xfId="0" applyFont="1" applyFill="1" applyBorder="1" applyAlignment="1">
      <alignment horizontal="center"/>
    </xf>
    <xf numFmtId="0" fontId="8" fillId="8" borderId="6" xfId="0" applyFont="1" applyFill="1" applyBorder="1" applyAlignment="1">
      <alignment horizontal="center"/>
    </xf>
    <xf numFmtId="0" fontId="8" fillId="8" borderId="6" xfId="2" applyNumberFormat="1" applyFont="1" applyFill="1" applyBorder="1" applyAlignment="1">
      <alignment horizontal="center"/>
    </xf>
    <xf numFmtId="0" fontId="8" fillId="8" borderId="9" xfId="0" applyFont="1" applyFill="1" applyBorder="1" applyAlignment="1">
      <alignment horizontal="center"/>
    </xf>
    <xf numFmtId="0" fontId="8" fillId="8" borderId="9" xfId="2" applyNumberFormat="1" applyFont="1" applyFill="1" applyBorder="1" applyAlignment="1">
      <alignment horizontal="center"/>
    </xf>
    <xf numFmtId="0" fontId="8" fillId="8" borderId="14" xfId="0" applyFont="1" applyFill="1" applyBorder="1" applyAlignment="1">
      <alignment horizontal="center"/>
    </xf>
    <xf numFmtId="0" fontId="5" fillId="8" borderId="1" xfId="2" applyNumberFormat="1" applyFont="1" applyFill="1" applyBorder="1" applyAlignment="1">
      <alignment horizontal="center"/>
    </xf>
    <xf numFmtId="0" fontId="8" fillId="8" borderId="14" xfId="2" applyNumberFormat="1" applyFont="1" applyFill="1" applyBorder="1" applyAlignment="1">
      <alignment horizontal="center"/>
    </xf>
    <xf numFmtId="167" fontId="6" fillId="5" borderId="1" xfId="1" applyNumberFormat="1" applyFont="1" applyFill="1" applyBorder="1" applyAlignment="1">
      <alignment horizontal="center"/>
    </xf>
    <xf numFmtId="168" fontId="6" fillId="0" borderId="1" xfId="1" applyNumberFormat="1" applyFont="1" applyFill="1" applyBorder="1" applyAlignment="1"/>
    <xf numFmtId="0" fontId="6" fillId="0" borderId="1" xfId="1" applyNumberFormat="1" applyFont="1" applyFill="1" applyBorder="1" applyAlignment="1"/>
    <xf numFmtId="49" fontId="6" fillId="0" borderId="0" xfId="0" applyNumberFormat="1" applyFont="1"/>
    <xf numFmtId="164" fontId="6" fillId="0" borderId="0" xfId="2" applyFont="1"/>
    <xf numFmtId="164" fontId="6" fillId="0" borderId="0" xfId="2" applyFont="1" applyFill="1"/>
    <xf numFmtId="49" fontId="6" fillId="0" borderId="1" xfId="0" applyNumberFormat="1" applyFont="1" applyBorder="1" applyAlignment="1">
      <alignment horizontal="center"/>
    </xf>
    <xf numFmtId="168" fontId="0" fillId="0" borderId="1" xfId="1" applyNumberFormat="1" applyFont="1" applyBorder="1"/>
    <xf numFmtId="16" fontId="6" fillId="0" borderId="1" xfId="0" applyNumberFormat="1" applyFont="1" applyBorder="1" applyAlignment="1">
      <alignment horizontal="left"/>
    </xf>
    <xf numFmtId="0" fontId="6" fillId="0" borderId="1" xfId="0" applyFont="1" applyBorder="1" applyAlignment="1">
      <alignment horizontal="left"/>
    </xf>
    <xf numFmtId="0" fontId="6" fillId="0" borderId="1" xfId="0" applyFont="1" applyBorder="1"/>
    <xf numFmtId="167" fontId="3" fillId="2" borderId="1" xfId="1" applyNumberFormat="1" applyFont="1" applyFill="1" applyBorder="1" applyAlignment="1">
      <alignment horizontal="center"/>
    </xf>
    <xf numFmtId="170" fontId="6" fillId="0" borderId="0" xfId="0" applyNumberFormat="1" applyFont="1"/>
    <xf numFmtId="43" fontId="6" fillId="0" borderId="14" xfId="1" applyNumberFormat="1" applyFont="1" applyFill="1" applyBorder="1" applyAlignment="1"/>
    <xf numFmtId="43" fontId="4" fillId="3" borderId="3" xfId="1" applyNumberFormat="1" applyFont="1" applyFill="1" applyBorder="1" applyAlignment="1"/>
    <xf numFmtId="43" fontId="5" fillId="3" borderId="3" xfId="1" applyNumberFormat="1" applyFont="1" applyFill="1" applyBorder="1" applyAlignment="1"/>
    <xf numFmtId="0" fontId="5" fillId="0" borderId="6" xfId="0" applyFont="1" applyBorder="1" applyAlignment="1">
      <alignment horizontal="right"/>
    </xf>
    <xf numFmtId="0" fontId="4" fillId="9" borderId="6" xfId="0" applyFont="1" applyFill="1" applyBorder="1" applyAlignment="1">
      <alignment horizontal="center"/>
    </xf>
    <xf numFmtId="0" fontId="4" fillId="9" borderId="9" xfId="0" applyFont="1" applyFill="1" applyBorder="1" applyAlignment="1">
      <alignment horizontal="center"/>
    </xf>
    <xf numFmtId="0" fontId="4" fillId="9" borderId="14" xfId="0" applyFont="1" applyFill="1" applyBorder="1" applyAlignment="1">
      <alignment horizontal="center"/>
    </xf>
    <xf numFmtId="164" fontId="0" fillId="0" borderId="0" xfId="0" applyNumberFormat="1"/>
    <xf numFmtId="0" fontId="0" fillId="9" borderId="6" xfId="0" applyFill="1" applyBorder="1"/>
    <xf numFmtId="0" fontId="4" fillId="0" borderId="1" xfId="3" applyFont="1" applyBorder="1" applyAlignment="1">
      <alignment horizontal="right"/>
    </xf>
    <xf numFmtId="0" fontId="5" fillId="3" borderId="1" xfId="3" applyFont="1" applyFill="1" applyBorder="1" applyAlignment="1">
      <alignment horizontal="center"/>
    </xf>
    <xf numFmtId="14" fontId="6" fillId="0" borderId="1" xfId="3" applyNumberFormat="1" applyFont="1" applyBorder="1"/>
    <xf numFmtId="0" fontId="6" fillId="0" borderId="1" xfId="3" applyFont="1" applyBorder="1" applyAlignment="1">
      <alignment horizontal="center"/>
    </xf>
    <xf numFmtId="0" fontId="6" fillId="0" borderId="1" xfId="3" applyFont="1" applyBorder="1"/>
    <xf numFmtId="0" fontId="0" fillId="10" borderId="1" xfId="0" applyFill="1" applyBorder="1"/>
    <xf numFmtId="168" fontId="6" fillId="10" borderId="1" xfId="1" applyNumberFormat="1" applyFont="1" applyFill="1" applyBorder="1"/>
    <xf numFmtId="164" fontId="0" fillId="10" borderId="1" xfId="0" applyNumberFormat="1" applyFill="1" applyBorder="1"/>
    <xf numFmtId="164" fontId="6" fillId="10" borderId="1" xfId="0" applyNumberFormat="1" applyFont="1" applyFill="1" applyBorder="1"/>
    <xf numFmtId="164" fontId="0" fillId="10" borderId="2" xfId="0" applyNumberFormat="1" applyFill="1" applyBorder="1"/>
    <xf numFmtId="168" fontId="6" fillId="0" borderId="1" xfId="1" applyNumberFormat="1" applyFont="1" applyFill="1" applyBorder="1"/>
    <xf numFmtId="0" fontId="4" fillId="3" borderId="7" xfId="0" applyFont="1" applyFill="1" applyBorder="1" applyAlignment="1">
      <alignment horizontal="center"/>
    </xf>
    <xf numFmtId="0" fontId="4" fillId="3" borderId="15" xfId="0" applyFont="1" applyFill="1" applyBorder="1" applyAlignment="1">
      <alignment horizontal="center"/>
    </xf>
    <xf numFmtId="167" fontId="7" fillId="0" borderId="1" xfId="1" applyNumberFormat="1" applyFont="1" applyFill="1" applyBorder="1" applyAlignment="1">
      <alignment horizontal="center"/>
    </xf>
    <xf numFmtId="164" fontId="0" fillId="0" borderId="1" xfId="0" applyNumberFormat="1" applyBorder="1"/>
    <xf numFmtId="164" fontId="6" fillId="0" borderId="1" xfId="0" applyNumberFormat="1" applyFont="1" applyBorder="1"/>
    <xf numFmtId="164" fontId="0" fillId="0" borderId="2" xfId="0" applyNumberFormat="1" applyBorder="1"/>
    <xf numFmtId="49" fontId="0" fillId="11" borderId="1" xfId="0" applyNumberFormat="1" applyFill="1" applyBorder="1" applyAlignment="1">
      <alignment horizontal="center"/>
    </xf>
    <xf numFmtId="0" fontId="0" fillId="11" borderId="1" xfId="0" applyFill="1" applyBorder="1" applyAlignment="1">
      <alignment horizontal="left"/>
    </xf>
    <xf numFmtId="16" fontId="0" fillId="11" borderId="1" xfId="0" applyNumberFormat="1" applyFill="1" applyBorder="1" applyAlignment="1">
      <alignment horizontal="left"/>
    </xf>
    <xf numFmtId="167" fontId="7" fillId="2" borderId="1" xfId="1" applyNumberFormat="1" applyFont="1" applyFill="1" applyBorder="1" applyAlignment="1">
      <alignment horizontal="center"/>
    </xf>
    <xf numFmtId="0" fontId="5" fillId="12" borderId="1" xfId="0" applyFont="1" applyFill="1" applyBorder="1" applyAlignment="1">
      <alignment horizontal="center"/>
    </xf>
    <xf numFmtId="166" fontId="4" fillId="2" borderId="2" xfId="0" applyNumberFormat="1" applyFont="1" applyFill="1" applyBorder="1" applyAlignment="1">
      <alignment horizontal="left"/>
    </xf>
    <xf numFmtId="166" fontId="4" fillId="2" borderId="3" xfId="0" applyNumberFormat="1" applyFont="1" applyFill="1" applyBorder="1" applyAlignment="1">
      <alignment horizontal="left"/>
    </xf>
    <xf numFmtId="166" fontId="4" fillId="2" borderId="4" xfId="0" applyNumberFormat="1" applyFont="1" applyFill="1" applyBorder="1" applyAlignment="1">
      <alignment horizontal="left"/>
    </xf>
    <xf numFmtId="166" fontId="4" fillId="2" borderId="5" xfId="0" applyNumberFormat="1" applyFont="1" applyFill="1" applyBorder="1" applyAlignment="1">
      <alignment horizontal="left"/>
    </xf>
    <xf numFmtId="0" fontId="4" fillId="3" borderId="1"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4" fillId="3" borderId="4" xfId="0" applyFont="1" applyFill="1" applyBorder="1" applyAlignment="1">
      <alignment horizontal="center"/>
    </xf>
    <xf numFmtId="0" fontId="4" fillId="3" borderId="8" xfId="0" applyFont="1" applyFill="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5"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4" fillId="3" borderId="13"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11" xfId="0" applyFont="1" applyFill="1" applyBorder="1" applyAlignment="1">
      <alignment horizontal="center"/>
    </xf>
    <xf numFmtId="0" fontId="2" fillId="4" borderId="5" xfId="0" applyFont="1" applyFill="1" applyBorder="1" applyAlignment="1">
      <alignment horizontal="center"/>
    </xf>
    <xf numFmtId="0" fontId="4" fillId="7" borderId="7" xfId="0" applyFont="1" applyFill="1" applyBorder="1" applyAlignment="1">
      <alignment horizontal="left" vertical="top" wrapText="1"/>
    </xf>
    <xf numFmtId="0" fontId="4" fillId="7" borderId="4" xfId="0" applyFont="1" applyFill="1" applyBorder="1" applyAlignment="1">
      <alignment horizontal="left" vertical="top" wrapText="1"/>
    </xf>
    <xf numFmtId="0" fontId="4" fillId="7" borderId="8" xfId="0" applyFont="1" applyFill="1" applyBorder="1" applyAlignment="1">
      <alignment horizontal="left" vertical="top" wrapText="1"/>
    </xf>
    <xf numFmtId="0" fontId="4" fillId="7" borderId="15" xfId="0" applyFont="1" applyFill="1" applyBorder="1" applyAlignment="1">
      <alignment horizontal="left" vertical="top" wrapText="1"/>
    </xf>
    <xf numFmtId="0" fontId="4" fillId="7" borderId="0" xfId="0" applyFont="1" applyFill="1" applyAlignment="1">
      <alignment horizontal="left" vertical="top" wrapText="1"/>
    </xf>
    <xf numFmtId="0" fontId="4" fillId="7" borderId="12" xfId="0" applyFont="1" applyFill="1" applyBorder="1" applyAlignment="1">
      <alignment horizontal="left" vertical="top" wrapText="1"/>
    </xf>
    <xf numFmtId="0" fontId="4" fillId="7" borderId="10" xfId="0" applyFont="1" applyFill="1" applyBorder="1" applyAlignment="1">
      <alignment horizontal="left" vertical="top" wrapText="1"/>
    </xf>
    <xf numFmtId="0" fontId="4" fillId="7" borderId="11" xfId="0" applyFont="1" applyFill="1" applyBorder="1" applyAlignment="1">
      <alignment horizontal="left" vertical="top" wrapText="1"/>
    </xf>
    <xf numFmtId="0" fontId="4" fillId="7" borderId="13" xfId="0" applyFont="1" applyFill="1" applyBorder="1" applyAlignment="1">
      <alignment horizontal="left" vertical="top" wrapText="1"/>
    </xf>
    <xf numFmtId="0" fontId="4" fillId="0" borderId="1" xfId="0" applyFont="1" applyBorder="1" applyAlignment="1">
      <alignment horizontal="left"/>
    </xf>
    <xf numFmtId="0" fontId="4" fillId="0" borderId="2" xfId="0" applyFont="1" applyBorder="1" applyAlignment="1">
      <alignment horizontal="left"/>
    </xf>
    <xf numFmtId="0" fontId="4" fillId="0" borderId="3" xfId="0" applyFont="1" applyBorder="1" applyAlignment="1">
      <alignment horizontal="left"/>
    </xf>
    <xf numFmtId="0" fontId="4" fillId="0" borderId="5" xfId="0" applyFont="1" applyBorder="1" applyAlignment="1">
      <alignment horizontal="left"/>
    </xf>
    <xf numFmtId="0" fontId="4" fillId="0" borderId="16" xfId="0" applyFont="1" applyBorder="1" applyAlignment="1">
      <alignment horizontal="left"/>
    </xf>
    <xf numFmtId="0" fontId="4" fillId="3" borderId="17"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0" xfId="0" applyFont="1" applyFill="1" applyAlignment="1">
      <alignment horizontal="center" vertical="center"/>
    </xf>
    <xf numFmtId="0" fontId="4" fillId="3" borderId="20" xfId="0" applyFont="1" applyFill="1" applyBorder="1" applyAlignment="1">
      <alignment horizontal="center" vertical="center"/>
    </xf>
    <xf numFmtId="0" fontId="4" fillId="3" borderId="21" xfId="0" applyFont="1" applyFill="1" applyBorder="1" applyAlignment="1">
      <alignment horizontal="center" vertical="center"/>
    </xf>
    <xf numFmtId="0" fontId="4" fillId="0" borderId="19" xfId="0" applyFont="1" applyBorder="1" applyAlignment="1">
      <alignment horizontal="left"/>
    </xf>
    <xf numFmtId="0" fontId="8" fillId="8" borderId="10" xfId="0" applyFont="1" applyFill="1" applyBorder="1" applyAlignment="1">
      <alignment horizontal="center"/>
    </xf>
    <xf numFmtId="0" fontId="8" fillId="8" borderId="13" xfId="0" applyFont="1" applyFill="1" applyBorder="1" applyAlignment="1">
      <alignment horizontal="center"/>
    </xf>
    <xf numFmtId="166" fontId="4" fillId="2" borderId="1" xfId="0" applyNumberFormat="1" applyFont="1" applyFill="1" applyBorder="1" applyAlignment="1">
      <alignment horizontal="left"/>
    </xf>
    <xf numFmtId="0" fontId="8" fillId="8" borderId="1" xfId="0" applyFont="1" applyFill="1" applyBorder="1" applyAlignment="1">
      <alignment horizontal="center"/>
    </xf>
    <xf numFmtId="0" fontId="4" fillId="3" borderId="0" xfId="0" applyFont="1" applyFill="1" applyAlignment="1">
      <alignment horizontal="center"/>
    </xf>
    <xf numFmtId="0" fontId="4" fillId="3" borderId="12" xfId="0" applyFont="1" applyFill="1" applyBorder="1" applyAlignment="1">
      <alignment horizontal="center"/>
    </xf>
    <xf numFmtId="0" fontId="8" fillId="8" borderId="7" xfId="0" applyFont="1" applyFill="1" applyBorder="1" applyAlignment="1">
      <alignment horizontal="center"/>
    </xf>
    <xf numFmtId="0" fontId="8" fillId="8" borderId="8" xfId="0" applyFont="1" applyFill="1" applyBorder="1" applyAlignment="1">
      <alignment horizontal="center"/>
    </xf>
    <xf numFmtId="166" fontId="4" fillId="2" borderId="2" xfId="3" applyNumberFormat="1" applyFont="1" applyFill="1" applyBorder="1" applyAlignment="1">
      <alignment horizontal="left"/>
    </xf>
    <xf numFmtId="166" fontId="4" fillId="2" borderId="5" xfId="3" applyNumberFormat="1" applyFont="1" applyFill="1" applyBorder="1" applyAlignment="1">
      <alignment horizontal="left"/>
    </xf>
    <xf numFmtId="0" fontId="5" fillId="3" borderId="2" xfId="3" applyFont="1" applyFill="1" applyBorder="1" applyAlignment="1">
      <alignment horizontal="center"/>
    </xf>
    <xf numFmtId="0" fontId="5" fillId="3" borderId="3" xfId="3" applyFont="1" applyFill="1" applyBorder="1" applyAlignment="1">
      <alignment horizontal="center"/>
    </xf>
    <xf numFmtId="0" fontId="5" fillId="3" borderId="5" xfId="3" applyFont="1" applyFill="1" applyBorder="1" applyAlignment="1">
      <alignment horizontal="center"/>
    </xf>
    <xf numFmtId="166" fontId="4" fillId="2" borderId="8" xfId="0" applyNumberFormat="1" applyFont="1" applyFill="1" applyBorder="1" applyAlignment="1">
      <alignment horizontal="left"/>
    </xf>
    <xf numFmtId="0" fontId="4" fillId="9" borderId="2" xfId="0" applyFont="1" applyFill="1" applyBorder="1" applyAlignment="1">
      <alignment horizontal="center"/>
    </xf>
    <xf numFmtId="0" fontId="4" fillId="9" borderId="3" xfId="0" applyFont="1" applyFill="1" applyBorder="1" applyAlignment="1">
      <alignment horizontal="center"/>
    </xf>
    <xf numFmtId="0" fontId="4" fillId="9" borderId="5" xfId="0" applyFont="1" applyFill="1" applyBorder="1" applyAlignment="1">
      <alignment horizontal="center"/>
    </xf>
    <xf numFmtId="0" fontId="4" fillId="9" borderId="1" xfId="0" applyFont="1" applyFill="1" applyBorder="1" applyAlignment="1">
      <alignment horizontal="center"/>
    </xf>
  </cellXfs>
  <cellStyles count="4">
    <cellStyle name="Millares" xfId="1" builtinId="3"/>
    <cellStyle name="Moneda" xfId="2" builtinId="4"/>
    <cellStyle name="Normal" xfId="0" builtinId="0"/>
    <cellStyle name="Normal 2" xfId="3" xr:uid="{04EEF08B-77F4-412C-9724-F736A07496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EAF44-1FAD-44C3-941D-15BE9167918C}">
  <sheetPr>
    <pageSetUpPr fitToPage="1"/>
  </sheetPr>
  <dimension ref="A1:AB200"/>
  <sheetViews>
    <sheetView tabSelected="1" zoomScale="90" zoomScaleNormal="90" workbookViewId="0">
      <pane xSplit="6" ySplit="4" topLeftCell="J8" activePane="bottomRight" state="frozen"/>
      <selection activeCell="N10" sqref="N10"/>
      <selection pane="topRight" activeCell="N10" sqref="N10"/>
      <selection pane="bottomLeft" activeCell="N10" sqref="N10"/>
      <selection pane="bottomRight" activeCell="D3" sqref="D3"/>
    </sheetView>
  </sheetViews>
  <sheetFormatPr baseColWidth="10" defaultColWidth="9.140625" defaultRowHeight="15" customHeight="1" x14ac:dyDescent="0.25"/>
  <cols>
    <col min="1" max="1" width="7.5703125" bestFit="1" customWidth="1"/>
    <col min="2" max="3" width="11.28515625" bestFit="1" customWidth="1"/>
    <col min="4" max="4" width="8.5703125" bestFit="1" customWidth="1"/>
    <col min="5" max="5" width="22.140625" bestFit="1" customWidth="1"/>
    <col min="6" max="6" width="43.7109375" bestFit="1" customWidth="1"/>
    <col min="7" max="7" width="20.140625" customWidth="1"/>
    <col min="8" max="8" width="13.42578125" customWidth="1"/>
    <col min="9" max="9" width="16.7109375" customWidth="1"/>
    <col min="10" max="11" width="11.28515625" customWidth="1"/>
    <col min="12" max="15" width="11.140625" customWidth="1"/>
    <col min="16" max="16" width="12.140625" customWidth="1"/>
    <col min="17" max="17" width="9.42578125" hidden="1" customWidth="1"/>
    <col min="18" max="18" width="9.5703125" hidden="1" customWidth="1"/>
    <col min="19" max="19" width="11" hidden="1" customWidth="1"/>
    <col min="20" max="20" width="9.42578125" hidden="1" customWidth="1"/>
    <col min="21" max="21" width="14.28515625" hidden="1" customWidth="1"/>
    <col min="22" max="22" width="11.7109375" customWidth="1"/>
    <col min="23" max="23" width="14.5703125" customWidth="1"/>
    <col min="24" max="24" width="45" customWidth="1"/>
    <col min="25" max="25" width="10.42578125" bestFit="1" customWidth="1"/>
    <col min="26" max="26" width="12.5703125" bestFit="1" customWidth="1"/>
    <col min="27" max="27" width="6.5703125" bestFit="1" customWidth="1"/>
    <col min="28" max="28" width="10.28515625" customWidth="1"/>
  </cols>
  <sheetData>
    <row r="1" spans="1:28" ht="15" customHeight="1" x14ac:dyDescent="0.25">
      <c r="A1" s="1" t="s">
        <v>0</v>
      </c>
      <c r="B1" s="122">
        <v>46078</v>
      </c>
      <c r="C1" s="123"/>
      <c r="D1" s="124"/>
      <c r="E1" s="125"/>
      <c r="F1" s="126" t="s">
        <v>452</v>
      </c>
      <c r="G1" s="126"/>
      <c r="H1" s="126"/>
      <c r="I1" s="127"/>
      <c r="J1" s="126"/>
      <c r="K1" s="126"/>
      <c r="L1" s="126"/>
      <c r="M1" s="126"/>
      <c r="N1" s="126"/>
      <c r="O1" s="126"/>
      <c r="P1" s="126"/>
      <c r="Q1" s="127"/>
      <c r="R1" s="126"/>
      <c r="S1" s="126"/>
      <c r="T1" s="126"/>
      <c r="U1" s="126"/>
      <c r="V1" s="126"/>
      <c r="W1" s="126"/>
      <c r="X1" s="126"/>
      <c r="Y1" s="126"/>
      <c r="Z1" s="126"/>
      <c r="AA1" s="126"/>
    </row>
    <row r="2" spans="1:28" ht="15" customHeight="1" x14ac:dyDescent="0.25">
      <c r="A2" s="3"/>
      <c r="B2" s="128" t="s">
        <v>1</v>
      </c>
      <c r="C2" s="129"/>
      <c r="D2" s="3"/>
      <c r="E2" s="5"/>
      <c r="F2" s="3"/>
      <c r="G2" s="3"/>
      <c r="H2" s="4" t="s">
        <v>2</v>
      </c>
      <c r="I2" s="3"/>
      <c r="J2" s="129" t="s">
        <v>1</v>
      </c>
      <c r="K2" s="130"/>
      <c r="L2" s="5" t="s">
        <v>3</v>
      </c>
      <c r="M2" s="5"/>
      <c r="N2" s="3" t="s">
        <v>3</v>
      </c>
      <c r="O2" s="3" t="s">
        <v>3</v>
      </c>
      <c r="P2" s="111" t="s">
        <v>3</v>
      </c>
      <c r="Q2" s="3" t="s">
        <v>3</v>
      </c>
      <c r="R2" s="5" t="s">
        <v>4</v>
      </c>
      <c r="S2" s="128" t="s">
        <v>1149</v>
      </c>
      <c r="T2" s="130"/>
      <c r="U2" s="5" t="s">
        <v>5</v>
      </c>
      <c r="V2" s="3"/>
      <c r="W2" s="3" t="s">
        <v>1</v>
      </c>
      <c r="X2" s="3"/>
      <c r="Y2" s="5" t="s">
        <v>6</v>
      </c>
      <c r="Z2" s="3" t="s">
        <v>7</v>
      </c>
      <c r="AA2" s="3"/>
    </row>
    <row r="3" spans="1:28" ht="15" customHeight="1" x14ac:dyDescent="0.25">
      <c r="A3" s="7"/>
      <c r="B3" s="134" t="s">
        <v>8</v>
      </c>
      <c r="C3" s="135"/>
      <c r="D3" s="7" t="s">
        <v>9</v>
      </c>
      <c r="E3" s="10" t="s">
        <v>10</v>
      </c>
      <c r="F3" s="7" t="s">
        <v>11</v>
      </c>
      <c r="G3" s="7" t="s">
        <v>11</v>
      </c>
      <c r="H3" s="11" t="s">
        <v>12</v>
      </c>
      <c r="I3" s="7"/>
      <c r="J3" s="135" t="s">
        <v>13</v>
      </c>
      <c r="K3" s="136"/>
      <c r="L3" s="10" t="s">
        <v>14</v>
      </c>
      <c r="M3" s="10" t="s">
        <v>3</v>
      </c>
      <c r="N3" s="7" t="s">
        <v>15</v>
      </c>
      <c r="O3" s="7" t="s">
        <v>16</v>
      </c>
      <c r="P3" s="112" t="s">
        <v>1147</v>
      </c>
      <c r="Q3" s="7" t="s">
        <v>1148</v>
      </c>
      <c r="R3" s="11" t="s">
        <v>18</v>
      </c>
      <c r="S3" s="111" t="s">
        <v>1147</v>
      </c>
      <c r="T3" s="3" t="s">
        <v>1148</v>
      </c>
      <c r="U3" s="10" t="s">
        <v>19</v>
      </c>
      <c r="V3" s="7" t="s">
        <v>20</v>
      </c>
      <c r="W3" s="7" t="s">
        <v>21</v>
      </c>
      <c r="X3" s="7"/>
      <c r="Y3" s="10" t="s">
        <v>22</v>
      </c>
      <c r="Z3" s="7" t="s">
        <v>23</v>
      </c>
      <c r="AA3" s="7" t="s">
        <v>24</v>
      </c>
    </row>
    <row r="4" spans="1:28" ht="15" customHeight="1" x14ac:dyDescent="0.25">
      <c r="A4" s="13" t="s">
        <v>25</v>
      </c>
      <c r="B4" s="2" t="s">
        <v>5</v>
      </c>
      <c r="C4" s="6" t="s">
        <v>26</v>
      </c>
      <c r="D4" s="13" t="s">
        <v>2</v>
      </c>
      <c r="E4" s="12" t="s">
        <v>27</v>
      </c>
      <c r="F4" s="13" t="s">
        <v>28</v>
      </c>
      <c r="G4" s="13" t="s">
        <v>29</v>
      </c>
      <c r="H4" s="9" t="s">
        <v>30</v>
      </c>
      <c r="I4" s="13" t="s">
        <v>10</v>
      </c>
      <c r="J4" s="12" t="s">
        <v>31</v>
      </c>
      <c r="K4" s="8" t="s">
        <v>32</v>
      </c>
      <c r="L4" s="13" t="s">
        <v>33</v>
      </c>
      <c r="M4" s="12" t="s">
        <v>34</v>
      </c>
      <c r="N4" s="13" t="s">
        <v>35</v>
      </c>
      <c r="O4" s="13" t="s">
        <v>17</v>
      </c>
      <c r="P4" s="8" t="s">
        <v>1146</v>
      </c>
      <c r="Q4" s="13" t="s">
        <v>1146</v>
      </c>
      <c r="R4" s="9" t="s">
        <v>36</v>
      </c>
      <c r="S4" s="8" t="s">
        <v>1146</v>
      </c>
      <c r="T4" s="13" t="s">
        <v>1146</v>
      </c>
      <c r="U4" s="12" t="s">
        <v>37</v>
      </c>
      <c r="V4" s="13" t="s">
        <v>38</v>
      </c>
      <c r="W4" s="13" t="s">
        <v>39</v>
      </c>
      <c r="X4" s="13" t="s">
        <v>40</v>
      </c>
      <c r="Y4" s="12" t="s">
        <v>41</v>
      </c>
      <c r="Z4" s="13" t="s">
        <v>42</v>
      </c>
      <c r="AA4" s="13" t="s">
        <v>43</v>
      </c>
    </row>
    <row r="5" spans="1:28" ht="15" customHeight="1" x14ac:dyDescent="0.25">
      <c r="A5" s="137" t="s">
        <v>44</v>
      </c>
      <c r="B5" s="138"/>
      <c r="C5" s="138"/>
      <c r="D5" s="138"/>
      <c r="E5" s="138"/>
      <c r="F5" s="138"/>
      <c r="G5" s="138" t="s">
        <v>44</v>
      </c>
      <c r="H5" s="138"/>
      <c r="I5" s="138"/>
      <c r="J5" s="138"/>
      <c r="K5" s="138"/>
      <c r="L5" s="138"/>
      <c r="M5" s="138"/>
      <c r="N5" s="138"/>
      <c r="O5" s="138"/>
      <c r="P5" s="138"/>
      <c r="Q5" s="139"/>
      <c r="R5" s="138"/>
      <c r="S5" s="139"/>
      <c r="T5" s="139"/>
      <c r="U5" s="138"/>
      <c r="V5" s="138"/>
      <c r="W5" s="138"/>
      <c r="X5" s="138"/>
      <c r="Y5" s="138"/>
      <c r="Z5" s="138"/>
      <c r="AA5" s="140"/>
    </row>
    <row r="6" spans="1:28" s="29" customFormat="1" ht="15" customHeight="1" x14ac:dyDescent="0.25">
      <c r="A6" s="14">
        <v>1</v>
      </c>
      <c r="B6" s="15"/>
      <c r="C6" s="15"/>
      <c r="D6" s="121">
        <v>14414</v>
      </c>
      <c r="E6" s="117" t="s">
        <v>944</v>
      </c>
      <c r="F6" s="118" t="s">
        <v>710</v>
      </c>
      <c r="G6" s="17" t="s">
        <v>47</v>
      </c>
      <c r="H6" s="18" t="s">
        <v>542</v>
      </c>
      <c r="I6" s="19" t="s">
        <v>49</v>
      </c>
      <c r="J6" s="20">
        <v>46044</v>
      </c>
      <c r="K6" s="20">
        <v>46064</v>
      </c>
      <c r="L6" s="21">
        <v>100000</v>
      </c>
      <c r="M6" s="22">
        <f t="shared" ref="M6:M21" si="0">SUM(N6:O6)</f>
        <v>56000</v>
      </c>
      <c r="N6" s="23">
        <v>56000</v>
      </c>
      <c r="O6" s="23"/>
      <c r="P6" s="24">
        <f t="shared" ref="P6:P21" si="1">L6-N6</f>
        <v>44000</v>
      </c>
      <c r="Q6" s="25">
        <v>0</v>
      </c>
      <c r="R6" s="26">
        <v>72000</v>
      </c>
      <c r="S6" s="91">
        <f t="shared" ref="S6:S21" si="2">IF(P6&gt;0,P6/$R6,0)</f>
        <v>0.61111111111111116</v>
      </c>
      <c r="T6" s="91">
        <f t="shared" ref="T6:T21" si="3">IF(Q6&gt;0,Q6/$R6,0)</f>
        <v>0</v>
      </c>
      <c r="U6" s="27" t="s">
        <v>50</v>
      </c>
      <c r="V6" s="30" t="s">
        <v>51</v>
      </c>
      <c r="W6" s="31">
        <v>46071</v>
      </c>
      <c r="X6" s="120" t="s">
        <v>1025</v>
      </c>
      <c r="Y6" s="19" t="s">
        <v>52</v>
      </c>
      <c r="Z6" s="19" t="s">
        <v>52</v>
      </c>
      <c r="AA6" s="19" t="s">
        <v>52</v>
      </c>
      <c r="AB6" s="42"/>
    </row>
    <row r="7" spans="1:28" s="29" customFormat="1" ht="15" customHeight="1" x14ac:dyDescent="0.25">
      <c r="A7" s="14">
        <v>2</v>
      </c>
      <c r="B7" s="15">
        <v>46079</v>
      </c>
      <c r="C7" s="15">
        <f t="shared" ref="C7:C18" si="4">B7+8</f>
        <v>46087</v>
      </c>
      <c r="D7" s="121">
        <v>14262</v>
      </c>
      <c r="E7" s="16" t="s">
        <v>45</v>
      </c>
      <c r="F7" s="17" t="s">
        <v>46</v>
      </c>
      <c r="G7" s="17" t="s">
        <v>47</v>
      </c>
      <c r="H7" s="18" t="s">
        <v>542</v>
      </c>
      <c r="I7" s="19" t="s">
        <v>49</v>
      </c>
      <c r="J7" s="20">
        <v>46024</v>
      </c>
      <c r="K7" s="20">
        <v>46076</v>
      </c>
      <c r="L7" s="21">
        <v>200000</v>
      </c>
      <c r="M7" s="22">
        <f t="shared" si="0"/>
        <v>206000</v>
      </c>
      <c r="N7" s="23">
        <v>200000</v>
      </c>
      <c r="O7" s="23">
        <v>6000</v>
      </c>
      <c r="P7" s="24">
        <f t="shared" si="1"/>
        <v>0</v>
      </c>
      <c r="Q7" s="25">
        <v>0</v>
      </c>
      <c r="R7" s="26">
        <v>60000</v>
      </c>
      <c r="S7" s="91">
        <f t="shared" si="2"/>
        <v>0</v>
      </c>
      <c r="T7" s="91">
        <f t="shared" si="3"/>
        <v>0</v>
      </c>
      <c r="U7" s="27" t="s">
        <v>50</v>
      </c>
      <c r="V7" s="19" t="s">
        <v>51</v>
      </c>
      <c r="W7" s="20">
        <v>46050</v>
      </c>
      <c r="X7" s="113" t="s">
        <v>1188</v>
      </c>
      <c r="Y7" s="19" t="s">
        <v>52</v>
      </c>
      <c r="Z7" s="19" t="s">
        <v>52</v>
      </c>
      <c r="AA7" s="19" t="s">
        <v>52</v>
      </c>
      <c r="AB7" s="42"/>
    </row>
    <row r="8" spans="1:28" s="29" customFormat="1" ht="15" customHeight="1" x14ac:dyDescent="0.25">
      <c r="A8" s="14">
        <v>3</v>
      </c>
      <c r="B8" s="15"/>
      <c r="C8" s="15"/>
      <c r="D8" s="121">
        <v>14460</v>
      </c>
      <c r="E8" s="117" t="s">
        <v>1104</v>
      </c>
      <c r="F8" s="118" t="s">
        <v>1105</v>
      </c>
      <c r="G8" s="17" t="s">
        <v>47</v>
      </c>
      <c r="H8" s="18" t="s">
        <v>542</v>
      </c>
      <c r="I8" s="19" t="s">
        <v>1049</v>
      </c>
      <c r="J8" s="20">
        <v>46052</v>
      </c>
      <c r="K8" s="20">
        <v>46079</v>
      </c>
      <c r="L8" s="21">
        <v>150000</v>
      </c>
      <c r="M8" s="22">
        <f t="shared" si="0"/>
        <v>186000</v>
      </c>
      <c r="N8" s="23">
        <f>150000+36000</f>
        <v>186000</v>
      </c>
      <c r="O8" s="23"/>
      <c r="P8" s="24">
        <f t="shared" si="1"/>
        <v>-36000</v>
      </c>
      <c r="Q8" s="25">
        <v>0</v>
      </c>
      <c r="R8" s="26">
        <v>150000</v>
      </c>
      <c r="S8" s="91">
        <f t="shared" si="2"/>
        <v>0</v>
      </c>
      <c r="T8" s="91">
        <f t="shared" si="3"/>
        <v>0</v>
      </c>
      <c r="U8" s="27" t="s">
        <v>50</v>
      </c>
      <c r="V8" s="30" t="s">
        <v>51</v>
      </c>
      <c r="W8" s="31">
        <v>46071</v>
      </c>
      <c r="X8" s="120" t="s">
        <v>1025</v>
      </c>
      <c r="Y8" s="19" t="s">
        <v>52</v>
      </c>
      <c r="Z8" s="19" t="s">
        <v>52</v>
      </c>
      <c r="AA8" s="19" t="s">
        <v>52</v>
      </c>
      <c r="AB8" s="42"/>
    </row>
    <row r="9" spans="1:28" s="29" customFormat="1" ht="15" customHeight="1" x14ac:dyDescent="0.25">
      <c r="A9" s="14">
        <v>4</v>
      </c>
      <c r="B9" s="15">
        <v>46080</v>
      </c>
      <c r="C9" s="15">
        <f t="shared" si="4"/>
        <v>46088</v>
      </c>
      <c r="D9" s="121">
        <v>14474</v>
      </c>
      <c r="E9" s="16" t="s">
        <v>1106</v>
      </c>
      <c r="F9" s="17" t="s">
        <v>1107</v>
      </c>
      <c r="G9" s="17" t="s">
        <v>47</v>
      </c>
      <c r="H9" s="18" t="s">
        <v>542</v>
      </c>
      <c r="I9" s="19" t="s">
        <v>49</v>
      </c>
      <c r="J9" s="20">
        <v>46055</v>
      </c>
      <c r="K9" s="20">
        <v>46083</v>
      </c>
      <c r="L9" s="21">
        <v>200000</v>
      </c>
      <c r="M9" s="22">
        <f t="shared" si="0"/>
        <v>0</v>
      </c>
      <c r="N9" s="23">
        <v>0</v>
      </c>
      <c r="O9" s="23">
        <v>0</v>
      </c>
      <c r="P9" s="24">
        <f t="shared" si="1"/>
        <v>200000</v>
      </c>
      <c r="Q9" s="25">
        <v>0</v>
      </c>
      <c r="R9" s="26">
        <v>100000</v>
      </c>
      <c r="S9" s="91">
        <f t="shared" si="2"/>
        <v>2</v>
      </c>
      <c r="T9" s="91">
        <f t="shared" si="3"/>
        <v>0</v>
      </c>
      <c r="U9" s="27" t="s">
        <v>50</v>
      </c>
      <c r="V9" s="30" t="s">
        <v>59</v>
      </c>
      <c r="W9" s="31">
        <v>46080</v>
      </c>
      <c r="X9" s="113" t="s">
        <v>1121</v>
      </c>
      <c r="Y9" s="19" t="s">
        <v>52</v>
      </c>
      <c r="Z9" s="19" t="s">
        <v>52</v>
      </c>
      <c r="AA9" s="19" t="s">
        <v>52</v>
      </c>
      <c r="AB9" s="42"/>
    </row>
    <row r="10" spans="1:28" s="29" customFormat="1" ht="15" customHeight="1" x14ac:dyDescent="0.25">
      <c r="A10" s="14">
        <v>5</v>
      </c>
      <c r="B10" s="15">
        <v>46087</v>
      </c>
      <c r="C10" s="15">
        <f t="shared" si="4"/>
        <v>46095</v>
      </c>
      <c r="D10" s="121">
        <v>14438</v>
      </c>
      <c r="E10" s="16" t="s">
        <v>394</v>
      </c>
      <c r="F10" s="17" t="s">
        <v>638</v>
      </c>
      <c r="G10" s="17" t="s">
        <v>47</v>
      </c>
      <c r="H10" s="18" t="s">
        <v>639</v>
      </c>
      <c r="I10" s="19" t="s">
        <v>395</v>
      </c>
      <c r="J10" s="20">
        <v>46049</v>
      </c>
      <c r="K10" s="20">
        <v>46084</v>
      </c>
      <c r="L10" s="21">
        <v>100000</v>
      </c>
      <c r="M10" s="22">
        <f t="shared" si="0"/>
        <v>0</v>
      </c>
      <c r="N10" s="23">
        <v>0</v>
      </c>
      <c r="O10" s="23">
        <v>0</v>
      </c>
      <c r="P10" s="24">
        <f t="shared" si="1"/>
        <v>100000</v>
      </c>
      <c r="Q10" s="25">
        <v>0</v>
      </c>
      <c r="R10" s="26">
        <v>50000</v>
      </c>
      <c r="S10" s="91">
        <f t="shared" si="2"/>
        <v>2</v>
      </c>
      <c r="T10" s="91">
        <f t="shared" si="3"/>
        <v>0</v>
      </c>
      <c r="U10" s="27" t="s">
        <v>193</v>
      </c>
      <c r="V10" s="30" t="s">
        <v>59</v>
      </c>
      <c r="W10" s="31">
        <v>46080</v>
      </c>
      <c r="X10" s="113" t="s">
        <v>1121</v>
      </c>
      <c r="Y10" s="19" t="s">
        <v>52</v>
      </c>
      <c r="Z10" s="19" t="s">
        <v>52</v>
      </c>
      <c r="AA10" s="19" t="s">
        <v>52</v>
      </c>
      <c r="AB10" s="42"/>
    </row>
    <row r="11" spans="1:28" s="29" customFormat="1" ht="15" customHeight="1" x14ac:dyDescent="0.25">
      <c r="A11" s="14">
        <v>6</v>
      </c>
      <c r="B11" s="15">
        <v>46079</v>
      </c>
      <c r="C11" s="15">
        <f t="shared" si="4"/>
        <v>46087</v>
      </c>
      <c r="D11" s="121">
        <v>14298</v>
      </c>
      <c r="E11" s="16" t="s">
        <v>756</v>
      </c>
      <c r="F11" s="17" t="s">
        <v>483</v>
      </c>
      <c r="G11" s="17" t="s">
        <v>47</v>
      </c>
      <c r="H11" s="18" t="s">
        <v>57</v>
      </c>
      <c r="I11" s="19" t="s">
        <v>58</v>
      </c>
      <c r="J11" s="20">
        <v>46030</v>
      </c>
      <c r="K11" s="20">
        <v>46064</v>
      </c>
      <c r="L11" s="21">
        <v>2000000</v>
      </c>
      <c r="M11" s="22">
        <f t="shared" si="0"/>
        <v>1939000</v>
      </c>
      <c r="N11" s="23">
        <v>1900000</v>
      </c>
      <c r="O11" s="23">
        <v>39000</v>
      </c>
      <c r="P11" s="24">
        <f t="shared" si="1"/>
        <v>100000</v>
      </c>
      <c r="Q11" s="25">
        <v>0</v>
      </c>
      <c r="R11" s="26">
        <v>50000</v>
      </c>
      <c r="S11" s="91">
        <f t="shared" si="2"/>
        <v>2</v>
      </c>
      <c r="T11" s="91">
        <f t="shared" si="3"/>
        <v>0</v>
      </c>
      <c r="U11" s="27" t="s">
        <v>50</v>
      </c>
      <c r="V11" s="19" t="s">
        <v>51</v>
      </c>
      <c r="W11" s="20">
        <v>46058</v>
      </c>
      <c r="X11" s="22"/>
      <c r="Y11" s="19" t="s">
        <v>52</v>
      </c>
      <c r="Z11" s="19" t="s">
        <v>52</v>
      </c>
      <c r="AA11" s="19" t="s">
        <v>52</v>
      </c>
      <c r="AB11" s="42"/>
    </row>
    <row r="12" spans="1:28" s="29" customFormat="1" ht="15" customHeight="1" x14ac:dyDescent="0.25">
      <c r="A12" s="14">
        <v>7</v>
      </c>
      <c r="B12" s="15">
        <v>46079</v>
      </c>
      <c r="C12" s="15">
        <f t="shared" si="4"/>
        <v>46087</v>
      </c>
      <c r="D12" s="121">
        <v>14234</v>
      </c>
      <c r="E12" s="16" t="s">
        <v>314</v>
      </c>
      <c r="F12" s="17" t="s">
        <v>315</v>
      </c>
      <c r="G12" s="17" t="s">
        <v>47</v>
      </c>
      <c r="H12" s="18" t="s">
        <v>1050</v>
      </c>
      <c r="I12" s="19" t="s">
        <v>198</v>
      </c>
      <c r="J12" s="20">
        <v>46014</v>
      </c>
      <c r="K12" s="20">
        <v>46065</v>
      </c>
      <c r="L12" s="21">
        <v>1250000</v>
      </c>
      <c r="M12" s="22">
        <f t="shared" si="0"/>
        <v>78000</v>
      </c>
      <c r="N12" s="23">
        <v>72000</v>
      </c>
      <c r="O12" s="23">
        <v>6000</v>
      </c>
      <c r="P12" s="24">
        <f t="shared" si="1"/>
        <v>1178000</v>
      </c>
      <c r="Q12" s="25">
        <v>0</v>
      </c>
      <c r="R12" s="26">
        <v>32000</v>
      </c>
      <c r="S12" s="91">
        <f t="shared" si="2"/>
        <v>36.8125</v>
      </c>
      <c r="T12" s="91">
        <f t="shared" si="3"/>
        <v>0</v>
      </c>
      <c r="U12" s="27" t="s">
        <v>56</v>
      </c>
      <c r="V12" s="19" t="s">
        <v>51</v>
      </c>
      <c r="W12" s="20">
        <v>46058</v>
      </c>
      <c r="X12" s="113" t="s">
        <v>1188</v>
      </c>
      <c r="Y12" s="19" t="s">
        <v>52</v>
      </c>
      <c r="Z12" s="19" t="s">
        <v>52</v>
      </c>
      <c r="AA12" s="19" t="s">
        <v>52</v>
      </c>
      <c r="AB12" s="42"/>
    </row>
    <row r="13" spans="1:28" s="29" customFormat="1" ht="15" customHeight="1" x14ac:dyDescent="0.25">
      <c r="A13" s="14">
        <v>8</v>
      </c>
      <c r="B13" s="15"/>
      <c r="C13" s="15"/>
      <c r="D13" s="121">
        <v>14284</v>
      </c>
      <c r="E13" s="117" t="s">
        <v>728</v>
      </c>
      <c r="F13" s="118" t="s">
        <v>469</v>
      </c>
      <c r="G13" s="17" t="s">
        <v>47</v>
      </c>
      <c r="H13" s="18" t="s">
        <v>57</v>
      </c>
      <c r="I13" s="19" t="s">
        <v>58</v>
      </c>
      <c r="J13" s="20">
        <v>46029</v>
      </c>
      <c r="K13" s="20">
        <v>46070</v>
      </c>
      <c r="L13" s="21">
        <v>2000000</v>
      </c>
      <c r="M13" s="22">
        <f t="shared" si="0"/>
        <v>2128000</v>
      </c>
      <c r="N13" s="23">
        <v>2128000</v>
      </c>
      <c r="O13" s="23"/>
      <c r="P13" s="24">
        <f t="shared" si="1"/>
        <v>-128000</v>
      </c>
      <c r="Q13" s="25">
        <v>0</v>
      </c>
      <c r="R13" s="26">
        <v>96000</v>
      </c>
      <c r="S13" s="91">
        <f t="shared" si="2"/>
        <v>0</v>
      </c>
      <c r="T13" s="91">
        <f t="shared" si="3"/>
        <v>0</v>
      </c>
      <c r="U13" s="27" t="s">
        <v>50</v>
      </c>
      <c r="V13" s="19" t="s">
        <v>51</v>
      </c>
      <c r="W13" s="20">
        <v>46058</v>
      </c>
      <c r="X13" s="120" t="s">
        <v>1025</v>
      </c>
      <c r="Y13" s="19" t="s">
        <v>52</v>
      </c>
      <c r="Z13" s="19" t="s">
        <v>52</v>
      </c>
      <c r="AA13" s="19" t="s">
        <v>52</v>
      </c>
      <c r="AB13" s="42"/>
    </row>
    <row r="14" spans="1:28" s="29" customFormat="1" ht="15" customHeight="1" x14ac:dyDescent="0.25">
      <c r="A14" s="14">
        <v>9</v>
      </c>
      <c r="B14" s="15">
        <v>46080</v>
      </c>
      <c r="C14" s="15">
        <f t="shared" si="4"/>
        <v>46088</v>
      </c>
      <c r="D14" s="121">
        <v>14374</v>
      </c>
      <c r="E14" s="16" t="s">
        <v>757</v>
      </c>
      <c r="F14" s="17" t="s">
        <v>672</v>
      </c>
      <c r="G14" s="17" t="s">
        <v>47</v>
      </c>
      <c r="H14" s="18" t="s">
        <v>57</v>
      </c>
      <c r="I14" s="19" t="s">
        <v>58</v>
      </c>
      <c r="J14" s="20">
        <v>46042</v>
      </c>
      <c r="K14" s="20">
        <v>46079</v>
      </c>
      <c r="L14" s="21">
        <v>700000</v>
      </c>
      <c r="M14" s="22">
        <f t="shared" si="0"/>
        <v>462000</v>
      </c>
      <c r="N14" s="23">
        <v>462000</v>
      </c>
      <c r="O14" s="23">
        <v>0</v>
      </c>
      <c r="P14" s="24">
        <f t="shared" si="1"/>
        <v>238000</v>
      </c>
      <c r="Q14" s="25">
        <v>0</v>
      </c>
      <c r="R14" s="26">
        <v>42000</v>
      </c>
      <c r="S14" s="91">
        <f t="shared" si="2"/>
        <v>5.666666666666667</v>
      </c>
      <c r="T14" s="91">
        <f t="shared" si="3"/>
        <v>0</v>
      </c>
      <c r="U14" s="27" t="s">
        <v>50</v>
      </c>
      <c r="V14" s="30" t="s">
        <v>51</v>
      </c>
      <c r="W14" s="31">
        <v>46064</v>
      </c>
      <c r="X14" s="22"/>
      <c r="Y14" s="19" t="s">
        <v>52</v>
      </c>
      <c r="Z14" s="19" t="s">
        <v>52</v>
      </c>
      <c r="AA14" s="19" t="s">
        <v>52</v>
      </c>
      <c r="AB14" s="42"/>
    </row>
    <row r="15" spans="1:28" s="29" customFormat="1" ht="15" customHeight="1" x14ac:dyDescent="0.25">
      <c r="A15" s="14">
        <v>10</v>
      </c>
      <c r="B15" s="15">
        <v>46083</v>
      </c>
      <c r="C15" s="15">
        <f t="shared" si="4"/>
        <v>46091</v>
      </c>
      <c r="D15" s="121">
        <v>14442</v>
      </c>
      <c r="E15" s="16" t="s">
        <v>202</v>
      </c>
      <c r="F15" s="17" t="s">
        <v>203</v>
      </c>
      <c r="G15" s="17" t="s">
        <v>47</v>
      </c>
      <c r="H15" s="18" t="s">
        <v>542</v>
      </c>
      <c r="I15" s="19" t="s">
        <v>104</v>
      </c>
      <c r="J15" s="20">
        <v>46050</v>
      </c>
      <c r="K15" s="20">
        <v>46083</v>
      </c>
      <c r="L15" s="21">
        <v>50000</v>
      </c>
      <c r="M15" s="22">
        <f t="shared" si="0"/>
        <v>0</v>
      </c>
      <c r="N15" s="23">
        <v>0</v>
      </c>
      <c r="O15" s="23">
        <v>0</v>
      </c>
      <c r="P15" s="24">
        <f t="shared" si="1"/>
        <v>50000</v>
      </c>
      <c r="Q15" s="25">
        <v>0</v>
      </c>
      <c r="R15" s="26">
        <v>50000</v>
      </c>
      <c r="S15" s="91">
        <f t="shared" si="2"/>
        <v>1</v>
      </c>
      <c r="T15" s="91">
        <f t="shared" si="3"/>
        <v>0</v>
      </c>
      <c r="U15" s="27" t="s">
        <v>50</v>
      </c>
      <c r="V15" s="30" t="s">
        <v>59</v>
      </c>
      <c r="W15" s="31">
        <v>46080</v>
      </c>
      <c r="X15" s="22"/>
      <c r="Y15" s="19" t="s">
        <v>52</v>
      </c>
      <c r="Z15" s="19" t="s">
        <v>52</v>
      </c>
      <c r="AA15" s="19" t="s">
        <v>52</v>
      </c>
      <c r="AB15" s="42"/>
    </row>
    <row r="16" spans="1:28" s="29" customFormat="1" ht="15" customHeight="1" x14ac:dyDescent="0.25">
      <c r="A16" s="14">
        <v>11</v>
      </c>
      <c r="B16" s="15">
        <v>46083</v>
      </c>
      <c r="C16" s="15">
        <f t="shared" si="4"/>
        <v>46091</v>
      </c>
      <c r="D16" s="121">
        <v>14490</v>
      </c>
      <c r="E16" s="16" t="s">
        <v>428</v>
      </c>
      <c r="F16" s="17" t="s">
        <v>429</v>
      </c>
      <c r="G16" s="17" t="s">
        <v>47</v>
      </c>
      <c r="H16" s="18" t="s">
        <v>542</v>
      </c>
      <c r="I16" s="19" t="s">
        <v>70</v>
      </c>
      <c r="J16" s="20">
        <v>46058</v>
      </c>
      <c r="K16" s="20">
        <v>46085</v>
      </c>
      <c r="L16" s="21">
        <v>500000</v>
      </c>
      <c r="M16" s="22">
        <f t="shared" si="0"/>
        <v>0</v>
      </c>
      <c r="N16" s="23">
        <v>0</v>
      </c>
      <c r="O16" s="23">
        <v>0</v>
      </c>
      <c r="P16" s="24">
        <f t="shared" si="1"/>
        <v>500000</v>
      </c>
      <c r="Q16" s="25">
        <v>0</v>
      </c>
      <c r="R16" s="26">
        <v>50000</v>
      </c>
      <c r="S16" s="91">
        <f t="shared" si="2"/>
        <v>10</v>
      </c>
      <c r="T16" s="91">
        <f t="shared" si="3"/>
        <v>0</v>
      </c>
      <c r="U16" s="27" t="s">
        <v>50</v>
      </c>
      <c r="V16" s="30" t="s">
        <v>59</v>
      </c>
      <c r="W16" s="31">
        <v>46080</v>
      </c>
      <c r="X16" s="113" t="s">
        <v>1123</v>
      </c>
      <c r="Y16" s="19" t="s">
        <v>52</v>
      </c>
      <c r="Z16" s="19" t="s">
        <v>52</v>
      </c>
      <c r="AA16" s="19" t="s">
        <v>52</v>
      </c>
      <c r="AB16" s="42"/>
    </row>
    <row r="17" spans="1:28" s="29" customFormat="1" ht="15" customHeight="1" x14ac:dyDescent="0.25">
      <c r="A17" s="14">
        <v>12</v>
      </c>
      <c r="B17" s="15">
        <v>46083</v>
      </c>
      <c r="C17" s="15">
        <f t="shared" si="4"/>
        <v>46091</v>
      </c>
      <c r="D17" s="121">
        <v>14419</v>
      </c>
      <c r="E17" s="16" t="s">
        <v>702</v>
      </c>
      <c r="F17" s="17" t="s">
        <v>703</v>
      </c>
      <c r="G17" s="17" t="s">
        <v>47</v>
      </c>
      <c r="H17" s="18" t="s">
        <v>542</v>
      </c>
      <c r="I17" s="19" t="s">
        <v>104</v>
      </c>
      <c r="J17" s="20">
        <v>46048</v>
      </c>
      <c r="K17" s="20">
        <v>46087</v>
      </c>
      <c r="L17" s="21">
        <v>1500000</v>
      </c>
      <c r="M17" s="22">
        <f t="shared" si="0"/>
        <v>662000</v>
      </c>
      <c r="N17" s="23">
        <v>662000</v>
      </c>
      <c r="O17" s="23"/>
      <c r="P17" s="24">
        <f t="shared" si="1"/>
        <v>838000</v>
      </c>
      <c r="Q17" s="25">
        <v>0</v>
      </c>
      <c r="R17" s="26">
        <v>94500</v>
      </c>
      <c r="S17" s="91">
        <f t="shared" si="2"/>
        <v>8.867724867724867</v>
      </c>
      <c r="T17" s="91">
        <f t="shared" si="3"/>
        <v>0</v>
      </c>
      <c r="U17" s="27" t="s">
        <v>50</v>
      </c>
      <c r="V17" s="30" t="s">
        <v>51</v>
      </c>
      <c r="W17" s="31">
        <v>46071</v>
      </c>
      <c r="X17" s="22"/>
      <c r="Y17" s="19" t="s">
        <v>52</v>
      </c>
      <c r="Z17" s="19" t="s">
        <v>52</v>
      </c>
      <c r="AA17" s="19" t="s">
        <v>52</v>
      </c>
      <c r="AB17" s="42"/>
    </row>
    <row r="18" spans="1:28" s="29" customFormat="1" ht="15" customHeight="1" x14ac:dyDescent="0.25">
      <c r="A18" s="14">
        <v>13</v>
      </c>
      <c r="B18" s="15">
        <v>46079</v>
      </c>
      <c r="C18" s="15">
        <f t="shared" si="4"/>
        <v>46087</v>
      </c>
      <c r="D18" s="14">
        <v>14372</v>
      </c>
      <c r="E18" s="16" t="s">
        <v>761</v>
      </c>
      <c r="F18" s="17" t="s">
        <v>1072</v>
      </c>
      <c r="G18" s="17" t="s">
        <v>47</v>
      </c>
      <c r="H18" s="18" t="s">
        <v>57</v>
      </c>
      <c r="I18" s="19" t="s">
        <v>58</v>
      </c>
      <c r="J18" s="20">
        <v>46038</v>
      </c>
      <c r="K18" s="20">
        <v>46093</v>
      </c>
      <c r="L18" s="21">
        <v>500000</v>
      </c>
      <c r="M18" s="22">
        <f t="shared" si="0"/>
        <v>350000</v>
      </c>
      <c r="N18" s="23">
        <v>150000</v>
      </c>
      <c r="O18" s="23">
        <v>200000</v>
      </c>
      <c r="P18" s="24">
        <f t="shared" si="1"/>
        <v>350000</v>
      </c>
      <c r="Q18" s="25">
        <v>0</v>
      </c>
      <c r="R18" s="26">
        <v>50000</v>
      </c>
      <c r="S18" s="91">
        <f t="shared" si="2"/>
        <v>7</v>
      </c>
      <c r="T18" s="91">
        <f t="shared" si="3"/>
        <v>0</v>
      </c>
      <c r="U18" s="27" t="s">
        <v>50</v>
      </c>
      <c r="V18" s="30" t="s">
        <v>51</v>
      </c>
      <c r="W18" s="31">
        <v>46071</v>
      </c>
      <c r="X18" s="22"/>
      <c r="Y18" s="19" t="s">
        <v>52</v>
      </c>
      <c r="Z18" s="19" t="s">
        <v>52</v>
      </c>
      <c r="AA18" s="19" t="s">
        <v>52</v>
      </c>
      <c r="AB18" s="42"/>
    </row>
    <row r="19" spans="1:28" s="29" customFormat="1" ht="15" customHeight="1" x14ac:dyDescent="0.25">
      <c r="A19" s="14">
        <v>14</v>
      </c>
      <c r="B19" s="32">
        <v>46097</v>
      </c>
      <c r="C19" s="32">
        <f>B19+8</f>
        <v>46105</v>
      </c>
      <c r="D19" s="14">
        <v>14547</v>
      </c>
      <c r="E19" s="16" t="s">
        <v>60</v>
      </c>
      <c r="F19" s="17" t="s">
        <v>61</v>
      </c>
      <c r="G19" s="17" t="s">
        <v>47</v>
      </c>
      <c r="H19" s="18" t="s">
        <v>784</v>
      </c>
      <c r="I19" s="19" t="s">
        <v>63</v>
      </c>
      <c r="J19" s="20">
        <v>46066</v>
      </c>
      <c r="K19" s="20">
        <v>46094</v>
      </c>
      <c r="L19" s="21">
        <v>120000</v>
      </c>
      <c r="M19" s="22">
        <f t="shared" si="0"/>
        <v>0</v>
      </c>
      <c r="N19" s="23">
        <v>0</v>
      </c>
      <c r="O19" s="23">
        <v>0</v>
      </c>
      <c r="P19" s="24">
        <f t="shared" si="1"/>
        <v>120000</v>
      </c>
      <c r="Q19" s="25">
        <v>0</v>
      </c>
      <c r="R19" s="26">
        <v>40000</v>
      </c>
      <c r="S19" s="91">
        <f t="shared" si="2"/>
        <v>3</v>
      </c>
      <c r="T19" s="91">
        <f t="shared" si="3"/>
        <v>0</v>
      </c>
      <c r="U19" s="27" t="s">
        <v>50</v>
      </c>
      <c r="V19" s="30" t="s">
        <v>59</v>
      </c>
      <c r="W19" s="31">
        <v>46080</v>
      </c>
      <c r="X19" s="22"/>
      <c r="Y19" s="19" t="s">
        <v>52</v>
      </c>
      <c r="Z19" s="19" t="s">
        <v>52</v>
      </c>
      <c r="AA19" s="19" t="s">
        <v>52</v>
      </c>
      <c r="AB19" s="42"/>
    </row>
    <row r="20" spans="1:28" s="29" customFormat="1" ht="15" customHeight="1" x14ac:dyDescent="0.25">
      <c r="A20" s="14">
        <v>15</v>
      </c>
      <c r="B20" s="32">
        <v>46097</v>
      </c>
      <c r="C20" s="32">
        <f>B20+8</f>
        <v>46105</v>
      </c>
      <c r="D20" s="14">
        <v>14578</v>
      </c>
      <c r="E20" s="16" t="s">
        <v>1178</v>
      </c>
      <c r="F20" s="17" t="s">
        <v>1179</v>
      </c>
      <c r="G20" s="17" t="s">
        <v>47</v>
      </c>
      <c r="H20" s="18" t="s">
        <v>775</v>
      </c>
      <c r="I20" s="19" t="s">
        <v>86</v>
      </c>
      <c r="J20" s="20">
        <v>46073</v>
      </c>
      <c r="K20" s="20">
        <v>46100</v>
      </c>
      <c r="L20" s="21">
        <v>1500000</v>
      </c>
      <c r="M20" s="22">
        <f t="shared" si="0"/>
        <v>0</v>
      </c>
      <c r="N20" s="23">
        <v>0</v>
      </c>
      <c r="O20" s="23">
        <v>0</v>
      </c>
      <c r="P20" s="24">
        <f t="shared" si="1"/>
        <v>1500000</v>
      </c>
      <c r="Q20" s="25">
        <v>0</v>
      </c>
      <c r="R20" s="26">
        <v>84000</v>
      </c>
      <c r="S20" s="91">
        <f t="shared" si="2"/>
        <v>17.857142857142858</v>
      </c>
      <c r="T20" s="91">
        <f t="shared" si="3"/>
        <v>0</v>
      </c>
      <c r="U20" s="27" t="s">
        <v>56</v>
      </c>
      <c r="V20" s="30" t="s">
        <v>59</v>
      </c>
      <c r="W20" s="31">
        <v>46080</v>
      </c>
      <c r="X20" s="22"/>
      <c r="Y20" s="19" t="s">
        <v>52</v>
      </c>
      <c r="Z20" s="19" t="s">
        <v>52</v>
      </c>
      <c r="AA20" s="19" t="s">
        <v>52</v>
      </c>
      <c r="AB20" s="42"/>
    </row>
    <row r="21" spans="1:28" s="29" customFormat="1" ht="15" customHeight="1" x14ac:dyDescent="0.25">
      <c r="A21" s="14">
        <v>16</v>
      </c>
      <c r="B21" s="15">
        <v>46096</v>
      </c>
      <c r="C21" s="15">
        <f>B21+8</f>
        <v>46104</v>
      </c>
      <c r="D21" s="14">
        <v>14553</v>
      </c>
      <c r="E21" s="16" t="s">
        <v>919</v>
      </c>
      <c r="F21" s="17" t="s">
        <v>405</v>
      </c>
      <c r="G21" s="17" t="s">
        <v>47</v>
      </c>
      <c r="H21" s="18" t="s">
        <v>57</v>
      </c>
      <c r="I21" s="19" t="s">
        <v>58</v>
      </c>
      <c r="J21" s="20">
        <v>46066</v>
      </c>
      <c r="K21" s="20">
        <v>46108</v>
      </c>
      <c r="L21" s="21">
        <v>300000</v>
      </c>
      <c r="M21" s="22">
        <f t="shared" si="0"/>
        <v>0</v>
      </c>
      <c r="N21" s="23">
        <v>0</v>
      </c>
      <c r="O21" s="23">
        <v>0</v>
      </c>
      <c r="P21" s="24">
        <f t="shared" si="1"/>
        <v>300000</v>
      </c>
      <c r="Q21" s="25">
        <v>0</v>
      </c>
      <c r="R21" s="26">
        <v>100000</v>
      </c>
      <c r="S21" s="91">
        <f t="shared" si="2"/>
        <v>3</v>
      </c>
      <c r="T21" s="91">
        <f t="shared" si="3"/>
        <v>0</v>
      </c>
      <c r="U21" s="27" t="s">
        <v>50</v>
      </c>
      <c r="V21" s="30" t="s">
        <v>59</v>
      </c>
      <c r="W21" s="31">
        <v>46084</v>
      </c>
      <c r="X21" s="22"/>
      <c r="Y21" s="19" t="s">
        <v>52</v>
      </c>
      <c r="Z21" s="19" t="s">
        <v>52</v>
      </c>
      <c r="AA21" s="19" t="s">
        <v>52</v>
      </c>
      <c r="AB21" s="42"/>
    </row>
    <row r="22" spans="1:28" ht="15" customHeight="1" x14ac:dyDescent="0.25">
      <c r="A22" s="33" t="s">
        <v>71</v>
      </c>
      <c r="B22" s="34"/>
      <c r="C22" s="34"/>
      <c r="D22" s="34"/>
      <c r="E22" s="34"/>
      <c r="F22" s="35"/>
      <c r="G22" s="35"/>
      <c r="H22" s="34"/>
      <c r="I22" s="34"/>
      <c r="J22" s="34"/>
      <c r="K22" s="34"/>
      <c r="L22" s="36"/>
      <c r="M22" s="36"/>
      <c r="N22" s="36"/>
      <c r="O22" s="36"/>
      <c r="P22" s="36">
        <f>SUMIFS($P$5:$P$167,$G$5:$G$167,"Bag No Wicket/Zipper",$P$5:$P$167,"&gt;0")</f>
        <v>5518000</v>
      </c>
      <c r="Q22" s="36">
        <f>SUMIFS($Q$5:$Q$167,$G$5:$G$167,"Bag No Wicket/Zipper",$Q$5:$Q$167,"&gt;0")</f>
        <v>0</v>
      </c>
      <c r="R22" s="36"/>
      <c r="S22" s="92">
        <f>SUMIFS($S$5:$S$167,$G$5:$G$167,"Bag No Wicket/Zipper",$S$5:$S$167,"&gt;0")</f>
        <v>99.815145502645507</v>
      </c>
      <c r="T22" s="92">
        <f>SUMIFS($T$5:$T$167,$G$5:$G$167,"Bag No Wicket/Zipper",$T$5:$T$167,"&gt;0")</f>
        <v>0</v>
      </c>
      <c r="U22" s="37"/>
      <c r="V22" s="38"/>
      <c r="W22" s="38"/>
      <c r="X22" s="38"/>
      <c r="Y22" s="34"/>
      <c r="Z22" s="34"/>
      <c r="AA22" s="39"/>
      <c r="AB22" s="28"/>
    </row>
    <row r="23" spans="1:28" ht="15" customHeight="1" x14ac:dyDescent="0.25">
      <c r="A23" s="137" t="s">
        <v>72</v>
      </c>
      <c r="B23" s="138"/>
      <c r="C23" s="138"/>
      <c r="D23" s="138"/>
      <c r="E23" s="138"/>
      <c r="F23" s="138"/>
      <c r="G23" s="138" t="s">
        <v>72</v>
      </c>
      <c r="H23" s="138"/>
      <c r="I23" s="138"/>
      <c r="J23" s="138"/>
      <c r="K23" s="138"/>
      <c r="L23" s="138"/>
      <c r="M23" s="138"/>
      <c r="N23" s="138"/>
      <c r="O23" s="138"/>
      <c r="P23" s="138"/>
      <c r="Q23" s="138"/>
      <c r="R23" s="138"/>
      <c r="S23" s="138"/>
      <c r="T23" s="138"/>
      <c r="U23" s="138"/>
      <c r="V23" s="138"/>
      <c r="W23" s="138"/>
      <c r="X23" s="138"/>
      <c r="Y23" s="138"/>
      <c r="Z23" s="138"/>
      <c r="AA23" s="140"/>
    </row>
    <row r="24" spans="1:28" s="29" customFormat="1" ht="15" customHeight="1" x14ac:dyDescent="0.25">
      <c r="A24" s="14">
        <v>1</v>
      </c>
      <c r="B24" s="15"/>
      <c r="C24" s="15"/>
      <c r="D24" s="121">
        <v>14214</v>
      </c>
      <c r="E24" s="117" t="s">
        <v>808</v>
      </c>
      <c r="F24" s="119" t="s">
        <v>657</v>
      </c>
      <c r="G24" s="17" t="s">
        <v>75</v>
      </c>
      <c r="H24" s="18" t="s">
        <v>57</v>
      </c>
      <c r="I24" s="19" t="s">
        <v>94</v>
      </c>
      <c r="J24" s="20">
        <v>46009</v>
      </c>
      <c r="K24" s="20">
        <v>46043</v>
      </c>
      <c r="L24" s="21">
        <v>1250000</v>
      </c>
      <c r="M24" s="22">
        <f t="shared" ref="M24:M63" si="5">SUM(N24:O24)</f>
        <v>1100000</v>
      </c>
      <c r="N24" s="23">
        <v>1100000</v>
      </c>
      <c r="O24" s="23"/>
      <c r="P24" s="24">
        <f t="shared" ref="P24:P63" si="6">L24-N24</f>
        <v>150000</v>
      </c>
      <c r="Q24" s="25">
        <v>0</v>
      </c>
      <c r="R24" s="26">
        <v>100000</v>
      </c>
      <c r="S24" s="91">
        <f t="shared" ref="S24:S63" si="7">IF(P24&gt;0,P24/$R24,0)</f>
        <v>1.5</v>
      </c>
      <c r="T24" s="91">
        <f t="shared" ref="T24:T63" si="8">IF(Q24&gt;0,Q24/$R24,0)</f>
        <v>0</v>
      </c>
      <c r="U24" s="27" t="s">
        <v>50</v>
      </c>
      <c r="V24" s="19" t="s">
        <v>51</v>
      </c>
      <c r="W24" s="20">
        <v>46043</v>
      </c>
      <c r="X24" s="113" t="s">
        <v>1121</v>
      </c>
      <c r="Y24" s="19" t="s">
        <v>52</v>
      </c>
      <c r="Z24" s="19" t="s">
        <v>52</v>
      </c>
      <c r="AA24" s="19" t="s">
        <v>52</v>
      </c>
      <c r="AB24" s="28"/>
    </row>
    <row r="25" spans="1:28" s="29" customFormat="1" ht="15" customHeight="1" x14ac:dyDescent="0.25">
      <c r="A25" s="14">
        <v>2</v>
      </c>
      <c r="B25" s="15">
        <v>46080</v>
      </c>
      <c r="C25" s="15">
        <f t="shared" ref="C24:C37" si="9">B25+8</f>
        <v>46088</v>
      </c>
      <c r="D25" s="121">
        <v>14360</v>
      </c>
      <c r="E25" s="16" t="s">
        <v>73</v>
      </c>
      <c r="F25" s="40" t="s">
        <v>74</v>
      </c>
      <c r="G25" s="17" t="s">
        <v>75</v>
      </c>
      <c r="H25" s="18" t="s">
        <v>542</v>
      </c>
      <c r="I25" s="19" t="s">
        <v>1049</v>
      </c>
      <c r="J25" s="20">
        <v>46042</v>
      </c>
      <c r="K25" s="20">
        <v>46063</v>
      </c>
      <c r="L25" s="21">
        <v>475000</v>
      </c>
      <c r="M25" s="22">
        <f t="shared" si="5"/>
        <v>0</v>
      </c>
      <c r="N25" s="23">
        <v>0</v>
      </c>
      <c r="O25" s="23"/>
      <c r="P25" s="24">
        <f t="shared" si="6"/>
        <v>475000</v>
      </c>
      <c r="Q25" s="25">
        <v>0</v>
      </c>
      <c r="R25" s="26">
        <v>36000</v>
      </c>
      <c r="S25" s="91">
        <f t="shared" si="7"/>
        <v>13.194444444444445</v>
      </c>
      <c r="T25" s="91">
        <f t="shared" si="8"/>
        <v>0</v>
      </c>
      <c r="U25" s="27" t="s">
        <v>50</v>
      </c>
      <c r="V25" s="19" t="s">
        <v>51</v>
      </c>
      <c r="W25" s="20">
        <v>46058</v>
      </c>
      <c r="X25" s="113" t="s">
        <v>1121</v>
      </c>
      <c r="Y25" s="19" t="s">
        <v>52</v>
      </c>
      <c r="Z25" s="19" t="s">
        <v>52</v>
      </c>
      <c r="AA25" s="19" t="s">
        <v>52</v>
      </c>
      <c r="AB25" s="28"/>
    </row>
    <row r="26" spans="1:28" s="29" customFormat="1" ht="15" customHeight="1" x14ac:dyDescent="0.25">
      <c r="A26" s="14">
        <v>3</v>
      </c>
      <c r="B26" s="15">
        <v>46080</v>
      </c>
      <c r="C26" s="15">
        <f t="shared" si="9"/>
        <v>46088</v>
      </c>
      <c r="D26" s="121">
        <v>14290</v>
      </c>
      <c r="E26" s="16" t="s">
        <v>410</v>
      </c>
      <c r="F26" s="40" t="s">
        <v>411</v>
      </c>
      <c r="G26" s="17" t="s">
        <v>75</v>
      </c>
      <c r="H26" s="18" t="s">
        <v>542</v>
      </c>
      <c r="I26" s="19" t="s">
        <v>104</v>
      </c>
      <c r="J26" s="20">
        <v>46029</v>
      </c>
      <c r="K26" s="20">
        <v>46064</v>
      </c>
      <c r="L26" s="21">
        <v>450000</v>
      </c>
      <c r="M26" s="22">
        <f t="shared" si="5"/>
        <v>471000</v>
      </c>
      <c r="N26" s="23">
        <v>450000</v>
      </c>
      <c r="O26" s="23">
        <v>21000</v>
      </c>
      <c r="P26" s="24">
        <f t="shared" si="6"/>
        <v>0</v>
      </c>
      <c r="Q26" s="25">
        <v>0</v>
      </c>
      <c r="R26" s="26">
        <v>150000</v>
      </c>
      <c r="S26" s="91">
        <f t="shared" si="7"/>
        <v>0</v>
      </c>
      <c r="T26" s="91">
        <f t="shared" si="8"/>
        <v>0</v>
      </c>
      <c r="U26" s="27" t="s">
        <v>50</v>
      </c>
      <c r="V26" s="19" t="s">
        <v>51</v>
      </c>
      <c r="W26" s="20">
        <v>46046</v>
      </c>
      <c r="X26" s="113" t="s">
        <v>1121</v>
      </c>
      <c r="Y26" s="19" t="s">
        <v>52</v>
      </c>
      <c r="Z26" s="19" t="s">
        <v>52</v>
      </c>
      <c r="AA26" s="19" t="s">
        <v>52</v>
      </c>
      <c r="AB26" s="28"/>
    </row>
    <row r="27" spans="1:28" s="29" customFormat="1" ht="15" customHeight="1" x14ac:dyDescent="0.25">
      <c r="A27" s="14">
        <v>4</v>
      </c>
      <c r="B27" s="15">
        <v>46079</v>
      </c>
      <c r="C27" s="15">
        <f t="shared" si="9"/>
        <v>46087</v>
      </c>
      <c r="D27" s="121">
        <v>14428</v>
      </c>
      <c r="E27" s="16" t="s">
        <v>206</v>
      </c>
      <c r="F27" s="40" t="s">
        <v>207</v>
      </c>
      <c r="G27" s="17" t="s">
        <v>75</v>
      </c>
      <c r="H27" s="18" t="s">
        <v>542</v>
      </c>
      <c r="I27" s="19" t="s">
        <v>1049</v>
      </c>
      <c r="J27" s="20">
        <v>46048</v>
      </c>
      <c r="K27" s="20">
        <v>46073</v>
      </c>
      <c r="L27" s="21">
        <v>675000</v>
      </c>
      <c r="M27" s="22">
        <f t="shared" si="5"/>
        <v>642000</v>
      </c>
      <c r="N27" s="23">
        <v>150000</v>
      </c>
      <c r="O27" s="23">
        <v>492000</v>
      </c>
      <c r="P27" s="24">
        <f t="shared" si="6"/>
        <v>525000</v>
      </c>
      <c r="Q27" s="25">
        <v>0</v>
      </c>
      <c r="R27" s="26">
        <v>150000</v>
      </c>
      <c r="S27" s="91">
        <f t="shared" si="7"/>
        <v>3.5</v>
      </c>
      <c r="T27" s="91">
        <f t="shared" si="8"/>
        <v>0</v>
      </c>
      <c r="U27" s="27" t="s">
        <v>50</v>
      </c>
      <c r="V27" s="30" t="s">
        <v>51</v>
      </c>
      <c r="W27" s="31">
        <v>46071</v>
      </c>
      <c r="X27" s="113" t="s">
        <v>1121</v>
      </c>
      <c r="Y27" s="19" t="s">
        <v>52</v>
      </c>
      <c r="Z27" s="19" t="s">
        <v>52</v>
      </c>
      <c r="AA27" s="19" t="s">
        <v>52</v>
      </c>
      <c r="AB27" s="28"/>
    </row>
    <row r="28" spans="1:28" s="29" customFormat="1" ht="15" customHeight="1" x14ac:dyDescent="0.25">
      <c r="A28" s="14">
        <v>5</v>
      </c>
      <c r="B28" s="15">
        <v>46080</v>
      </c>
      <c r="C28" s="15">
        <f t="shared" si="9"/>
        <v>46088</v>
      </c>
      <c r="D28" s="121">
        <v>14341</v>
      </c>
      <c r="E28" s="16" t="s">
        <v>806</v>
      </c>
      <c r="F28" s="40" t="s">
        <v>790</v>
      </c>
      <c r="G28" s="17" t="s">
        <v>75</v>
      </c>
      <c r="H28" s="18" t="s">
        <v>542</v>
      </c>
      <c r="I28" s="19" t="s">
        <v>1049</v>
      </c>
      <c r="J28" s="20">
        <v>46037</v>
      </c>
      <c r="K28" s="20">
        <v>46076</v>
      </c>
      <c r="L28" s="21">
        <v>75000</v>
      </c>
      <c r="M28" s="22">
        <f t="shared" si="5"/>
        <v>57000</v>
      </c>
      <c r="N28" s="23">
        <v>0</v>
      </c>
      <c r="O28" s="23">
        <v>57000</v>
      </c>
      <c r="P28" s="24">
        <f t="shared" si="6"/>
        <v>75000</v>
      </c>
      <c r="Q28" s="25">
        <v>0</v>
      </c>
      <c r="R28" s="26">
        <v>150000</v>
      </c>
      <c r="S28" s="91">
        <f t="shared" si="7"/>
        <v>0.5</v>
      </c>
      <c r="T28" s="91">
        <f t="shared" si="8"/>
        <v>0</v>
      </c>
      <c r="U28" s="27" t="s">
        <v>50</v>
      </c>
      <c r="V28" s="30" t="s">
        <v>51</v>
      </c>
      <c r="W28" s="31">
        <v>46071</v>
      </c>
      <c r="X28" s="113" t="s">
        <v>1121</v>
      </c>
      <c r="Y28" s="19" t="s">
        <v>52</v>
      </c>
      <c r="Z28" s="19" t="s">
        <v>52</v>
      </c>
      <c r="AA28" s="19" t="s">
        <v>52</v>
      </c>
      <c r="AB28" s="28"/>
    </row>
    <row r="29" spans="1:28" s="29" customFormat="1" ht="15" customHeight="1" x14ac:dyDescent="0.25">
      <c r="A29" s="14">
        <v>6</v>
      </c>
      <c r="B29" s="15">
        <v>46083</v>
      </c>
      <c r="C29" s="15">
        <f t="shared" si="9"/>
        <v>46091</v>
      </c>
      <c r="D29" s="121">
        <v>14486</v>
      </c>
      <c r="E29" s="16" t="s">
        <v>351</v>
      </c>
      <c r="F29" s="40" t="s">
        <v>352</v>
      </c>
      <c r="G29" s="17" t="s">
        <v>75</v>
      </c>
      <c r="H29" s="18" t="s">
        <v>78</v>
      </c>
      <c r="I29" s="19" t="s">
        <v>79</v>
      </c>
      <c r="J29" s="20">
        <v>46056</v>
      </c>
      <c r="K29" s="20">
        <v>46077</v>
      </c>
      <c r="L29" s="21">
        <v>650000</v>
      </c>
      <c r="M29" s="22">
        <f t="shared" si="5"/>
        <v>0</v>
      </c>
      <c r="N29" s="23">
        <v>0</v>
      </c>
      <c r="O29" s="23">
        <v>0</v>
      </c>
      <c r="P29" s="24">
        <f t="shared" si="6"/>
        <v>650000</v>
      </c>
      <c r="Q29" s="25">
        <v>0</v>
      </c>
      <c r="R29" s="26">
        <v>80000</v>
      </c>
      <c r="S29" s="91">
        <f t="shared" si="7"/>
        <v>8.125</v>
      </c>
      <c r="T29" s="91">
        <f t="shared" si="8"/>
        <v>0</v>
      </c>
      <c r="U29" s="27" t="s">
        <v>56</v>
      </c>
      <c r="V29" s="30" t="s">
        <v>59</v>
      </c>
      <c r="W29" s="31">
        <v>46080</v>
      </c>
      <c r="X29" s="113" t="s">
        <v>1121</v>
      </c>
      <c r="Y29" s="19" t="s">
        <v>52</v>
      </c>
      <c r="Z29" s="19" t="s">
        <v>52</v>
      </c>
      <c r="AA29" s="19" t="s">
        <v>52</v>
      </c>
      <c r="AB29" s="28"/>
    </row>
    <row r="30" spans="1:28" s="29" customFormat="1" ht="15" customHeight="1" x14ac:dyDescent="0.25">
      <c r="A30" s="14">
        <v>7</v>
      </c>
      <c r="B30" s="15">
        <v>46090</v>
      </c>
      <c r="C30" s="15">
        <f t="shared" si="9"/>
        <v>46098</v>
      </c>
      <c r="D30" s="121">
        <v>14350</v>
      </c>
      <c r="E30" s="16" t="s">
        <v>684</v>
      </c>
      <c r="F30" s="40" t="s">
        <v>720</v>
      </c>
      <c r="G30" s="17" t="s">
        <v>75</v>
      </c>
      <c r="H30" s="18" t="s">
        <v>57</v>
      </c>
      <c r="I30" s="19" t="s">
        <v>94</v>
      </c>
      <c r="J30" s="20">
        <v>46042</v>
      </c>
      <c r="K30" s="20">
        <v>46078</v>
      </c>
      <c r="L30" s="21">
        <v>700000</v>
      </c>
      <c r="M30" s="22">
        <f t="shared" si="5"/>
        <v>300000</v>
      </c>
      <c r="N30" s="23">
        <v>300000</v>
      </c>
      <c r="O30" s="23"/>
      <c r="P30" s="24">
        <f t="shared" si="6"/>
        <v>400000</v>
      </c>
      <c r="Q30" s="25">
        <v>0</v>
      </c>
      <c r="R30" s="26">
        <v>100000</v>
      </c>
      <c r="S30" s="91">
        <f t="shared" si="7"/>
        <v>4</v>
      </c>
      <c r="T30" s="91">
        <f t="shared" si="8"/>
        <v>0</v>
      </c>
      <c r="U30" s="27" t="s">
        <v>50</v>
      </c>
      <c r="V30" s="19" t="s">
        <v>51</v>
      </c>
      <c r="W30" s="20">
        <v>46064</v>
      </c>
      <c r="X30" s="113" t="s">
        <v>1121</v>
      </c>
      <c r="Y30" s="19" t="s">
        <v>52</v>
      </c>
      <c r="Z30" s="19" t="s">
        <v>52</v>
      </c>
      <c r="AA30" s="19" t="s">
        <v>52</v>
      </c>
      <c r="AB30" s="28"/>
    </row>
    <row r="31" spans="1:28" s="29" customFormat="1" ht="15" customHeight="1" x14ac:dyDescent="0.25">
      <c r="A31" s="14">
        <v>8</v>
      </c>
      <c r="B31" s="15">
        <v>46079</v>
      </c>
      <c r="C31" s="15">
        <f t="shared" si="9"/>
        <v>46087</v>
      </c>
      <c r="D31" s="121">
        <v>14351</v>
      </c>
      <c r="E31" s="16" t="s">
        <v>808</v>
      </c>
      <c r="F31" s="40" t="s">
        <v>657</v>
      </c>
      <c r="G31" s="17" t="s">
        <v>75</v>
      </c>
      <c r="H31" s="18" t="s">
        <v>57</v>
      </c>
      <c r="I31" s="19" t="s">
        <v>94</v>
      </c>
      <c r="J31" s="20">
        <v>46042</v>
      </c>
      <c r="K31" s="20">
        <v>46078</v>
      </c>
      <c r="L31" s="21">
        <v>1500000</v>
      </c>
      <c r="M31" s="22">
        <f t="shared" si="5"/>
        <v>1567000</v>
      </c>
      <c r="N31" s="23">
        <f>700000+300000</f>
        <v>1000000</v>
      </c>
      <c r="O31" s="23">
        <v>567000</v>
      </c>
      <c r="P31" s="24">
        <f t="shared" si="6"/>
        <v>500000</v>
      </c>
      <c r="Q31" s="25">
        <v>0</v>
      </c>
      <c r="R31" s="26">
        <v>100000</v>
      </c>
      <c r="S31" s="91">
        <f t="shared" si="7"/>
        <v>5</v>
      </c>
      <c r="T31" s="91">
        <f t="shared" si="8"/>
        <v>0</v>
      </c>
      <c r="U31" s="27" t="s">
        <v>50</v>
      </c>
      <c r="V31" s="19" t="s">
        <v>51</v>
      </c>
      <c r="W31" s="20">
        <v>46064</v>
      </c>
      <c r="X31" s="113" t="s">
        <v>1121</v>
      </c>
      <c r="Y31" s="19" t="s">
        <v>52</v>
      </c>
      <c r="Z31" s="19" t="s">
        <v>52</v>
      </c>
      <c r="AA31" s="19" t="s">
        <v>52</v>
      </c>
      <c r="AB31" s="28"/>
    </row>
    <row r="32" spans="1:28" s="29" customFormat="1" ht="15" customHeight="1" x14ac:dyDescent="0.25">
      <c r="A32" s="14">
        <v>9</v>
      </c>
      <c r="B32" s="15">
        <v>46090</v>
      </c>
      <c r="C32" s="15">
        <f t="shared" si="9"/>
        <v>46098</v>
      </c>
      <c r="D32" s="121">
        <v>14484</v>
      </c>
      <c r="E32" s="16" t="s">
        <v>1119</v>
      </c>
      <c r="F32" s="40" t="s">
        <v>1120</v>
      </c>
      <c r="G32" s="17" t="s">
        <v>75</v>
      </c>
      <c r="H32" s="18" t="s">
        <v>78</v>
      </c>
      <c r="I32" s="19" t="s">
        <v>79</v>
      </c>
      <c r="J32" s="20">
        <v>46056</v>
      </c>
      <c r="K32" s="20">
        <v>46084</v>
      </c>
      <c r="L32" s="21">
        <v>500000</v>
      </c>
      <c r="M32" s="22">
        <f t="shared" si="5"/>
        <v>0</v>
      </c>
      <c r="N32" s="23">
        <v>0</v>
      </c>
      <c r="O32" s="23">
        <v>0</v>
      </c>
      <c r="P32" s="24">
        <f t="shared" si="6"/>
        <v>500000</v>
      </c>
      <c r="Q32" s="25">
        <v>0</v>
      </c>
      <c r="R32" s="26">
        <v>210000</v>
      </c>
      <c r="S32" s="91">
        <f t="shared" si="7"/>
        <v>2.3809523809523809</v>
      </c>
      <c r="T32" s="91">
        <f t="shared" si="8"/>
        <v>0</v>
      </c>
      <c r="U32" s="27" t="s">
        <v>56</v>
      </c>
      <c r="V32" s="30" t="s">
        <v>59</v>
      </c>
      <c r="W32" s="31">
        <v>46080</v>
      </c>
      <c r="X32" s="113" t="s">
        <v>1121</v>
      </c>
      <c r="Y32" s="19" t="s">
        <v>52</v>
      </c>
      <c r="Z32" s="19" t="s">
        <v>52</v>
      </c>
      <c r="AA32" s="19" t="s">
        <v>52</v>
      </c>
      <c r="AB32" s="28"/>
    </row>
    <row r="33" spans="1:28" s="29" customFormat="1" ht="15" customHeight="1" x14ac:dyDescent="0.25">
      <c r="A33" s="14">
        <v>10</v>
      </c>
      <c r="B33" s="15">
        <v>46083</v>
      </c>
      <c r="C33" s="15">
        <f t="shared" si="9"/>
        <v>46091</v>
      </c>
      <c r="D33" s="121">
        <v>14540</v>
      </c>
      <c r="E33" s="16" t="s">
        <v>462</v>
      </c>
      <c r="F33" s="40" t="s">
        <v>463</v>
      </c>
      <c r="G33" s="17" t="s">
        <v>75</v>
      </c>
      <c r="H33" s="18" t="s">
        <v>542</v>
      </c>
      <c r="I33" s="19" t="s">
        <v>1049</v>
      </c>
      <c r="J33" s="20">
        <v>46065</v>
      </c>
      <c r="K33" s="20">
        <v>46090</v>
      </c>
      <c r="L33" s="21">
        <v>150000</v>
      </c>
      <c r="M33" s="22">
        <f t="shared" si="5"/>
        <v>0</v>
      </c>
      <c r="N33" s="23">
        <v>0</v>
      </c>
      <c r="O33" s="23">
        <v>0</v>
      </c>
      <c r="P33" s="24">
        <f t="shared" si="6"/>
        <v>150000</v>
      </c>
      <c r="Q33" s="25">
        <v>0</v>
      </c>
      <c r="R33" s="26">
        <v>150000</v>
      </c>
      <c r="S33" s="91">
        <f t="shared" si="7"/>
        <v>1</v>
      </c>
      <c r="T33" s="91">
        <f t="shared" si="8"/>
        <v>0</v>
      </c>
      <c r="U33" s="27" t="s">
        <v>50</v>
      </c>
      <c r="V33" s="30" t="s">
        <v>59</v>
      </c>
      <c r="W33" s="31">
        <v>46080</v>
      </c>
      <c r="X33" s="113" t="s">
        <v>1121</v>
      </c>
      <c r="Y33" s="19" t="s">
        <v>52</v>
      </c>
      <c r="Z33" s="19" t="s">
        <v>52</v>
      </c>
      <c r="AA33" s="19" t="s">
        <v>52</v>
      </c>
      <c r="AB33" s="28"/>
    </row>
    <row r="34" spans="1:28" s="29" customFormat="1" ht="15" customHeight="1" x14ac:dyDescent="0.25">
      <c r="A34" s="14">
        <v>11</v>
      </c>
      <c r="B34" s="15"/>
      <c r="C34" s="15"/>
      <c r="D34" s="14">
        <v>13944</v>
      </c>
      <c r="E34" s="117" t="s">
        <v>951</v>
      </c>
      <c r="F34" s="119" t="s">
        <v>84</v>
      </c>
      <c r="G34" s="17" t="s">
        <v>75</v>
      </c>
      <c r="H34" s="18" t="s">
        <v>54</v>
      </c>
      <c r="I34" s="19" t="s">
        <v>85</v>
      </c>
      <c r="J34" s="20">
        <v>45973</v>
      </c>
      <c r="K34" s="20">
        <v>46004</v>
      </c>
      <c r="L34" s="21">
        <v>500000</v>
      </c>
      <c r="M34" s="22">
        <f t="shared" si="5"/>
        <v>507000</v>
      </c>
      <c r="N34" s="23">
        <v>507000</v>
      </c>
      <c r="O34" s="23"/>
      <c r="P34" s="24">
        <f t="shared" si="6"/>
        <v>-7000</v>
      </c>
      <c r="Q34" s="25">
        <v>0</v>
      </c>
      <c r="R34" s="26">
        <v>80000</v>
      </c>
      <c r="S34" s="91">
        <f t="shared" si="7"/>
        <v>0</v>
      </c>
      <c r="T34" s="91">
        <f t="shared" si="8"/>
        <v>0</v>
      </c>
      <c r="U34" s="27" t="s">
        <v>56</v>
      </c>
      <c r="V34" s="19" t="s">
        <v>51</v>
      </c>
      <c r="W34" s="20">
        <v>46037</v>
      </c>
      <c r="X34" s="120" t="s">
        <v>1025</v>
      </c>
      <c r="Y34" s="19" t="s">
        <v>52</v>
      </c>
      <c r="Z34" s="19" t="s">
        <v>52</v>
      </c>
      <c r="AA34" s="19" t="s">
        <v>52</v>
      </c>
      <c r="AB34" s="28"/>
    </row>
    <row r="35" spans="1:28" s="29" customFormat="1" ht="15" customHeight="1" x14ac:dyDescent="0.25">
      <c r="A35" s="14">
        <v>12</v>
      </c>
      <c r="B35" s="15">
        <v>46079</v>
      </c>
      <c r="C35" s="15">
        <f t="shared" si="9"/>
        <v>46087</v>
      </c>
      <c r="D35" s="14">
        <v>14255</v>
      </c>
      <c r="E35" s="16" t="s">
        <v>341</v>
      </c>
      <c r="F35" s="40" t="s">
        <v>348</v>
      </c>
      <c r="G35" s="17" t="s">
        <v>75</v>
      </c>
      <c r="H35" s="18" t="s">
        <v>542</v>
      </c>
      <c r="I35" s="19" t="s">
        <v>70</v>
      </c>
      <c r="J35" s="20">
        <v>46021</v>
      </c>
      <c r="K35" s="20">
        <v>46055</v>
      </c>
      <c r="L35" s="21">
        <v>1500000</v>
      </c>
      <c r="M35" s="22">
        <f t="shared" si="5"/>
        <v>1443000</v>
      </c>
      <c r="N35" s="23">
        <v>900000</v>
      </c>
      <c r="O35" s="23">
        <v>543000</v>
      </c>
      <c r="P35" s="24">
        <f t="shared" si="6"/>
        <v>600000</v>
      </c>
      <c r="Q35" s="25">
        <v>0</v>
      </c>
      <c r="R35" s="26">
        <v>150000</v>
      </c>
      <c r="S35" s="91">
        <f t="shared" si="7"/>
        <v>4</v>
      </c>
      <c r="T35" s="91">
        <f t="shared" si="8"/>
        <v>0</v>
      </c>
      <c r="U35" s="27" t="s">
        <v>50</v>
      </c>
      <c r="V35" s="19" t="s">
        <v>51</v>
      </c>
      <c r="W35" s="20">
        <v>46043</v>
      </c>
      <c r="X35" s="22"/>
      <c r="Y35" s="19" t="s">
        <v>52</v>
      </c>
      <c r="Z35" s="19" t="s">
        <v>52</v>
      </c>
      <c r="AA35" s="19" t="s">
        <v>52</v>
      </c>
      <c r="AB35" s="28"/>
    </row>
    <row r="36" spans="1:28" s="29" customFormat="1" ht="15" customHeight="1" x14ac:dyDescent="0.25">
      <c r="A36" s="14">
        <v>13</v>
      </c>
      <c r="B36" s="15">
        <v>46080</v>
      </c>
      <c r="C36" s="15">
        <f t="shared" si="9"/>
        <v>46088</v>
      </c>
      <c r="D36" s="14">
        <v>14244</v>
      </c>
      <c r="E36" s="16" t="s">
        <v>349</v>
      </c>
      <c r="F36" s="40" t="s">
        <v>350</v>
      </c>
      <c r="G36" s="17" t="s">
        <v>75</v>
      </c>
      <c r="H36" s="18" t="s">
        <v>78</v>
      </c>
      <c r="I36" s="19" t="s">
        <v>79</v>
      </c>
      <c r="J36" s="20">
        <v>46015</v>
      </c>
      <c r="K36" s="20">
        <v>46056</v>
      </c>
      <c r="L36" s="21">
        <v>1500000</v>
      </c>
      <c r="M36" s="22">
        <f t="shared" si="5"/>
        <v>760000</v>
      </c>
      <c r="N36" s="23">
        <v>760000</v>
      </c>
      <c r="O36" s="23">
        <v>0</v>
      </c>
      <c r="P36" s="24">
        <f t="shared" si="6"/>
        <v>740000</v>
      </c>
      <c r="Q36" s="25">
        <v>0</v>
      </c>
      <c r="R36" s="26">
        <v>150000</v>
      </c>
      <c r="S36" s="91">
        <f t="shared" si="7"/>
        <v>4.9333333333333336</v>
      </c>
      <c r="T36" s="91">
        <f t="shared" si="8"/>
        <v>0</v>
      </c>
      <c r="U36" s="27" t="s">
        <v>56</v>
      </c>
      <c r="V36" s="19" t="s">
        <v>51</v>
      </c>
      <c r="W36" s="20">
        <v>46041</v>
      </c>
      <c r="X36" s="22"/>
      <c r="Y36" s="19" t="s">
        <v>52</v>
      </c>
      <c r="Z36" s="19" t="s">
        <v>52</v>
      </c>
      <c r="AA36" s="19" t="s">
        <v>52</v>
      </c>
      <c r="AB36" s="28"/>
    </row>
    <row r="37" spans="1:28" s="29" customFormat="1" ht="15" customHeight="1" x14ac:dyDescent="0.25">
      <c r="A37" s="14">
        <v>14</v>
      </c>
      <c r="B37" s="15">
        <v>46080</v>
      </c>
      <c r="C37" s="15">
        <f t="shared" si="9"/>
        <v>46088</v>
      </c>
      <c r="D37" s="14">
        <v>14297</v>
      </c>
      <c r="E37" s="16" t="s">
        <v>717</v>
      </c>
      <c r="F37" s="40" t="s">
        <v>80</v>
      </c>
      <c r="G37" s="17" t="s">
        <v>75</v>
      </c>
      <c r="H37" s="18" t="s">
        <v>57</v>
      </c>
      <c r="I37" s="19" t="s">
        <v>58</v>
      </c>
      <c r="J37" s="20">
        <v>46029</v>
      </c>
      <c r="K37" s="20">
        <v>46064</v>
      </c>
      <c r="L37" s="21">
        <v>450000</v>
      </c>
      <c r="M37" s="22">
        <f t="shared" si="5"/>
        <v>480000</v>
      </c>
      <c r="N37" s="23">
        <v>279000</v>
      </c>
      <c r="O37" s="23">
        <v>201000</v>
      </c>
      <c r="P37" s="24">
        <f t="shared" si="6"/>
        <v>171000</v>
      </c>
      <c r="Q37" s="25">
        <v>0</v>
      </c>
      <c r="R37" s="26">
        <v>150000</v>
      </c>
      <c r="S37" s="91">
        <f t="shared" si="7"/>
        <v>1.1399999999999999</v>
      </c>
      <c r="T37" s="91">
        <f t="shared" si="8"/>
        <v>0</v>
      </c>
      <c r="U37" s="27" t="s">
        <v>50</v>
      </c>
      <c r="V37" s="19" t="s">
        <v>51</v>
      </c>
      <c r="W37" s="20">
        <v>46050</v>
      </c>
      <c r="X37" s="22"/>
      <c r="Y37" s="19" t="s">
        <v>52</v>
      </c>
      <c r="Z37" s="19" t="s">
        <v>52</v>
      </c>
      <c r="AA37" s="19" t="s">
        <v>52</v>
      </c>
      <c r="AB37" s="28"/>
    </row>
    <row r="38" spans="1:28" s="29" customFormat="1" ht="15" customHeight="1" x14ac:dyDescent="0.25">
      <c r="A38" s="14">
        <v>15</v>
      </c>
      <c r="B38" s="32" t="s">
        <v>68</v>
      </c>
      <c r="C38" s="32" t="s">
        <v>68</v>
      </c>
      <c r="D38" s="14">
        <v>123060</v>
      </c>
      <c r="E38" s="16" t="s">
        <v>1117</v>
      </c>
      <c r="F38" s="40" t="s">
        <v>1118</v>
      </c>
      <c r="G38" s="17" t="s">
        <v>75</v>
      </c>
      <c r="H38" s="18" t="s">
        <v>542</v>
      </c>
      <c r="I38" s="19" t="s">
        <v>49</v>
      </c>
      <c r="J38" s="20">
        <v>46056</v>
      </c>
      <c r="K38" s="20">
        <v>46066</v>
      </c>
      <c r="L38" s="21">
        <v>20</v>
      </c>
      <c r="M38" s="22">
        <f t="shared" si="5"/>
        <v>0</v>
      </c>
      <c r="N38" s="23">
        <v>0</v>
      </c>
      <c r="O38" s="23">
        <v>0</v>
      </c>
      <c r="P38" s="24">
        <f t="shared" si="6"/>
        <v>20</v>
      </c>
      <c r="Q38" s="25">
        <v>0</v>
      </c>
      <c r="R38" s="26">
        <v>50000</v>
      </c>
      <c r="S38" s="91">
        <f t="shared" si="7"/>
        <v>4.0000000000000002E-4</v>
      </c>
      <c r="T38" s="91">
        <f t="shared" si="8"/>
        <v>0</v>
      </c>
      <c r="U38" s="27" t="s">
        <v>50</v>
      </c>
      <c r="V38" s="30" t="s">
        <v>68</v>
      </c>
      <c r="W38" s="31" t="s">
        <v>68</v>
      </c>
      <c r="X38" s="22"/>
      <c r="Y38" s="41" t="s">
        <v>82</v>
      </c>
      <c r="Z38" s="41" t="s">
        <v>82</v>
      </c>
      <c r="AA38" s="41" t="s">
        <v>82</v>
      </c>
      <c r="AB38" s="28"/>
    </row>
    <row r="39" spans="1:28" s="29" customFormat="1" ht="15" customHeight="1" x14ac:dyDescent="0.25">
      <c r="A39" s="14">
        <v>16</v>
      </c>
      <c r="B39" s="15">
        <v>46083</v>
      </c>
      <c r="C39" s="15">
        <f t="shared" ref="C39:C54" si="10">B39+8</f>
        <v>46091</v>
      </c>
      <c r="D39" s="14">
        <v>14392</v>
      </c>
      <c r="E39" s="16" t="s">
        <v>663</v>
      </c>
      <c r="F39" s="40" t="s">
        <v>664</v>
      </c>
      <c r="G39" s="17" t="s">
        <v>75</v>
      </c>
      <c r="H39" s="18" t="s">
        <v>133</v>
      </c>
      <c r="I39" s="19" t="s">
        <v>198</v>
      </c>
      <c r="J39" s="20">
        <v>46045</v>
      </c>
      <c r="K39" s="20">
        <v>46069</v>
      </c>
      <c r="L39" s="21">
        <v>170000</v>
      </c>
      <c r="M39" s="22">
        <f t="shared" si="5"/>
        <v>0</v>
      </c>
      <c r="N39" s="23">
        <v>0</v>
      </c>
      <c r="O39" s="23">
        <v>0</v>
      </c>
      <c r="P39" s="24">
        <f t="shared" si="6"/>
        <v>170000</v>
      </c>
      <c r="Q39" s="25">
        <v>0</v>
      </c>
      <c r="R39" s="26">
        <v>150000</v>
      </c>
      <c r="S39" s="91">
        <f t="shared" si="7"/>
        <v>1.1333333333333333</v>
      </c>
      <c r="T39" s="91">
        <f t="shared" si="8"/>
        <v>0</v>
      </c>
      <c r="U39" s="27" t="s">
        <v>56</v>
      </c>
      <c r="V39" s="30" t="s">
        <v>59</v>
      </c>
      <c r="W39" s="31">
        <v>46080</v>
      </c>
      <c r="X39" s="22"/>
      <c r="Y39" s="19" t="s">
        <v>52</v>
      </c>
      <c r="Z39" s="19" t="s">
        <v>52</v>
      </c>
      <c r="AA39" s="19" t="s">
        <v>52</v>
      </c>
      <c r="AB39" s="28"/>
    </row>
    <row r="40" spans="1:28" s="29" customFormat="1" ht="15" customHeight="1" x14ac:dyDescent="0.25">
      <c r="A40" s="14">
        <v>17</v>
      </c>
      <c r="B40" s="15">
        <v>46080</v>
      </c>
      <c r="C40" s="15">
        <f t="shared" si="10"/>
        <v>46088</v>
      </c>
      <c r="D40" s="14">
        <v>14355</v>
      </c>
      <c r="E40" s="16" t="s">
        <v>232</v>
      </c>
      <c r="F40" s="40" t="s">
        <v>233</v>
      </c>
      <c r="G40" s="17" t="s">
        <v>75</v>
      </c>
      <c r="H40" s="18" t="s">
        <v>542</v>
      </c>
      <c r="I40" s="19" t="s">
        <v>104</v>
      </c>
      <c r="J40" s="20">
        <v>46036</v>
      </c>
      <c r="K40" s="20">
        <v>46071</v>
      </c>
      <c r="L40" s="21">
        <v>600000</v>
      </c>
      <c r="M40" s="22">
        <f t="shared" si="5"/>
        <v>450000</v>
      </c>
      <c r="N40" s="23">
        <v>450000</v>
      </c>
      <c r="O40" s="23">
        <v>0</v>
      </c>
      <c r="P40" s="24">
        <f t="shared" si="6"/>
        <v>150000</v>
      </c>
      <c r="Q40" s="25">
        <v>0</v>
      </c>
      <c r="R40" s="26">
        <v>150000</v>
      </c>
      <c r="S40" s="91">
        <f t="shared" si="7"/>
        <v>1</v>
      </c>
      <c r="T40" s="91">
        <f t="shared" si="8"/>
        <v>0</v>
      </c>
      <c r="U40" s="27" t="s">
        <v>50</v>
      </c>
      <c r="V40" s="19" t="s">
        <v>51</v>
      </c>
      <c r="W40" s="20">
        <v>46059</v>
      </c>
      <c r="X40" s="22"/>
      <c r="Y40" s="19" t="s">
        <v>52</v>
      </c>
      <c r="Z40" s="19" t="s">
        <v>52</v>
      </c>
      <c r="AA40" s="19" t="s">
        <v>52</v>
      </c>
      <c r="AB40" s="28"/>
    </row>
    <row r="41" spans="1:28" s="29" customFormat="1" ht="15" customHeight="1" x14ac:dyDescent="0.25">
      <c r="A41" s="14">
        <v>18</v>
      </c>
      <c r="B41" s="15"/>
      <c r="C41" s="15"/>
      <c r="D41" s="121">
        <v>14304</v>
      </c>
      <c r="E41" s="117" t="s">
        <v>430</v>
      </c>
      <c r="F41" s="119" t="s">
        <v>431</v>
      </c>
      <c r="G41" s="17" t="s">
        <v>75</v>
      </c>
      <c r="H41" s="18" t="s">
        <v>542</v>
      </c>
      <c r="I41" s="19" t="s">
        <v>70</v>
      </c>
      <c r="J41" s="20">
        <v>46031</v>
      </c>
      <c r="K41" s="20">
        <v>46072</v>
      </c>
      <c r="L41" s="21">
        <v>2000000</v>
      </c>
      <c r="M41" s="22">
        <f t="shared" si="5"/>
        <v>2013000</v>
      </c>
      <c r="N41" s="23">
        <v>2013000</v>
      </c>
      <c r="O41" s="23"/>
      <c r="P41" s="24">
        <f t="shared" si="6"/>
        <v>-13000</v>
      </c>
      <c r="Q41" s="25">
        <v>0</v>
      </c>
      <c r="R41" s="26">
        <v>150000</v>
      </c>
      <c r="S41" s="91">
        <f t="shared" si="7"/>
        <v>0</v>
      </c>
      <c r="T41" s="91">
        <f t="shared" si="8"/>
        <v>0</v>
      </c>
      <c r="U41" s="27" t="s">
        <v>50</v>
      </c>
      <c r="V41" s="19" t="s">
        <v>51</v>
      </c>
      <c r="W41" s="20">
        <v>46071</v>
      </c>
      <c r="X41" s="120" t="s">
        <v>1025</v>
      </c>
      <c r="Y41" s="19" t="s">
        <v>52</v>
      </c>
      <c r="Z41" s="19" t="s">
        <v>52</v>
      </c>
      <c r="AA41" s="19" t="s">
        <v>52</v>
      </c>
      <c r="AB41" s="28"/>
    </row>
    <row r="42" spans="1:28" s="29" customFormat="1" ht="15" customHeight="1" x14ac:dyDescent="0.25">
      <c r="A42" s="14">
        <v>19</v>
      </c>
      <c r="B42" s="15">
        <v>46080</v>
      </c>
      <c r="C42" s="15">
        <f t="shared" si="10"/>
        <v>46088</v>
      </c>
      <c r="D42" s="14">
        <v>14356</v>
      </c>
      <c r="E42" s="16" t="s">
        <v>436</v>
      </c>
      <c r="F42" s="40" t="s">
        <v>437</v>
      </c>
      <c r="G42" s="17" t="s">
        <v>75</v>
      </c>
      <c r="H42" s="18" t="s">
        <v>57</v>
      </c>
      <c r="I42" s="19" t="s">
        <v>94</v>
      </c>
      <c r="J42" s="20">
        <v>46036</v>
      </c>
      <c r="K42" s="20">
        <v>46078</v>
      </c>
      <c r="L42" s="21">
        <v>750000</v>
      </c>
      <c r="M42" s="22">
        <f t="shared" si="5"/>
        <v>759000</v>
      </c>
      <c r="N42" s="23">
        <v>750000</v>
      </c>
      <c r="O42" s="23">
        <v>9000</v>
      </c>
      <c r="P42" s="24">
        <f t="shared" si="6"/>
        <v>0</v>
      </c>
      <c r="Q42" s="25">
        <v>0</v>
      </c>
      <c r="R42" s="26">
        <v>150000</v>
      </c>
      <c r="S42" s="91">
        <f t="shared" si="7"/>
        <v>0</v>
      </c>
      <c r="T42" s="91">
        <f t="shared" si="8"/>
        <v>0</v>
      </c>
      <c r="U42" s="27" t="s">
        <v>50</v>
      </c>
      <c r="V42" s="19" t="s">
        <v>51</v>
      </c>
      <c r="W42" s="20">
        <v>46052</v>
      </c>
      <c r="X42" s="113" t="s">
        <v>1188</v>
      </c>
      <c r="Y42" s="19" t="s">
        <v>52</v>
      </c>
      <c r="Z42" s="19" t="s">
        <v>52</v>
      </c>
      <c r="AA42" s="19" t="s">
        <v>52</v>
      </c>
      <c r="AB42" s="28"/>
    </row>
    <row r="43" spans="1:28" s="29" customFormat="1" ht="15" customHeight="1" x14ac:dyDescent="0.25">
      <c r="A43" s="14">
        <v>20</v>
      </c>
      <c r="B43" s="15">
        <v>46080</v>
      </c>
      <c r="C43" s="15">
        <f t="shared" si="10"/>
        <v>46088</v>
      </c>
      <c r="D43" s="14">
        <v>14349</v>
      </c>
      <c r="E43" s="16" t="s">
        <v>459</v>
      </c>
      <c r="F43" s="40" t="s">
        <v>460</v>
      </c>
      <c r="G43" s="17" t="s">
        <v>75</v>
      </c>
      <c r="H43" s="18" t="s">
        <v>78</v>
      </c>
      <c r="I43" s="19" t="s">
        <v>79</v>
      </c>
      <c r="J43" s="20">
        <v>46037</v>
      </c>
      <c r="K43" s="20">
        <v>46078</v>
      </c>
      <c r="L43" s="21">
        <v>300000</v>
      </c>
      <c r="M43" s="22">
        <f t="shared" si="5"/>
        <v>0</v>
      </c>
      <c r="N43" s="23">
        <v>0</v>
      </c>
      <c r="O43" s="23">
        <v>0</v>
      </c>
      <c r="P43" s="24">
        <f t="shared" si="6"/>
        <v>300000</v>
      </c>
      <c r="Q43" s="25">
        <v>0</v>
      </c>
      <c r="R43" s="26">
        <v>96000</v>
      </c>
      <c r="S43" s="91">
        <f t="shared" si="7"/>
        <v>3.125</v>
      </c>
      <c r="T43" s="91">
        <f t="shared" si="8"/>
        <v>0</v>
      </c>
      <c r="U43" s="27" t="s">
        <v>56</v>
      </c>
      <c r="V43" s="30" t="s">
        <v>59</v>
      </c>
      <c r="W43" s="31">
        <v>46071</v>
      </c>
      <c r="X43" s="22"/>
      <c r="Y43" s="19" t="s">
        <v>52</v>
      </c>
      <c r="Z43" s="19" t="s">
        <v>52</v>
      </c>
      <c r="AA43" s="19" t="s">
        <v>52</v>
      </c>
      <c r="AB43" s="28"/>
    </row>
    <row r="44" spans="1:28" s="29" customFormat="1" ht="15" customHeight="1" x14ac:dyDescent="0.25">
      <c r="A44" s="14">
        <v>21</v>
      </c>
      <c r="B44" s="15">
        <v>46083</v>
      </c>
      <c r="C44" s="15">
        <f t="shared" si="10"/>
        <v>46091</v>
      </c>
      <c r="D44" s="14">
        <v>14418</v>
      </c>
      <c r="E44" s="16" t="s">
        <v>216</v>
      </c>
      <c r="F44" s="40" t="s">
        <v>217</v>
      </c>
      <c r="G44" s="17" t="s">
        <v>75</v>
      </c>
      <c r="H44" s="18" t="s">
        <v>542</v>
      </c>
      <c r="I44" s="19" t="s">
        <v>104</v>
      </c>
      <c r="J44" s="20">
        <v>46048</v>
      </c>
      <c r="K44" s="20">
        <v>46078</v>
      </c>
      <c r="L44" s="21">
        <v>300000</v>
      </c>
      <c r="M44" s="22">
        <f t="shared" si="5"/>
        <v>0</v>
      </c>
      <c r="N44" s="23">
        <v>0</v>
      </c>
      <c r="O44" s="23">
        <v>0</v>
      </c>
      <c r="P44" s="24">
        <f t="shared" si="6"/>
        <v>300000</v>
      </c>
      <c r="Q44" s="25">
        <v>0</v>
      </c>
      <c r="R44" s="26">
        <v>150000</v>
      </c>
      <c r="S44" s="91">
        <f t="shared" si="7"/>
        <v>2</v>
      </c>
      <c r="T44" s="91">
        <f t="shared" si="8"/>
        <v>0</v>
      </c>
      <c r="U44" s="27" t="s">
        <v>50</v>
      </c>
      <c r="V44" s="30" t="s">
        <v>59</v>
      </c>
      <c r="W44" s="31">
        <v>46071</v>
      </c>
      <c r="X44" s="22"/>
      <c r="Y44" s="19" t="s">
        <v>52</v>
      </c>
      <c r="Z44" s="19" t="s">
        <v>52</v>
      </c>
      <c r="AA44" s="19" t="s">
        <v>52</v>
      </c>
      <c r="AB44" s="28"/>
    </row>
    <row r="45" spans="1:28" s="29" customFormat="1" ht="15" customHeight="1" x14ac:dyDescent="0.25">
      <c r="A45" s="14">
        <v>22</v>
      </c>
      <c r="B45" s="15">
        <v>46080</v>
      </c>
      <c r="C45" s="15">
        <f t="shared" si="10"/>
        <v>46088</v>
      </c>
      <c r="D45" s="14">
        <v>14417</v>
      </c>
      <c r="E45" s="16" t="s">
        <v>413</v>
      </c>
      <c r="F45" s="40" t="s">
        <v>414</v>
      </c>
      <c r="G45" s="17" t="s">
        <v>75</v>
      </c>
      <c r="H45" s="18" t="s">
        <v>542</v>
      </c>
      <c r="I45" s="19" t="s">
        <v>104</v>
      </c>
      <c r="J45" s="20">
        <v>46050</v>
      </c>
      <c r="K45" s="20">
        <v>46078</v>
      </c>
      <c r="L45" s="21">
        <v>1500000</v>
      </c>
      <c r="M45" s="22">
        <f t="shared" si="5"/>
        <v>0</v>
      </c>
      <c r="N45" s="23">
        <v>0</v>
      </c>
      <c r="O45" s="23">
        <v>0</v>
      </c>
      <c r="P45" s="24">
        <f t="shared" si="6"/>
        <v>1500000</v>
      </c>
      <c r="Q45" s="25">
        <v>0</v>
      </c>
      <c r="R45" s="26">
        <v>150000</v>
      </c>
      <c r="S45" s="91">
        <f t="shared" si="7"/>
        <v>10</v>
      </c>
      <c r="T45" s="91">
        <f t="shared" si="8"/>
        <v>0</v>
      </c>
      <c r="U45" s="27" t="s">
        <v>50</v>
      </c>
      <c r="V45" s="30" t="s">
        <v>59</v>
      </c>
      <c r="W45" s="31">
        <v>46071</v>
      </c>
      <c r="X45" s="22"/>
      <c r="Y45" s="19" t="s">
        <v>52</v>
      </c>
      <c r="Z45" s="19" t="s">
        <v>52</v>
      </c>
      <c r="AA45" s="19" t="s">
        <v>52</v>
      </c>
      <c r="AB45" s="28"/>
    </row>
    <row r="46" spans="1:28" s="29" customFormat="1" ht="15" customHeight="1" x14ac:dyDescent="0.25">
      <c r="A46" s="14">
        <v>23</v>
      </c>
      <c r="B46" s="15">
        <v>46080</v>
      </c>
      <c r="C46" s="15">
        <f t="shared" si="10"/>
        <v>46088</v>
      </c>
      <c r="D46" s="14">
        <v>14462</v>
      </c>
      <c r="E46" s="16" t="s">
        <v>953</v>
      </c>
      <c r="F46" s="40" t="s">
        <v>201</v>
      </c>
      <c r="G46" s="17" t="s">
        <v>75</v>
      </c>
      <c r="H46" s="18" t="s">
        <v>57</v>
      </c>
      <c r="I46" s="19" t="s">
        <v>58</v>
      </c>
      <c r="J46" s="20">
        <v>46052</v>
      </c>
      <c r="K46" s="20">
        <v>46080</v>
      </c>
      <c r="L46" s="21">
        <v>600000</v>
      </c>
      <c r="M46" s="22">
        <f t="shared" si="5"/>
        <v>0</v>
      </c>
      <c r="N46" s="23">
        <v>0</v>
      </c>
      <c r="O46" s="23">
        <v>0</v>
      </c>
      <c r="P46" s="24">
        <f t="shared" si="6"/>
        <v>600000</v>
      </c>
      <c r="Q46" s="25">
        <v>0</v>
      </c>
      <c r="R46" s="26">
        <v>150000</v>
      </c>
      <c r="S46" s="91">
        <f t="shared" si="7"/>
        <v>4</v>
      </c>
      <c r="T46" s="91">
        <f t="shared" si="8"/>
        <v>0</v>
      </c>
      <c r="U46" s="27" t="s">
        <v>50</v>
      </c>
      <c r="V46" s="30" t="s">
        <v>59</v>
      </c>
      <c r="W46" s="31">
        <v>46071</v>
      </c>
      <c r="X46" s="22"/>
      <c r="Y46" s="19" t="s">
        <v>52</v>
      </c>
      <c r="Z46" s="19" t="s">
        <v>52</v>
      </c>
      <c r="AA46" s="19" t="s">
        <v>52</v>
      </c>
      <c r="AB46" s="28"/>
    </row>
    <row r="47" spans="1:28" s="29" customFormat="1" ht="15" customHeight="1" x14ac:dyDescent="0.25">
      <c r="A47" s="14">
        <v>24</v>
      </c>
      <c r="B47" s="15">
        <v>46090</v>
      </c>
      <c r="C47" s="15">
        <f t="shared" si="10"/>
        <v>46098</v>
      </c>
      <c r="D47" s="14">
        <v>14485</v>
      </c>
      <c r="E47" s="16" t="s">
        <v>353</v>
      </c>
      <c r="F47" s="40" t="s">
        <v>354</v>
      </c>
      <c r="G47" s="17" t="s">
        <v>75</v>
      </c>
      <c r="H47" s="18" t="s">
        <v>78</v>
      </c>
      <c r="I47" s="19" t="s">
        <v>79</v>
      </c>
      <c r="J47" s="20">
        <v>46056</v>
      </c>
      <c r="K47" s="20">
        <v>46084</v>
      </c>
      <c r="L47" s="21">
        <v>2000000</v>
      </c>
      <c r="M47" s="22">
        <f t="shared" si="5"/>
        <v>0</v>
      </c>
      <c r="N47" s="23">
        <v>0</v>
      </c>
      <c r="O47" s="23">
        <v>0</v>
      </c>
      <c r="P47" s="24">
        <f t="shared" si="6"/>
        <v>2000000</v>
      </c>
      <c r="Q47" s="25">
        <v>0</v>
      </c>
      <c r="R47" s="26">
        <v>84000</v>
      </c>
      <c r="S47" s="91">
        <f t="shared" si="7"/>
        <v>23.80952380952381</v>
      </c>
      <c r="T47" s="91">
        <f t="shared" si="8"/>
        <v>0</v>
      </c>
      <c r="U47" s="27" t="s">
        <v>56</v>
      </c>
      <c r="V47" s="30" t="s">
        <v>59</v>
      </c>
      <c r="W47" s="31">
        <v>46076</v>
      </c>
      <c r="X47" s="22"/>
      <c r="Y47" s="19" t="s">
        <v>52</v>
      </c>
      <c r="Z47" s="19" t="s">
        <v>52</v>
      </c>
      <c r="AA47" s="19" t="s">
        <v>52</v>
      </c>
      <c r="AB47" s="28"/>
    </row>
    <row r="48" spans="1:28" s="29" customFormat="1" ht="15" customHeight="1" x14ac:dyDescent="0.25">
      <c r="A48" s="14">
        <v>25</v>
      </c>
      <c r="B48" s="15">
        <v>46087</v>
      </c>
      <c r="C48" s="15">
        <f t="shared" si="10"/>
        <v>46095</v>
      </c>
      <c r="D48" s="14">
        <v>14457</v>
      </c>
      <c r="E48" s="16" t="s">
        <v>438</v>
      </c>
      <c r="F48" s="40" t="s">
        <v>439</v>
      </c>
      <c r="G48" s="17" t="s">
        <v>75</v>
      </c>
      <c r="H48" s="18" t="s">
        <v>78</v>
      </c>
      <c r="I48" s="19" t="s">
        <v>79</v>
      </c>
      <c r="J48" s="20">
        <v>46051</v>
      </c>
      <c r="K48" s="20">
        <v>46086</v>
      </c>
      <c r="L48" s="21">
        <v>70000</v>
      </c>
      <c r="M48" s="22">
        <f t="shared" si="5"/>
        <v>0</v>
      </c>
      <c r="N48" s="23">
        <v>0</v>
      </c>
      <c r="O48" s="23">
        <v>0</v>
      </c>
      <c r="P48" s="24">
        <f t="shared" si="6"/>
        <v>70000</v>
      </c>
      <c r="Q48" s="25">
        <v>0</v>
      </c>
      <c r="R48" s="26">
        <v>126000</v>
      </c>
      <c r="S48" s="91">
        <f t="shared" si="7"/>
        <v>0.55555555555555558</v>
      </c>
      <c r="T48" s="91">
        <f t="shared" si="8"/>
        <v>0</v>
      </c>
      <c r="U48" s="27" t="s">
        <v>56</v>
      </c>
      <c r="V48" s="30" t="s">
        <v>59</v>
      </c>
      <c r="W48" s="31">
        <v>46071</v>
      </c>
      <c r="X48" s="22"/>
      <c r="Y48" s="19" t="s">
        <v>52</v>
      </c>
      <c r="Z48" s="19" t="s">
        <v>52</v>
      </c>
      <c r="AA48" s="19" t="s">
        <v>52</v>
      </c>
      <c r="AB48" s="28"/>
    </row>
    <row r="49" spans="1:28" s="29" customFormat="1" ht="15" customHeight="1" x14ac:dyDescent="0.25">
      <c r="A49" s="14">
        <v>26</v>
      </c>
      <c r="B49" s="15">
        <v>46100</v>
      </c>
      <c r="C49" s="15">
        <f t="shared" si="10"/>
        <v>46108</v>
      </c>
      <c r="D49" s="14">
        <v>14491</v>
      </c>
      <c r="E49" s="16" t="s">
        <v>1124</v>
      </c>
      <c r="F49" s="40" t="s">
        <v>1125</v>
      </c>
      <c r="G49" s="17" t="s">
        <v>75</v>
      </c>
      <c r="H49" s="18" t="s">
        <v>78</v>
      </c>
      <c r="I49" s="19" t="s">
        <v>79</v>
      </c>
      <c r="J49" s="20">
        <v>46058</v>
      </c>
      <c r="K49" s="20">
        <v>46086</v>
      </c>
      <c r="L49" s="21">
        <v>2100000</v>
      </c>
      <c r="M49" s="22">
        <f t="shared" si="5"/>
        <v>0</v>
      </c>
      <c r="N49" s="23">
        <v>0</v>
      </c>
      <c r="O49" s="23">
        <v>0</v>
      </c>
      <c r="P49" s="24">
        <f t="shared" si="6"/>
        <v>2100000</v>
      </c>
      <c r="Q49" s="25">
        <v>0</v>
      </c>
      <c r="R49" s="26">
        <v>90000</v>
      </c>
      <c r="S49" s="91">
        <f t="shared" si="7"/>
        <v>23.333333333333332</v>
      </c>
      <c r="T49" s="91">
        <f t="shared" si="8"/>
        <v>0</v>
      </c>
      <c r="U49" s="27" t="s">
        <v>56</v>
      </c>
      <c r="V49" s="30" t="s">
        <v>59</v>
      </c>
      <c r="W49" s="31">
        <v>46084</v>
      </c>
      <c r="X49" s="113" t="s">
        <v>492</v>
      </c>
      <c r="Y49" s="41" t="s">
        <v>82</v>
      </c>
      <c r="Z49" s="41" t="s">
        <v>82</v>
      </c>
      <c r="AA49" s="41" t="s">
        <v>82</v>
      </c>
      <c r="AB49" s="28"/>
    </row>
    <row r="50" spans="1:28" s="29" customFormat="1" ht="15" customHeight="1" x14ac:dyDescent="0.25">
      <c r="A50" s="14">
        <v>27</v>
      </c>
      <c r="B50" s="15">
        <v>46080</v>
      </c>
      <c r="C50" s="15">
        <f t="shared" si="10"/>
        <v>46088</v>
      </c>
      <c r="D50" s="14">
        <v>14494</v>
      </c>
      <c r="E50" s="16" t="s">
        <v>396</v>
      </c>
      <c r="F50" s="40" t="s">
        <v>397</v>
      </c>
      <c r="G50" s="17" t="s">
        <v>75</v>
      </c>
      <c r="H50" s="18" t="s">
        <v>1127</v>
      </c>
      <c r="I50" s="19" t="s">
        <v>94</v>
      </c>
      <c r="J50" s="20">
        <v>46058</v>
      </c>
      <c r="K50" s="20">
        <v>46086</v>
      </c>
      <c r="L50" s="21">
        <v>1250000</v>
      </c>
      <c r="M50" s="22">
        <f t="shared" si="5"/>
        <v>0</v>
      </c>
      <c r="N50" s="23">
        <v>0</v>
      </c>
      <c r="O50" s="23">
        <v>0</v>
      </c>
      <c r="P50" s="24">
        <f t="shared" si="6"/>
        <v>1250000</v>
      </c>
      <c r="Q50" s="25">
        <v>0</v>
      </c>
      <c r="R50" s="26">
        <v>150000</v>
      </c>
      <c r="S50" s="91">
        <f t="shared" si="7"/>
        <v>8.3333333333333339</v>
      </c>
      <c r="T50" s="91">
        <f t="shared" si="8"/>
        <v>0</v>
      </c>
      <c r="U50" s="27" t="s">
        <v>50</v>
      </c>
      <c r="V50" s="30" t="s">
        <v>59</v>
      </c>
      <c r="W50" s="31">
        <v>46073</v>
      </c>
      <c r="X50" s="113" t="s">
        <v>492</v>
      </c>
      <c r="Y50" s="19" t="s">
        <v>52</v>
      </c>
      <c r="Z50" s="19" t="s">
        <v>52</v>
      </c>
      <c r="AA50" s="19" t="s">
        <v>52</v>
      </c>
      <c r="AB50" s="28"/>
    </row>
    <row r="51" spans="1:28" s="29" customFormat="1" ht="15" customHeight="1" x14ac:dyDescent="0.25">
      <c r="A51" s="14">
        <v>28</v>
      </c>
      <c r="B51" s="15">
        <v>46090</v>
      </c>
      <c r="C51" s="15">
        <f t="shared" si="10"/>
        <v>46098</v>
      </c>
      <c r="D51" s="14">
        <v>14499</v>
      </c>
      <c r="E51" s="16" t="s">
        <v>295</v>
      </c>
      <c r="F51" s="40" t="s">
        <v>296</v>
      </c>
      <c r="G51" s="17" t="s">
        <v>75</v>
      </c>
      <c r="H51" s="18" t="s">
        <v>542</v>
      </c>
      <c r="I51" s="19" t="s">
        <v>1049</v>
      </c>
      <c r="J51" s="20">
        <v>46059</v>
      </c>
      <c r="K51" s="20">
        <v>46086</v>
      </c>
      <c r="L51" s="21">
        <v>600000</v>
      </c>
      <c r="M51" s="22">
        <f t="shared" si="5"/>
        <v>0</v>
      </c>
      <c r="N51" s="23">
        <v>0</v>
      </c>
      <c r="O51" s="23">
        <v>0</v>
      </c>
      <c r="P51" s="24">
        <f t="shared" si="6"/>
        <v>600000</v>
      </c>
      <c r="Q51" s="25">
        <v>0</v>
      </c>
      <c r="R51" s="26">
        <v>150000</v>
      </c>
      <c r="S51" s="91">
        <f t="shared" si="7"/>
        <v>4</v>
      </c>
      <c r="T51" s="91">
        <f t="shared" si="8"/>
        <v>0</v>
      </c>
      <c r="U51" s="27" t="s">
        <v>50</v>
      </c>
      <c r="V51" s="30" t="s">
        <v>59</v>
      </c>
      <c r="W51" s="31">
        <v>46076</v>
      </c>
      <c r="X51" s="113" t="s">
        <v>492</v>
      </c>
      <c r="Y51" s="19" t="s">
        <v>52</v>
      </c>
      <c r="Z51" s="19" t="s">
        <v>52</v>
      </c>
      <c r="AA51" s="19" t="s">
        <v>52</v>
      </c>
      <c r="AB51" s="28"/>
    </row>
    <row r="52" spans="1:28" s="29" customFormat="1" ht="15" customHeight="1" x14ac:dyDescent="0.25">
      <c r="A52" s="14">
        <v>29</v>
      </c>
      <c r="B52" s="15">
        <v>46087</v>
      </c>
      <c r="C52" s="15">
        <f t="shared" si="10"/>
        <v>46095</v>
      </c>
      <c r="D52" s="14">
        <v>14430</v>
      </c>
      <c r="E52" s="16" t="s">
        <v>375</v>
      </c>
      <c r="F52" s="40" t="s">
        <v>370</v>
      </c>
      <c r="G52" s="17" t="s">
        <v>75</v>
      </c>
      <c r="H52" s="18" t="s">
        <v>78</v>
      </c>
      <c r="I52" s="19" t="s">
        <v>79</v>
      </c>
      <c r="J52" s="20">
        <v>46050</v>
      </c>
      <c r="K52" s="20">
        <v>46087</v>
      </c>
      <c r="L52" s="21">
        <v>500000</v>
      </c>
      <c r="M52" s="22">
        <f t="shared" si="5"/>
        <v>0</v>
      </c>
      <c r="N52" s="23">
        <v>0</v>
      </c>
      <c r="O52" s="23">
        <v>0</v>
      </c>
      <c r="P52" s="24">
        <f t="shared" si="6"/>
        <v>500000</v>
      </c>
      <c r="Q52" s="25">
        <v>0</v>
      </c>
      <c r="R52" s="26">
        <v>210000</v>
      </c>
      <c r="S52" s="91">
        <f t="shared" si="7"/>
        <v>2.3809523809523809</v>
      </c>
      <c r="T52" s="91">
        <f t="shared" si="8"/>
        <v>0</v>
      </c>
      <c r="U52" s="27" t="s">
        <v>56</v>
      </c>
      <c r="V52" s="30" t="s">
        <v>59</v>
      </c>
      <c r="W52" s="31">
        <v>46071</v>
      </c>
      <c r="X52" s="22"/>
      <c r="Y52" s="19" t="s">
        <v>52</v>
      </c>
      <c r="Z52" s="19" t="s">
        <v>52</v>
      </c>
      <c r="AA52" s="19" t="s">
        <v>52</v>
      </c>
      <c r="AB52" s="28"/>
    </row>
    <row r="53" spans="1:28" s="29" customFormat="1" ht="15" customHeight="1" x14ac:dyDescent="0.25">
      <c r="A53" s="14">
        <v>30</v>
      </c>
      <c r="B53" s="15">
        <v>46087</v>
      </c>
      <c r="C53" s="15">
        <f t="shared" si="10"/>
        <v>46095</v>
      </c>
      <c r="D53" s="14">
        <v>14450</v>
      </c>
      <c r="E53" s="16" t="s">
        <v>410</v>
      </c>
      <c r="F53" s="40" t="s">
        <v>411</v>
      </c>
      <c r="G53" s="17" t="s">
        <v>75</v>
      </c>
      <c r="H53" s="18" t="s">
        <v>542</v>
      </c>
      <c r="I53" s="19" t="s">
        <v>104</v>
      </c>
      <c r="J53" s="20">
        <v>46051</v>
      </c>
      <c r="K53" s="20">
        <v>46087</v>
      </c>
      <c r="L53" s="21">
        <v>300000</v>
      </c>
      <c r="M53" s="22">
        <f t="shared" si="5"/>
        <v>0</v>
      </c>
      <c r="N53" s="23">
        <v>0</v>
      </c>
      <c r="O53" s="23">
        <v>0</v>
      </c>
      <c r="P53" s="24">
        <f t="shared" si="6"/>
        <v>300000</v>
      </c>
      <c r="Q53" s="25">
        <v>0</v>
      </c>
      <c r="R53" s="26">
        <v>150000</v>
      </c>
      <c r="S53" s="91">
        <f t="shared" si="7"/>
        <v>2</v>
      </c>
      <c r="T53" s="91">
        <f t="shared" si="8"/>
        <v>0</v>
      </c>
      <c r="U53" s="27" t="s">
        <v>50</v>
      </c>
      <c r="V53" s="30" t="s">
        <v>59</v>
      </c>
      <c r="W53" s="31">
        <v>46071</v>
      </c>
      <c r="X53" s="22"/>
      <c r="Y53" s="19" t="s">
        <v>52</v>
      </c>
      <c r="Z53" s="19" t="s">
        <v>52</v>
      </c>
      <c r="AA53" s="19" t="s">
        <v>52</v>
      </c>
      <c r="AB53" s="28"/>
    </row>
    <row r="54" spans="1:28" s="29" customFormat="1" ht="15" customHeight="1" x14ac:dyDescent="0.25">
      <c r="A54" s="14">
        <v>31</v>
      </c>
      <c r="B54" s="15">
        <v>46087</v>
      </c>
      <c r="C54" s="15">
        <f t="shared" si="10"/>
        <v>46095</v>
      </c>
      <c r="D54" s="14">
        <v>14446</v>
      </c>
      <c r="E54" s="16" t="s">
        <v>216</v>
      </c>
      <c r="F54" s="40" t="s">
        <v>217</v>
      </c>
      <c r="G54" s="17" t="s">
        <v>75</v>
      </c>
      <c r="H54" s="18" t="s">
        <v>542</v>
      </c>
      <c r="I54" s="19" t="s">
        <v>104</v>
      </c>
      <c r="J54" s="20">
        <v>46051</v>
      </c>
      <c r="K54" s="20">
        <v>46087</v>
      </c>
      <c r="L54" s="21">
        <v>300000</v>
      </c>
      <c r="M54" s="22">
        <f t="shared" si="5"/>
        <v>0</v>
      </c>
      <c r="N54" s="23">
        <v>0</v>
      </c>
      <c r="O54" s="23">
        <v>0</v>
      </c>
      <c r="P54" s="24">
        <f t="shared" si="6"/>
        <v>300000</v>
      </c>
      <c r="Q54" s="25">
        <v>0</v>
      </c>
      <c r="R54" s="26">
        <v>150000</v>
      </c>
      <c r="S54" s="91">
        <f t="shared" si="7"/>
        <v>2</v>
      </c>
      <c r="T54" s="91">
        <f t="shared" si="8"/>
        <v>0</v>
      </c>
      <c r="U54" s="27" t="s">
        <v>50</v>
      </c>
      <c r="V54" s="30" t="s">
        <v>59</v>
      </c>
      <c r="W54" s="31">
        <v>46071</v>
      </c>
      <c r="X54" s="22"/>
      <c r="Y54" s="19" t="s">
        <v>52</v>
      </c>
      <c r="Z54" s="19" t="s">
        <v>52</v>
      </c>
      <c r="AA54" s="19" t="s">
        <v>52</v>
      </c>
      <c r="AB54" s="28"/>
    </row>
    <row r="55" spans="1:28" s="29" customFormat="1" ht="15" customHeight="1" x14ac:dyDescent="0.25">
      <c r="A55" s="14">
        <v>32</v>
      </c>
      <c r="B55" s="32">
        <v>46104</v>
      </c>
      <c r="C55" s="32">
        <f t="shared" ref="C55:C62" si="11">B55+8</f>
        <v>46112</v>
      </c>
      <c r="D55" s="14">
        <v>14545</v>
      </c>
      <c r="E55" s="16" t="s">
        <v>1153</v>
      </c>
      <c r="F55" s="40" t="s">
        <v>1154</v>
      </c>
      <c r="G55" s="17" t="s">
        <v>75</v>
      </c>
      <c r="H55" s="18" t="s">
        <v>78</v>
      </c>
      <c r="I55" s="19" t="s">
        <v>79</v>
      </c>
      <c r="J55" s="20">
        <v>46066</v>
      </c>
      <c r="K55" s="20">
        <v>46093</v>
      </c>
      <c r="L55" s="21">
        <v>120000</v>
      </c>
      <c r="M55" s="22">
        <f t="shared" si="5"/>
        <v>0</v>
      </c>
      <c r="N55" s="23">
        <v>0</v>
      </c>
      <c r="O55" s="23">
        <v>0</v>
      </c>
      <c r="P55" s="24">
        <f t="shared" si="6"/>
        <v>120000</v>
      </c>
      <c r="Q55" s="25">
        <v>0</v>
      </c>
      <c r="R55" s="26">
        <v>80000</v>
      </c>
      <c r="S55" s="91">
        <f t="shared" si="7"/>
        <v>1.5</v>
      </c>
      <c r="T55" s="91">
        <f t="shared" si="8"/>
        <v>0</v>
      </c>
      <c r="U55" s="27" t="s">
        <v>56</v>
      </c>
      <c r="V55" s="30" t="s">
        <v>59</v>
      </c>
      <c r="W55" s="31">
        <v>46087</v>
      </c>
      <c r="X55" s="22"/>
      <c r="Y55" s="41" t="s">
        <v>52</v>
      </c>
      <c r="Z55" s="41" t="s">
        <v>52</v>
      </c>
      <c r="AA55" s="41" t="s">
        <v>52</v>
      </c>
      <c r="AB55" s="28"/>
    </row>
    <row r="56" spans="1:28" s="29" customFormat="1" ht="15" customHeight="1" x14ac:dyDescent="0.25">
      <c r="A56" s="14">
        <v>33</v>
      </c>
      <c r="B56" s="32">
        <v>46104</v>
      </c>
      <c r="C56" s="32">
        <f t="shared" si="11"/>
        <v>46112</v>
      </c>
      <c r="D56" s="14">
        <v>14546</v>
      </c>
      <c r="E56" s="16" t="s">
        <v>1155</v>
      </c>
      <c r="F56" s="40" t="s">
        <v>1156</v>
      </c>
      <c r="G56" s="17" t="s">
        <v>75</v>
      </c>
      <c r="H56" s="18" t="s">
        <v>78</v>
      </c>
      <c r="I56" s="19" t="s">
        <v>79</v>
      </c>
      <c r="J56" s="20">
        <v>46066</v>
      </c>
      <c r="K56" s="20">
        <v>46093</v>
      </c>
      <c r="L56" s="21">
        <v>70000</v>
      </c>
      <c r="M56" s="22">
        <f t="shared" si="5"/>
        <v>0</v>
      </c>
      <c r="N56" s="23">
        <v>0</v>
      </c>
      <c r="O56" s="23">
        <v>0</v>
      </c>
      <c r="P56" s="24">
        <f t="shared" si="6"/>
        <v>70000</v>
      </c>
      <c r="Q56" s="25">
        <v>0</v>
      </c>
      <c r="R56" s="26">
        <v>84000</v>
      </c>
      <c r="S56" s="91">
        <f t="shared" si="7"/>
        <v>0.83333333333333337</v>
      </c>
      <c r="T56" s="91">
        <f t="shared" si="8"/>
        <v>0</v>
      </c>
      <c r="U56" s="27" t="s">
        <v>56</v>
      </c>
      <c r="V56" s="30" t="s">
        <v>59</v>
      </c>
      <c r="W56" s="31">
        <v>46087</v>
      </c>
      <c r="X56" s="22"/>
      <c r="Y56" s="41" t="s">
        <v>52</v>
      </c>
      <c r="Z56" s="41" t="s">
        <v>52</v>
      </c>
      <c r="AA56" s="41" t="s">
        <v>52</v>
      </c>
      <c r="AB56" s="28"/>
    </row>
    <row r="57" spans="1:28" s="29" customFormat="1" ht="15" customHeight="1" x14ac:dyDescent="0.25">
      <c r="A57" s="14">
        <v>34</v>
      </c>
      <c r="B57" s="32">
        <v>46104</v>
      </c>
      <c r="C57" s="32">
        <f t="shared" si="11"/>
        <v>46112</v>
      </c>
      <c r="D57" s="14">
        <v>14519</v>
      </c>
      <c r="E57" s="16" t="s">
        <v>1163</v>
      </c>
      <c r="F57" s="40" t="s">
        <v>1164</v>
      </c>
      <c r="G57" s="17" t="s">
        <v>75</v>
      </c>
      <c r="H57" s="18" t="s">
        <v>54</v>
      </c>
      <c r="I57" s="19" t="s">
        <v>85</v>
      </c>
      <c r="J57" s="20">
        <v>46070</v>
      </c>
      <c r="K57" s="20">
        <v>46097</v>
      </c>
      <c r="L57" s="21">
        <v>100000</v>
      </c>
      <c r="M57" s="22">
        <f t="shared" si="5"/>
        <v>0</v>
      </c>
      <c r="N57" s="23">
        <v>0</v>
      </c>
      <c r="O57" s="23">
        <v>0</v>
      </c>
      <c r="P57" s="24">
        <f t="shared" si="6"/>
        <v>100000</v>
      </c>
      <c r="Q57" s="25">
        <v>0</v>
      </c>
      <c r="R57" s="26">
        <v>80000</v>
      </c>
      <c r="S57" s="91">
        <f t="shared" si="7"/>
        <v>1.25</v>
      </c>
      <c r="T57" s="91">
        <f t="shared" si="8"/>
        <v>0</v>
      </c>
      <c r="U57" s="27" t="s">
        <v>56</v>
      </c>
      <c r="V57" s="30" t="s">
        <v>59</v>
      </c>
      <c r="W57" s="31">
        <v>46087</v>
      </c>
      <c r="X57" s="22"/>
      <c r="Y57" s="41" t="s">
        <v>52</v>
      </c>
      <c r="Z57" s="41" t="s">
        <v>52</v>
      </c>
      <c r="AA57" s="41" t="s">
        <v>52</v>
      </c>
      <c r="AB57" s="28"/>
    </row>
    <row r="58" spans="1:28" s="29" customFormat="1" ht="15" customHeight="1" x14ac:dyDescent="0.25">
      <c r="A58" s="14">
        <v>35</v>
      </c>
      <c r="B58" s="15">
        <v>46083</v>
      </c>
      <c r="C58" s="15">
        <f t="shared" si="11"/>
        <v>46091</v>
      </c>
      <c r="D58" s="14">
        <v>14481</v>
      </c>
      <c r="E58" s="16" t="s">
        <v>1115</v>
      </c>
      <c r="F58" s="40" t="s">
        <v>1116</v>
      </c>
      <c r="G58" s="17" t="s">
        <v>75</v>
      </c>
      <c r="H58" s="18" t="s">
        <v>78</v>
      </c>
      <c r="I58" s="19" t="s">
        <v>79</v>
      </c>
      <c r="J58" s="20">
        <v>46056</v>
      </c>
      <c r="K58" s="20">
        <v>46098</v>
      </c>
      <c r="L58" s="21">
        <v>200000</v>
      </c>
      <c r="M58" s="22">
        <f t="shared" si="5"/>
        <v>0</v>
      </c>
      <c r="N58" s="23">
        <v>0</v>
      </c>
      <c r="O58" s="23">
        <v>0</v>
      </c>
      <c r="P58" s="24">
        <f t="shared" si="6"/>
        <v>200000</v>
      </c>
      <c r="Q58" s="25">
        <v>0</v>
      </c>
      <c r="R58" s="26">
        <v>84000</v>
      </c>
      <c r="S58" s="91">
        <f t="shared" si="7"/>
        <v>2.3809523809523809</v>
      </c>
      <c r="T58" s="91">
        <f t="shared" si="8"/>
        <v>0</v>
      </c>
      <c r="U58" s="27" t="s">
        <v>56</v>
      </c>
      <c r="V58" s="30" t="s">
        <v>59</v>
      </c>
      <c r="W58" s="31">
        <v>46076</v>
      </c>
      <c r="X58" s="22"/>
      <c r="Y58" s="19" t="s">
        <v>52</v>
      </c>
      <c r="Z58" s="41" t="s">
        <v>52</v>
      </c>
      <c r="AA58" s="41" t="s">
        <v>52</v>
      </c>
      <c r="AB58" s="28"/>
    </row>
    <row r="59" spans="1:28" s="29" customFormat="1" ht="15" customHeight="1" x14ac:dyDescent="0.25">
      <c r="A59" s="14">
        <v>36</v>
      </c>
      <c r="B59" s="15">
        <v>46097</v>
      </c>
      <c r="C59" s="15">
        <f t="shared" si="11"/>
        <v>46105</v>
      </c>
      <c r="D59" s="14">
        <v>13994</v>
      </c>
      <c r="E59" s="16" t="s">
        <v>918</v>
      </c>
      <c r="F59" s="40" t="s">
        <v>474</v>
      </c>
      <c r="G59" s="17" t="s">
        <v>75</v>
      </c>
      <c r="H59" s="18" t="s">
        <v>57</v>
      </c>
      <c r="I59" s="19" t="s">
        <v>58</v>
      </c>
      <c r="J59" s="20">
        <v>46062</v>
      </c>
      <c r="K59" s="20">
        <v>46100</v>
      </c>
      <c r="L59" s="21">
        <v>100000</v>
      </c>
      <c r="M59" s="22">
        <f t="shared" si="5"/>
        <v>0</v>
      </c>
      <c r="N59" s="23">
        <v>0</v>
      </c>
      <c r="O59" s="23">
        <v>0</v>
      </c>
      <c r="P59" s="24">
        <f t="shared" si="6"/>
        <v>100000</v>
      </c>
      <c r="Q59" s="25">
        <v>0</v>
      </c>
      <c r="R59" s="26">
        <v>150000</v>
      </c>
      <c r="S59" s="91">
        <f t="shared" si="7"/>
        <v>0.66666666666666663</v>
      </c>
      <c r="T59" s="91">
        <f t="shared" si="8"/>
        <v>0</v>
      </c>
      <c r="U59" s="27" t="s">
        <v>50</v>
      </c>
      <c r="V59" s="30" t="s">
        <v>59</v>
      </c>
      <c r="W59" s="31">
        <v>46080</v>
      </c>
      <c r="X59" s="113" t="s">
        <v>521</v>
      </c>
      <c r="Y59" s="19" t="s">
        <v>52</v>
      </c>
      <c r="Z59" s="19" t="s">
        <v>52</v>
      </c>
      <c r="AA59" s="19" t="s">
        <v>52</v>
      </c>
      <c r="AB59" s="28"/>
    </row>
    <row r="60" spans="1:28" s="29" customFormat="1" ht="15" customHeight="1" x14ac:dyDescent="0.25">
      <c r="A60" s="14">
        <v>37</v>
      </c>
      <c r="B60" s="15">
        <v>46093</v>
      </c>
      <c r="C60" s="15">
        <f t="shared" si="11"/>
        <v>46101</v>
      </c>
      <c r="D60" s="14">
        <v>14523</v>
      </c>
      <c r="E60" s="16" t="s">
        <v>342</v>
      </c>
      <c r="F60" s="40" t="s">
        <v>343</v>
      </c>
      <c r="G60" s="17" t="s">
        <v>75</v>
      </c>
      <c r="H60" s="18" t="s">
        <v>57</v>
      </c>
      <c r="I60" s="19" t="s">
        <v>64</v>
      </c>
      <c r="J60" s="20">
        <v>46062</v>
      </c>
      <c r="K60" s="20">
        <v>46101</v>
      </c>
      <c r="L60" s="21">
        <v>300000</v>
      </c>
      <c r="M60" s="22">
        <f t="shared" si="5"/>
        <v>0</v>
      </c>
      <c r="N60" s="23">
        <v>0</v>
      </c>
      <c r="O60" s="23">
        <v>0</v>
      </c>
      <c r="P60" s="24">
        <f t="shared" si="6"/>
        <v>300000</v>
      </c>
      <c r="Q60" s="25">
        <v>0</v>
      </c>
      <c r="R60" s="26">
        <v>150000</v>
      </c>
      <c r="S60" s="91">
        <f t="shared" si="7"/>
        <v>2</v>
      </c>
      <c r="T60" s="91">
        <f t="shared" si="8"/>
        <v>0</v>
      </c>
      <c r="U60" s="27" t="s">
        <v>50</v>
      </c>
      <c r="V60" s="30" t="s">
        <v>59</v>
      </c>
      <c r="W60" s="31">
        <v>46078</v>
      </c>
      <c r="X60" s="22"/>
      <c r="Y60" s="19" t="s">
        <v>52</v>
      </c>
      <c r="Z60" s="19" t="s">
        <v>52</v>
      </c>
      <c r="AA60" s="19" t="s">
        <v>52</v>
      </c>
      <c r="AB60" s="28"/>
    </row>
    <row r="61" spans="1:28" s="29" customFormat="1" ht="15" customHeight="1" x14ac:dyDescent="0.25">
      <c r="A61" s="14">
        <v>38</v>
      </c>
      <c r="B61" s="32">
        <v>46104</v>
      </c>
      <c r="C61" s="32">
        <f t="shared" si="11"/>
        <v>46112</v>
      </c>
      <c r="D61" s="14">
        <v>14550</v>
      </c>
      <c r="E61" s="16" t="s">
        <v>1161</v>
      </c>
      <c r="F61" s="40" t="s">
        <v>84</v>
      </c>
      <c r="G61" s="17" t="s">
        <v>75</v>
      </c>
      <c r="H61" s="18" t="s">
        <v>162</v>
      </c>
      <c r="I61" s="19" t="s">
        <v>85</v>
      </c>
      <c r="J61" s="20">
        <v>46070</v>
      </c>
      <c r="K61" s="20" t="s">
        <v>65</v>
      </c>
      <c r="L61" s="21">
        <v>250000</v>
      </c>
      <c r="M61" s="22">
        <f t="shared" si="5"/>
        <v>0</v>
      </c>
      <c r="N61" s="23">
        <v>0</v>
      </c>
      <c r="O61" s="23">
        <v>0</v>
      </c>
      <c r="P61" s="24">
        <f t="shared" si="6"/>
        <v>250000</v>
      </c>
      <c r="Q61" s="25">
        <v>0</v>
      </c>
      <c r="R61" s="26">
        <v>80000</v>
      </c>
      <c r="S61" s="91">
        <f t="shared" si="7"/>
        <v>3.125</v>
      </c>
      <c r="T61" s="91">
        <f t="shared" si="8"/>
        <v>0</v>
      </c>
      <c r="U61" s="27" t="s">
        <v>56</v>
      </c>
      <c r="V61" s="30" t="s">
        <v>59</v>
      </c>
      <c r="W61" s="31">
        <v>46087</v>
      </c>
      <c r="X61" s="113" t="s">
        <v>1138</v>
      </c>
      <c r="Y61" s="19" t="s">
        <v>52</v>
      </c>
      <c r="Z61" s="19" t="s">
        <v>52</v>
      </c>
      <c r="AA61" s="19" t="s">
        <v>52</v>
      </c>
      <c r="AB61" s="28"/>
    </row>
    <row r="62" spans="1:28" s="29" customFormat="1" ht="15" customHeight="1" x14ac:dyDescent="0.25">
      <c r="A62" s="14">
        <v>39</v>
      </c>
      <c r="B62" s="32">
        <v>46104</v>
      </c>
      <c r="C62" s="32">
        <f t="shared" si="11"/>
        <v>46112</v>
      </c>
      <c r="D62" s="14">
        <v>14570</v>
      </c>
      <c r="E62" s="16" t="s">
        <v>309</v>
      </c>
      <c r="F62" s="40" t="s">
        <v>301</v>
      </c>
      <c r="G62" s="17" t="s">
        <v>75</v>
      </c>
      <c r="H62" s="18" t="s">
        <v>542</v>
      </c>
      <c r="I62" s="19" t="s">
        <v>302</v>
      </c>
      <c r="J62" s="20">
        <v>46072</v>
      </c>
      <c r="K62" s="20">
        <v>46104</v>
      </c>
      <c r="L62" s="21">
        <v>750000</v>
      </c>
      <c r="M62" s="22">
        <f t="shared" si="5"/>
        <v>0</v>
      </c>
      <c r="N62" s="23">
        <v>0</v>
      </c>
      <c r="O62" s="23">
        <v>0</v>
      </c>
      <c r="P62" s="24">
        <f t="shared" si="6"/>
        <v>750000</v>
      </c>
      <c r="Q62" s="25">
        <v>0</v>
      </c>
      <c r="R62" s="26">
        <v>150000</v>
      </c>
      <c r="S62" s="91">
        <f t="shared" si="7"/>
        <v>5</v>
      </c>
      <c r="T62" s="91">
        <f t="shared" si="8"/>
        <v>0</v>
      </c>
      <c r="U62" s="27" t="s">
        <v>50</v>
      </c>
      <c r="V62" s="30" t="s">
        <v>59</v>
      </c>
      <c r="W62" s="31">
        <v>46087</v>
      </c>
      <c r="X62" s="22"/>
      <c r="Y62" s="19" t="s">
        <v>52</v>
      </c>
      <c r="Z62" s="19" t="s">
        <v>52</v>
      </c>
      <c r="AA62" s="19" t="s">
        <v>52</v>
      </c>
      <c r="AB62" s="28"/>
    </row>
    <row r="63" spans="1:28" s="29" customFormat="1" ht="15" customHeight="1" x14ac:dyDescent="0.25">
      <c r="A63" s="14">
        <v>40</v>
      </c>
      <c r="B63" s="32" t="s">
        <v>68</v>
      </c>
      <c r="C63" s="32" t="s">
        <v>68</v>
      </c>
      <c r="D63" s="14">
        <v>12697</v>
      </c>
      <c r="E63" s="16" t="s">
        <v>125</v>
      </c>
      <c r="F63" s="40" t="s">
        <v>126</v>
      </c>
      <c r="G63" s="17" t="s">
        <v>75</v>
      </c>
      <c r="H63" s="18" t="s">
        <v>57</v>
      </c>
      <c r="I63" s="19" t="s">
        <v>94</v>
      </c>
      <c r="J63" s="20">
        <v>45733</v>
      </c>
      <c r="K63" s="20">
        <v>45751</v>
      </c>
      <c r="L63" s="21">
        <v>350000</v>
      </c>
      <c r="M63" s="22">
        <f t="shared" si="5"/>
        <v>316000</v>
      </c>
      <c r="N63" s="23">
        <v>232000</v>
      </c>
      <c r="O63" s="23">
        <v>84000</v>
      </c>
      <c r="P63" s="24">
        <f t="shared" si="6"/>
        <v>118000</v>
      </c>
      <c r="Q63" s="25">
        <v>0</v>
      </c>
      <c r="R63" s="26">
        <v>50000</v>
      </c>
      <c r="S63" s="91">
        <f t="shared" si="7"/>
        <v>2.36</v>
      </c>
      <c r="T63" s="91">
        <f t="shared" si="8"/>
        <v>0</v>
      </c>
      <c r="U63" s="27" t="s">
        <v>50</v>
      </c>
      <c r="V63" s="19" t="s">
        <v>51</v>
      </c>
      <c r="W63" s="20">
        <v>45771</v>
      </c>
      <c r="X63" s="22" t="s">
        <v>1167</v>
      </c>
      <c r="Y63" s="19" t="s">
        <v>52</v>
      </c>
      <c r="Z63" s="19" t="s">
        <v>52</v>
      </c>
      <c r="AA63" s="19" t="s">
        <v>52</v>
      </c>
      <c r="AB63" s="28"/>
    </row>
    <row r="64" spans="1:28" ht="15" customHeight="1" x14ac:dyDescent="0.25">
      <c r="A64" s="33" t="s">
        <v>71</v>
      </c>
      <c r="B64" s="34"/>
      <c r="C64" s="34"/>
      <c r="D64" s="34"/>
      <c r="E64" s="34"/>
      <c r="F64" s="35"/>
      <c r="G64" s="35"/>
      <c r="H64" s="34"/>
      <c r="I64" s="34"/>
      <c r="J64" s="34"/>
      <c r="K64" s="34"/>
      <c r="L64" s="36"/>
      <c r="M64" s="36"/>
      <c r="N64" s="36"/>
      <c r="O64" s="36"/>
      <c r="P64" s="36">
        <f>SUMIFS($P$5:$P$167,$G$5:$G$167,"Bag Wicket",$P$5:$P$167,"&gt;0")</f>
        <v>17084020</v>
      </c>
      <c r="Q64" s="36">
        <f>SUMIFS($Q$5:$Q$167,$G$5:$G$167,"Bag Wicket",$Q$5:$Q$167,"&gt;0")</f>
        <v>0</v>
      </c>
      <c r="R64" s="36"/>
      <c r="S64" s="92">
        <f>SUMIFS($S$5:$S$167,$G$5:$G$167,"Bag Wicket",$S$5:$S$167,"&gt;0")</f>
        <v>156.0611142857143</v>
      </c>
      <c r="T64" s="92">
        <f>SUMIFS($T$5:$T$167,$G$5:$G$167,"Bag Wicket",$T$5:$T$167,"&gt;0")</f>
        <v>0</v>
      </c>
      <c r="U64" s="37"/>
      <c r="V64" s="38"/>
      <c r="W64" s="38"/>
      <c r="X64" s="38"/>
      <c r="Y64" s="34"/>
      <c r="Z64" s="34"/>
      <c r="AA64" s="39"/>
      <c r="AB64" s="28"/>
    </row>
    <row r="65" spans="1:28" ht="15" customHeight="1" x14ac:dyDescent="0.25">
      <c r="A65" s="137" t="s">
        <v>101</v>
      </c>
      <c r="B65" s="138"/>
      <c r="C65" s="138"/>
      <c r="D65" s="138"/>
      <c r="E65" s="138"/>
      <c r="F65" s="138"/>
      <c r="G65" s="138" t="s">
        <v>101</v>
      </c>
      <c r="H65" s="138"/>
      <c r="I65" s="138"/>
      <c r="J65" s="138"/>
      <c r="K65" s="138"/>
      <c r="L65" s="138"/>
      <c r="M65" s="138"/>
      <c r="N65" s="138"/>
      <c r="O65" s="138"/>
      <c r="P65" s="138"/>
      <c r="Q65" s="138"/>
      <c r="R65" s="138"/>
      <c r="S65" s="138"/>
      <c r="T65" s="138"/>
      <c r="U65" s="138"/>
      <c r="V65" s="138"/>
      <c r="W65" s="138"/>
      <c r="X65" s="138"/>
      <c r="Y65" s="138"/>
      <c r="Z65" s="138"/>
      <c r="AA65" s="140"/>
    </row>
    <row r="66" spans="1:28" s="29" customFormat="1" ht="15" customHeight="1" x14ac:dyDescent="0.25">
      <c r="A66" s="14">
        <v>1</v>
      </c>
      <c r="B66" s="15"/>
      <c r="C66" s="15"/>
      <c r="D66" s="121">
        <v>13569</v>
      </c>
      <c r="E66" s="117" t="s">
        <v>829</v>
      </c>
      <c r="F66" s="118" t="s">
        <v>830</v>
      </c>
      <c r="G66" s="17" t="s">
        <v>102</v>
      </c>
      <c r="H66" s="18" t="s">
        <v>54</v>
      </c>
      <c r="I66" s="19" t="s">
        <v>135</v>
      </c>
      <c r="J66" s="20">
        <v>45917</v>
      </c>
      <c r="K66" s="20">
        <v>45947</v>
      </c>
      <c r="L66" s="21">
        <v>30000</v>
      </c>
      <c r="M66" s="22">
        <f t="shared" ref="M66:M97" si="12">SUM(N66:O66)</f>
        <v>28000</v>
      </c>
      <c r="N66" s="23">
        <v>28000</v>
      </c>
      <c r="O66" s="23"/>
      <c r="P66" s="24">
        <f t="shared" ref="P66:P97" si="13">L66-N66</f>
        <v>2000</v>
      </c>
      <c r="Q66" s="25">
        <v>0</v>
      </c>
      <c r="R66" s="26">
        <v>24000</v>
      </c>
      <c r="S66" s="91">
        <f t="shared" ref="S66:S97" si="14">IF(P66&gt;0,P66/$R66,0)</f>
        <v>8.3333333333333329E-2</v>
      </c>
      <c r="T66" s="91">
        <f t="shared" ref="T66:T97" si="15">IF(Q66&gt;0,Q66/$R66,0)</f>
        <v>0</v>
      </c>
      <c r="U66" s="27" t="s">
        <v>56</v>
      </c>
      <c r="V66" s="30" t="s">
        <v>59</v>
      </c>
      <c r="W66" s="31">
        <v>46071</v>
      </c>
      <c r="X66" s="120" t="s">
        <v>1025</v>
      </c>
      <c r="Y66" s="19" t="s">
        <v>52</v>
      </c>
      <c r="Z66" s="19" t="s">
        <v>52</v>
      </c>
      <c r="AA66" s="19" t="s">
        <v>52</v>
      </c>
      <c r="AB66" s="28"/>
    </row>
    <row r="67" spans="1:28" s="29" customFormat="1" ht="15" customHeight="1" x14ac:dyDescent="0.25">
      <c r="A67" s="14">
        <v>2</v>
      </c>
      <c r="B67" s="15">
        <v>46080</v>
      </c>
      <c r="C67" s="15">
        <f t="shared" ref="C67:C86" si="16">B67+8</f>
        <v>46088</v>
      </c>
      <c r="D67" s="121">
        <v>13568</v>
      </c>
      <c r="E67" s="16" t="s">
        <v>831</v>
      </c>
      <c r="F67" s="17" t="s">
        <v>832</v>
      </c>
      <c r="G67" s="17" t="s">
        <v>102</v>
      </c>
      <c r="H67" s="18" t="s">
        <v>54</v>
      </c>
      <c r="I67" s="19" t="s">
        <v>135</v>
      </c>
      <c r="J67" s="20">
        <v>45918</v>
      </c>
      <c r="K67" s="20">
        <v>45947</v>
      </c>
      <c r="L67" s="21">
        <v>300000</v>
      </c>
      <c r="M67" s="22">
        <f t="shared" si="12"/>
        <v>329000</v>
      </c>
      <c r="N67" s="23">
        <v>325000</v>
      </c>
      <c r="O67" s="23">
        <v>4000</v>
      </c>
      <c r="P67" s="24">
        <f t="shared" si="13"/>
        <v>-25000</v>
      </c>
      <c r="Q67" s="25">
        <v>0</v>
      </c>
      <c r="R67" s="26">
        <v>24000</v>
      </c>
      <c r="S67" s="91">
        <f t="shared" si="14"/>
        <v>0</v>
      </c>
      <c r="T67" s="91">
        <f t="shared" si="15"/>
        <v>0</v>
      </c>
      <c r="U67" s="27" t="s">
        <v>56</v>
      </c>
      <c r="V67" s="30" t="s">
        <v>59</v>
      </c>
      <c r="W67" s="31">
        <v>46071</v>
      </c>
      <c r="X67" s="113" t="s">
        <v>1188</v>
      </c>
      <c r="Y67" s="19" t="s">
        <v>52</v>
      </c>
      <c r="Z67" s="19" t="s">
        <v>52</v>
      </c>
      <c r="AA67" s="19" t="s">
        <v>52</v>
      </c>
      <c r="AB67" s="28"/>
    </row>
    <row r="68" spans="1:28" s="29" customFormat="1" ht="15" customHeight="1" x14ac:dyDescent="0.25">
      <c r="A68" s="14">
        <v>3</v>
      </c>
      <c r="B68" s="15"/>
      <c r="C68" s="15"/>
      <c r="D68" s="121">
        <v>13624</v>
      </c>
      <c r="E68" s="117" t="s">
        <v>867</v>
      </c>
      <c r="F68" s="118" t="s">
        <v>868</v>
      </c>
      <c r="G68" s="17" t="s">
        <v>102</v>
      </c>
      <c r="H68" s="18" t="s">
        <v>775</v>
      </c>
      <c r="I68" s="19" t="s">
        <v>135</v>
      </c>
      <c r="J68" s="20">
        <v>45919</v>
      </c>
      <c r="K68" s="20">
        <v>45971</v>
      </c>
      <c r="L68" s="21">
        <v>60000</v>
      </c>
      <c r="M68" s="22">
        <f t="shared" si="12"/>
        <v>71000</v>
      </c>
      <c r="N68" s="23">
        <v>71000</v>
      </c>
      <c r="O68" s="23"/>
      <c r="P68" s="24">
        <f t="shared" si="13"/>
        <v>-11000</v>
      </c>
      <c r="Q68" s="25">
        <v>0</v>
      </c>
      <c r="R68" s="26">
        <v>24000</v>
      </c>
      <c r="S68" s="91">
        <f t="shared" si="14"/>
        <v>0</v>
      </c>
      <c r="T68" s="91">
        <f t="shared" si="15"/>
        <v>0</v>
      </c>
      <c r="U68" s="27" t="s">
        <v>56</v>
      </c>
      <c r="V68" s="30" t="s">
        <v>59</v>
      </c>
      <c r="W68" s="31">
        <v>46071</v>
      </c>
      <c r="X68" s="120" t="s">
        <v>1025</v>
      </c>
      <c r="Y68" s="19" t="s">
        <v>52</v>
      </c>
      <c r="Z68" s="19" t="s">
        <v>52</v>
      </c>
      <c r="AA68" s="19" t="s">
        <v>52</v>
      </c>
      <c r="AB68" s="28"/>
    </row>
    <row r="69" spans="1:28" s="29" customFormat="1" ht="15" customHeight="1" x14ac:dyDescent="0.25">
      <c r="A69" s="14">
        <v>4</v>
      </c>
      <c r="B69" s="15">
        <v>46080</v>
      </c>
      <c r="C69" s="15">
        <f t="shared" si="16"/>
        <v>46088</v>
      </c>
      <c r="D69" s="121">
        <v>13754</v>
      </c>
      <c r="E69" s="16" t="s">
        <v>925</v>
      </c>
      <c r="F69" s="17" t="s">
        <v>926</v>
      </c>
      <c r="G69" s="17" t="s">
        <v>102</v>
      </c>
      <c r="H69" s="18" t="s">
        <v>54</v>
      </c>
      <c r="I69" s="19" t="s">
        <v>135</v>
      </c>
      <c r="J69" s="20">
        <v>45946</v>
      </c>
      <c r="K69" s="20">
        <v>45980</v>
      </c>
      <c r="L69" s="21">
        <v>30000</v>
      </c>
      <c r="M69" s="22">
        <f t="shared" si="12"/>
        <v>0</v>
      </c>
      <c r="N69" s="23">
        <v>0</v>
      </c>
      <c r="O69" s="23">
        <v>0</v>
      </c>
      <c r="P69" s="24">
        <f t="shared" si="13"/>
        <v>30000</v>
      </c>
      <c r="Q69" s="25">
        <v>0</v>
      </c>
      <c r="R69" s="26">
        <v>24000</v>
      </c>
      <c r="S69" s="91">
        <f t="shared" si="14"/>
        <v>1.25</v>
      </c>
      <c r="T69" s="91">
        <f t="shared" si="15"/>
        <v>0</v>
      </c>
      <c r="U69" s="27" t="s">
        <v>56</v>
      </c>
      <c r="V69" s="30" t="s">
        <v>59</v>
      </c>
      <c r="W69" s="31">
        <v>46071</v>
      </c>
      <c r="X69" s="113" t="s">
        <v>1121</v>
      </c>
      <c r="Y69" s="19" t="s">
        <v>52</v>
      </c>
      <c r="Z69" s="19" t="s">
        <v>52</v>
      </c>
      <c r="AA69" s="19" t="s">
        <v>52</v>
      </c>
      <c r="AB69" s="28"/>
    </row>
    <row r="70" spans="1:28" s="29" customFormat="1" ht="15" customHeight="1" x14ac:dyDescent="0.25">
      <c r="A70" s="14">
        <v>5</v>
      </c>
      <c r="B70" s="15">
        <v>46076</v>
      </c>
      <c r="C70" s="15">
        <f t="shared" si="16"/>
        <v>46084</v>
      </c>
      <c r="D70" s="121">
        <v>14049</v>
      </c>
      <c r="E70" s="16" t="s">
        <v>857</v>
      </c>
      <c r="F70" s="17" t="s">
        <v>858</v>
      </c>
      <c r="G70" s="17" t="s">
        <v>102</v>
      </c>
      <c r="H70" s="18" t="s">
        <v>54</v>
      </c>
      <c r="I70" s="19" t="s">
        <v>135</v>
      </c>
      <c r="J70" s="20">
        <v>45981</v>
      </c>
      <c r="K70" s="20">
        <v>46035</v>
      </c>
      <c r="L70" s="21">
        <v>30000</v>
      </c>
      <c r="M70" s="22">
        <f t="shared" si="12"/>
        <v>0</v>
      </c>
      <c r="N70" s="23">
        <v>0</v>
      </c>
      <c r="O70" s="23">
        <v>0</v>
      </c>
      <c r="P70" s="24">
        <f t="shared" si="13"/>
        <v>30000</v>
      </c>
      <c r="Q70" s="25">
        <v>0</v>
      </c>
      <c r="R70" s="26">
        <v>42000</v>
      </c>
      <c r="S70" s="91">
        <f t="shared" si="14"/>
        <v>0.7142857142857143</v>
      </c>
      <c r="T70" s="91">
        <f t="shared" si="15"/>
        <v>0</v>
      </c>
      <c r="U70" s="27" t="s">
        <v>56</v>
      </c>
      <c r="V70" s="30" t="s">
        <v>59</v>
      </c>
      <c r="W70" s="31">
        <v>46071</v>
      </c>
      <c r="X70" s="113" t="s">
        <v>1121</v>
      </c>
      <c r="Y70" s="19" t="s">
        <v>52</v>
      </c>
      <c r="Z70" s="19" t="s">
        <v>52</v>
      </c>
      <c r="AA70" s="19" t="s">
        <v>52</v>
      </c>
      <c r="AB70" s="28"/>
    </row>
    <row r="71" spans="1:28" s="29" customFormat="1" ht="15" customHeight="1" x14ac:dyDescent="0.25">
      <c r="A71" s="14">
        <v>6</v>
      </c>
      <c r="B71" s="15">
        <v>46080</v>
      </c>
      <c r="C71" s="15">
        <f t="shared" si="16"/>
        <v>46088</v>
      </c>
      <c r="D71" s="121">
        <v>13622</v>
      </c>
      <c r="E71" s="16" t="s">
        <v>863</v>
      </c>
      <c r="F71" s="17" t="s">
        <v>864</v>
      </c>
      <c r="G71" s="17" t="s">
        <v>102</v>
      </c>
      <c r="H71" s="18" t="s">
        <v>775</v>
      </c>
      <c r="I71" s="19" t="s">
        <v>135</v>
      </c>
      <c r="J71" s="20">
        <v>45919</v>
      </c>
      <c r="K71" s="20">
        <v>46043</v>
      </c>
      <c r="L71" s="21">
        <v>60000</v>
      </c>
      <c r="M71" s="22">
        <f t="shared" si="12"/>
        <v>0</v>
      </c>
      <c r="N71" s="23">
        <v>0</v>
      </c>
      <c r="O71" s="23">
        <v>0</v>
      </c>
      <c r="P71" s="24">
        <f t="shared" si="13"/>
        <v>60000</v>
      </c>
      <c r="Q71" s="25">
        <v>0</v>
      </c>
      <c r="R71" s="26">
        <v>24000</v>
      </c>
      <c r="S71" s="91">
        <f t="shared" si="14"/>
        <v>2.5</v>
      </c>
      <c r="T71" s="91">
        <f t="shared" si="15"/>
        <v>0</v>
      </c>
      <c r="U71" s="27" t="s">
        <v>56</v>
      </c>
      <c r="V71" s="30" t="s">
        <v>59</v>
      </c>
      <c r="W71" s="31">
        <v>46071</v>
      </c>
      <c r="X71" s="113" t="s">
        <v>1121</v>
      </c>
      <c r="Y71" s="19" t="s">
        <v>52</v>
      </c>
      <c r="Z71" s="19" t="s">
        <v>52</v>
      </c>
      <c r="AA71" s="19" t="s">
        <v>52</v>
      </c>
      <c r="AB71" s="28"/>
    </row>
    <row r="72" spans="1:28" s="29" customFormat="1" ht="15" customHeight="1" x14ac:dyDescent="0.25">
      <c r="A72" s="14">
        <v>7</v>
      </c>
      <c r="B72" s="15">
        <v>46087</v>
      </c>
      <c r="C72" s="15">
        <f t="shared" si="16"/>
        <v>46095</v>
      </c>
      <c r="D72" s="121">
        <v>13566</v>
      </c>
      <c r="E72" s="16" t="s">
        <v>835</v>
      </c>
      <c r="F72" s="17" t="s">
        <v>836</v>
      </c>
      <c r="G72" s="17" t="s">
        <v>102</v>
      </c>
      <c r="H72" s="18" t="s">
        <v>54</v>
      </c>
      <c r="I72" s="19" t="s">
        <v>135</v>
      </c>
      <c r="J72" s="20">
        <v>45918</v>
      </c>
      <c r="K72" s="20">
        <v>46048</v>
      </c>
      <c r="L72" s="21">
        <v>60000</v>
      </c>
      <c r="M72" s="22">
        <f t="shared" si="12"/>
        <v>29000</v>
      </c>
      <c r="N72" s="23">
        <v>29000</v>
      </c>
      <c r="O72" s="23"/>
      <c r="P72" s="24">
        <f t="shared" si="13"/>
        <v>31000</v>
      </c>
      <c r="Q72" s="25">
        <v>0</v>
      </c>
      <c r="R72" s="26">
        <v>24000</v>
      </c>
      <c r="S72" s="91">
        <f t="shared" si="14"/>
        <v>1.2916666666666667</v>
      </c>
      <c r="T72" s="91">
        <f t="shared" si="15"/>
        <v>0</v>
      </c>
      <c r="U72" s="27" t="s">
        <v>56</v>
      </c>
      <c r="V72" s="30" t="s">
        <v>59</v>
      </c>
      <c r="W72" s="31">
        <v>46071</v>
      </c>
      <c r="X72" s="113" t="s">
        <v>1121</v>
      </c>
      <c r="Y72" s="19" t="s">
        <v>52</v>
      </c>
      <c r="Z72" s="19" t="s">
        <v>52</v>
      </c>
      <c r="AA72" s="19" t="s">
        <v>52</v>
      </c>
      <c r="AB72" s="28"/>
    </row>
    <row r="73" spans="1:28" s="29" customFormat="1" ht="15" customHeight="1" x14ac:dyDescent="0.25">
      <c r="A73" s="14">
        <v>8</v>
      </c>
      <c r="B73" s="15">
        <v>46080</v>
      </c>
      <c r="C73" s="15">
        <f t="shared" si="16"/>
        <v>46088</v>
      </c>
      <c r="D73" s="121">
        <v>13623</v>
      </c>
      <c r="E73" s="16" t="s">
        <v>865</v>
      </c>
      <c r="F73" s="17" t="s">
        <v>866</v>
      </c>
      <c r="G73" s="17" t="s">
        <v>102</v>
      </c>
      <c r="H73" s="18" t="s">
        <v>775</v>
      </c>
      <c r="I73" s="19" t="s">
        <v>135</v>
      </c>
      <c r="J73" s="20">
        <v>45919</v>
      </c>
      <c r="K73" s="20">
        <v>46048</v>
      </c>
      <c r="L73" s="21">
        <v>60000</v>
      </c>
      <c r="M73" s="22">
        <f t="shared" si="12"/>
        <v>27000</v>
      </c>
      <c r="N73" s="23">
        <v>27000</v>
      </c>
      <c r="O73" s="23">
        <v>0</v>
      </c>
      <c r="P73" s="24">
        <f t="shared" si="13"/>
        <v>33000</v>
      </c>
      <c r="Q73" s="25">
        <v>0</v>
      </c>
      <c r="R73" s="26">
        <v>24000</v>
      </c>
      <c r="S73" s="91">
        <f t="shared" si="14"/>
        <v>1.375</v>
      </c>
      <c r="T73" s="91">
        <f t="shared" si="15"/>
        <v>0</v>
      </c>
      <c r="U73" s="27" t="s">
        <v>56</v>
      </c>
      <c r="V73" s="19" t="s">
        <v>51</v>
      </c>
      <c r="W73" s="20">
        <v>46053</v>
      </c>
      <c r="X73" s="113" t="s">
        <v>1121</v>
      </c>
      <c r="Y73" s="19" t="s">
        <v>52</v>
      </c>
      <c r="Z73" s="19" t="s">
        <v>52</v>
      </c>
      <c r="AA73" s="19" t="s">
        <v>52</v>
      </c>
      <c r="AB73" s="28"/>
    </row>
    <row r="74" spans="1:28" s="29" customFormat="1" ht="15" customHeight="1" x14ac:dyDescent="0.25">
      <c r="A74" s="14">
        <v>9</v>
      </c>
      <c r="B74" s="15">
        <v>46087</v>
      </c>
      <c r="C74" s="15">
        <f t="shared" si="16"/>
        <v>46095</v>
      </c>
      <c r="D74" s="121">
        <v>13609</v>
      </c>
      <c r="E74" s="16" t="s">
        <v>874</v>
      </c>
      <c r="F74" s="17" t="s">
        <v>875</v>
      </c>
      <c r="G74" s="17" t="s">
        <v>102</v>
      </c>
      <c r="H74" s="18" t="s">
        <v>54</v>
      </c>
      <c r="I74" s="19" t="s">
        <v>135</v>
      </c>
      <c r="J74" s="20">
        <v>45922</v>
      </c>
      <c r="K74" s="20">
        <v>46048</v>
      </c>
      <c r="L74" s="21">
        <v>60000</v>
      </c>
      <c r="M74" s="22">
        <f t="shared" si="12"/>
        <v>34000</v>
      </c>
      <c r="N74" s="23">
        <v>34000</v>
      </c>
      <c r="O74" s="23"/>
      <c r="P74" s="24">
        <f t="shared" si="13"/>
        <v>26000</v>
      </c>
      <c r="Q74" s="25">
        <v>0</v>
      </c>
      <c r="R74" s="26">
        <v>24000</v>
      </c>
      <c r="S74" s="91">
        <f t="shared" si="14"/>
        <v>1.0833333333333333</v>
      </c>
      <c r="T74" s="91">
        <f t="shared" si="15"/>
        <v>0</v>
      </c>
      <c r="U74" s="27" t="s">
        <v>56</v>
      </c>
      <c r="V74" s="30" t="s">
        <v>59</v>
      </c>
      <c r="W74" s="31">
        <v>46071</v>
      </c>
      <c r="X74" s="113" t="s">
        <v>1121</v>
      </c>
      <c r="Y74" s="19" t="s">
        <v>52</v>
      </c>
      <c r="Z74" s="19" t="s">
        <v>52</v>
      </c>
      <c r="AA74" s="19" t="s">
        <v>52</v>
      </c>
      <c r="AB74" s="28"/>
    </row>
    <row r="75" spans="1:28" s="29" customFormat="1" ht="15" customHeight="1" x14ac:dyDescent="0.25">
      <c r="A75" s="14">
        <v>10</v>
      </c>
      <c r="B75" s="15">
        <v>46087</v>
      </c>
      <c r="C75" s="15">
        <f t="shared" si="16"/>
        <v>46095</v>
      </c>
      <c r="D75" s="121">
        <v>13626</v>
      </c>
      <c r="E75" s="16" t="s">
        <v>870</v>
      </c>
      <c r="F75" s="17" t="s">
        <v>871</v>
      </c>
      <c r="G75" s="17" t="s">
        <v>102</v>
      </c>
      <c r="H75" s="18" t="s">
        <v>54</v>
      </c>
      <c r="I75" s="19" t="s">
        <v>135</v>
      </c>
      <c r="J75" s="20">
        <v>45922</v>
      </c>
      <c r="K75" s="20">
        <v>46048</v>
      </c>
      <c r="L75" s="21">
        <v>60000</v>
      </c>
      <c r="M75" s="22">
        <f t="shared" si="12"/>
        <v>38000</v>
      </c>
      <c r="N75" s="23">
        <v>38000</v>
      </c>
      <c r="O75" s="23"/>
      <c r="P75" s="24">
        <f t="shared" si="13"/>
        <v>22000</v>
      </c>
      <c r="Q75" s="25">
        <v>0</v>
      </c>
      <c r="R75" s="26">
        <v>24000</v>
      </c>
      <c r="S75" s="91">
        <f t="shared" si="14"/>
        <v>0.91666666666666663</v>
      </c>
      <c r="T75" s="91">
        <f t="shared" si="15"/>
        <v>0</v>
      </c>
      <c r="U75" s="27" t="s">
        <v>56</v>
      </c>
      <c r="V75" s="30" t="s">
        <v>59</v>
      </c>
      <c r="W75" s="31">
        <v>46071</v>
      </c>
      <c r="X75" s="113" t="s">
        <v>1121</v>
      </c>
      <c r="Y75" s="19" t="s">
        <v>52</v>
      </c>
      <c r="Z75" s="19" t="s">
        <v>52</v>
      </c>
      <c r="AA75" s="19" t="s">
        <v>52</v>
      </c>
      <c r="AB75" s="28"/>
    </row>
    <row r="76" spans="1:28" s="29" customFormat="1" ht="15" customHeight="1" x14ac:dyDescent="0.25">
      <c r="A76" s="14">
        <v>11</v>
      </c>
      <c r="B76" s="15">
        <v>46074</v>
      </c>
      <c r="C76" s="15">
        <f t="shared" si="16"/>
        <v>46082</v>
      </c>
      <c r="D76" s="14">
        <v>14226</v>
      </c>
      <c r="E76" s="16" t="s">
        <v>1048</v>
      </c>
      <c r="F76" s="17" t="s">
        <v>106</v>
      </c>
      <c r="G76" s="17" t="s">
        <v>102</v>
      </c>
      <c r="H76" s="18" t="s">
        <v>542</v>
      </c>
      <c r="I76" s="19" t="s">
        <v>1049</v>
      </c>
      <c r="J76" s="20">
        <v>46014</v>
      </c>
      <c r="K76" s="20">
        <v>46050</v>
      </c>
      <c r="L76" s="21">
        <v>1800000</v>
      </c>
      <c r="M76" s="22">
        <f t="shared" si="12"/>
        <v>1650000</v>
      </c>
      <c r="N76" s="23">
        <v>1650000</v>
      </c>
      <c r="O76" s="23">
        <v>0</v>
      </c>
      <c r="P76" s="24">
        <f t="shared" si="13"/>
        <v>150000</v>
      </c>
      <c r="Q76" s="25">
        <v>0</v>
      </c>
      <c r="R76" s="26">
        <v>50000</v>
      </c>
      <c r="S76" s="91">
        <f t="shared" si="14"/>
        <v>3</v>
      </c>
      <c r="T76" s="91">
        <f t="shared" si="15"/>
        <v>0</v>
      </c>
      <c r="U76" s="27" t="s">
        <v>50</v>
      </c>
      <c r="V76" s="19" t="s">
        <v>51</v>
      </c>
      <c r="W76" s="20">
        <v>46043</v>
      </c>
      <c r="X76" s="113" t="s">
        <v>1121</v>
      </c>
      <c r="Y76" s="19" t="s">
        <v>52</v>
      </c>
      <c r="Z76" s="19" t="s">
        <v>52</v>
      </c>
      <c r="AA76" s="19" t="s">
        <v>52</v>
      </c>
      <c r="AB76" s="28"/>
    </row>
    <row r="77" spans="1:28" s="29" customFormat="1" ht="15" customHeight="1" x14ac:dyDescent="0.25">
      <c r="A77" s="14">
        <v>12</v>
      </c>
      <c r="B77" s="15">
        <v>46079</v>
      </c>
      <c r="C77" s="15">
        <f t="shared" si="16"/>
        <v>46087</v>
      </c>
      <c r="D77" s="121">
        <v>14384</v>
      </c>
      <c r="E77" s="16" t="s">
        <v>297</v>
      </c>
      <c r="F77" s="17" t="s">
        <v>298</v>
      </c>
      <c r="G77" s="17" t="s">
        <v>102</v>
      </c>
      <c r="H77" s="18" t="s">
        <v>57</v>
      </c>
      <c r="I77" s="19" t="s">
        <v>94</v>
      </c>
      <c r="J77" s="20">
        <v>46041</v>
      </c>
      <c r="K77" s="20">
        <v>46059</v>
      </c>
      <c r="L77" s="21">
        <v>400000</v>
      </c>
      <c r="M77" s="22">
        <f t="shared" si="12"/>
        <v>380000</v>
      </c>
      <c r="N77" s="23">
        <v>380000</v>
      </c>
      <c r="O77" s="23"/>
      <c r="P77" s="24">
        <f t="shared" si="13"/>
        <v>20000</v>
      </c>
      <c r="Q77" s="25">
        <v>0</v>
      </c>
      <c r="R77" s="26">
        <v>30000</v>
      </c>
      <c r="S77" s="91">
        <f t="shared" si="14"/>
        <v>0.66666666666666663</v>
      </c>
      <c r="T77" s="91">
        <f t="shared" si="15"/>
        <v>0</v>
      </c>
      <c r="U77" s="27" t="s">
        <v>50</v>
      </c>
      <c r="V77" s="19" t="s">
        <v>51</v>
      </c>
      <c r="W77" s="20">
        <v>46071</v>
      </c>
      <c r="X77" s="113" t="s">
        <v>1180</v>
      </c>
      <c r="Y77" s="19" t="s">
        <v>52</v>
      </c>
      <c r="Z77" s="19" t="s">
        <v>52</v>
      </c>
      <c r="AA77" s="19" t="s">
        <v>52</v>
      </c>
      <c r="AB77" s="28"/>
    </row>
    <row r="78" spans="1:28" s="29" customFormat="1" ht="15" customHeight="1" x14ac:dyDescent="0.25">
      <c r="A78" s="14">
        <v>13</v>
      </c>
      <c r="B78" s="15">
        <v>46076</v>
      </c>
      <c r="C78" s="15">
        <f t="shared" si="16"/>
        <v>46084</v>
      </c>
      <c r="D78" s="121">
        <v>13567</v>
      </c>
      <c r="E78" s="16" t="s">
        <v>833</v>
      </c>
      <c r="F78" s="17" t="s">
        <v>834</v>
      </c>
      <c r="G78" s="17" t="s">
        <v>102</v>
      </c>
      <c r="H78" s="18" t="s">
        <v>54</v>
      </c>
      <c r="I78" s="19" t="s">
        <v>135</v>
      </c>
      <c r="J78" s="20">
        <v>45918</v>
      </c>
      <c r="K78" s="20">
        <v>46064</v>
      </c>
      <c r="L78" s="21">
        <v>60000</v>
      </c>
      <c r="M78" s="22">
        <f t="shared" si="12"/>
        <v>0</v>
      </c>
      <c r="N78" s="23">
        <v>0</v>
      </c>
      <c r="O78" s="23">
        <v>0</v>
      </c>
      <c r="P78" s="24">
        <f t="shared" si="13"/>
        <v>60000</v>
      </c>
      <c r="Q78" s="25">
        <v>0</v>
      </c>
      <c r="R78" s="26">
        <v>24000</v>
      </c>
      <c r="S78" s="91">
        <f t="shared" si="14"/>
        <v>2.5</v>
      </c>
      <c r="T78" s="91">
        <f t="shared" si="15"/>
        <v>0</v>
      </c>
      <c r="U78" s="27" t="s">
        <v>56</v>
      </c>
      <c r="V78" s="30" t="s">
        <v>59</v>
      </c>
      <c r="W78" s="31">
        <v>46071</v>
      </c>
      <c r="X78" s="113" t="s">
        <v>1121</v>
      </c>
      <c r="Y78" s="19" t="s">
        <v>52</v>
      </c>
      <c r="Z78" s="19" t="s">
        <v>52</v>
      </c>
      <c r="AA78" s="19" t="s">
        <v>52</v>
      </c>
      <c r="AB78" s="28"/>
    </row>
    <row r="79" spans="1:28" s="29" customFormat="1" ht="15" customHeight="1" x14ac:dyDescent="0.25">
      <c r="A79" s="14">
        <v>14</v>
      </c>
      <c r="B79" s="15">
        <v>46079</v>
      </c>
      <c r="C79" s="15">
        <f t="shared" si="16"/>
        <v>46087</v>
      </c>
      <c r="D79" s="121">
        <v>14259</v>
      </c>
      <c r="E79" s="16" t="s">
        <v>940</v>
      </c>
      <c r="F79" s="17" t="s">
        <v>1056</v>
      </c>
      <c r="G79" s="17" t="s">
        <v>102</v>
      </c>
      <c r="H79" s="18" t="s">
        <v>542</v>
      </c>
      <c r="I79" s="19" t="s">
        <v>70</v>
      </c>
      <c r="J79" s="20">
        <v>46027</v>
      </c>
      <c r="K79" s="20">
        <v>46064</v>
      </c>
      <c r="L79" s="21">
        <v>200000</v>
      </c>
      <c r="M79" s="22">
        <f t="shared" si="12"/>
        <v>217000</v>
      </c>
      <c r="N79" s="23">
        <f>144000+54000</f>
        <v>198000</v>
      </c>
      <c r="O79" s="23">
        <v>19000</v>
      </c>
      <c r="P79" s="24">
        <f t="shared" si="13"/>
        <v>2000</v>
      </c>
      <c r="Q79" s="25">
        <v>0</v>
      </c>
      <c r="R79" s="26">
        <v>16000</v>
      </c>
      <c r="S79" s="91">
        <f t="shared" si="14"/>
        <v>0.125</v>
      </c>
      <c r="T79" s="91">
        <f t="shared" si="15"/>
        <v>0</v>
      </c>
      <c r="U79" s="27" t="s">
        <v>50</v>
      </c>
      <c r="V79" s="19" t="s">
        <v>51</v>
      </c>
      <c r="W79" s="20">
        <v>46049</v>
      </c>
      <c r="X79" s="113" t="s">
        <v>1188</v>
      </c>
      <c r="Y79" s="19" t="s">
        <v>52</v>
      </c>
      <c r="Z79" s="19" t="s">
        <v>52</v>
      </c>
      <c r="AA79" s="19" t="s">
        <v>52</v>
      </c>
      <c r="AB79" s="28"/>
    </row>
    <row r="80" spans="1:28" s="29" customFormat="1" ht="15" customHeight="1" x14ac:dyDescent="0.25">
      <c r="A80" s="14">
        <v>15</v>
      </c>
      <c r="B80" s="15">
        <v>46076</v>
      </c>
      <c r="C80" s="15">
        <f t="shared" si="16"/>
        <v>46084</v>
      </c>
      <c r="D80" s="121">
        <v>13615</v>
      </c>
      <c r="E80" s="16" t="s">
        <v>849</v>
      </c>
      <c r="F80" s="17" t="s">
        <v>850</v>
      </c>
      <c r="G80" s="17" t="s">
        <v>102</v>
      </c>
      <c r="H80" s="18" t="s">
        <v>775</v>
      </c>
      <c r="I80" s="19" t="s">
        <v>135</v>
      </c>
      <c r="J80" s="20">
        <v>45919</v>
      </c>
      <c r="K80" s="20">
        <v>46069</v>
      </c>
      <c r="L80" s="21">
        <v>110000</v>
      </c>
      <c r="M80" s="22">
        <f t="shared" si="12"/>
        <v>0</v>
      </c>
      <c r="N80" s="23">
        <v>0</v>
      </c>
      <c r="O80" s="23">
        <v>0</v>
      </c>
      <c r="P80" s="24">
        <f t="shared" si="13"/>
        <v>110000</v>
      </c>
      <c r="Q80" s="25">
        <v>0</v>
      </c>
      <c r="R80" s="26">
        <v>24000</v>
      </c>
      <c r="S80" s="91">
        <f t="shared" si="14"/>
        <v>4.583333333333333</v>
      </c>
      <c r="T80" s="91">
        <f t="shared" si="15"/>
        <v>0</v>
      </c>
      <c r="U80" s="27" t="s">
        <v>56</v>
      </c>
      <c r="V80" s="30" t="s">
        <v>59</v>
      </c>
      <c r="W80" s="31">
        <v>46071</v>
      </c>
      <c r="X80" s="113" t="s">
        <v>1121</v>
      </c>
      <c r="Y80" s="19" t="s">
        <v>52</v>
      </c>
      <c r="Z80" s="19" t="s">
        <v>52</v>
      </c>
      <c r="AA80" s="19" t="s">
        <v>52</v>
      </c>
      <c r="AB80" s="28"/>
    </row>
    <row r="81" spans="1:28" s="29" customFormat="1" ht="15" customHeight="1" x14ac:dyDescent="0.25">
      <c r="A81" s="14">
        <v>16</v>
      </c>
      <c r="B81" s="15">
        <v>46076</v>
      </c>
      <c r="C81" s="15">
        <f t="shared" si="16"/>
        <v>46084</v>
      </c>
      <c r="D81" s="121">
        <v>13625</v>
      </c>
      <c r="E81" s="16" t="s">
        <v>876</v>
      </c>
      <c r="F81" s="17" t="s">
        <v>877</v>
      </c>
      <c r="G81" s="17" t="s">
        <v>102</v>
      </c>
      <c r="H81" s="18" t="s">
        <v>54</v>
      </c>
      <c r="I81" s="19" t="s">
        <v>135</v>
      </c>
      <c r="J81" s="20">
        <v>45922</v>
      </c>
      <c r="K81" s="20">
        <v>46069</v>
      </c>
      <c r="L81" s="21">
        <v>80000</v>
      </c>
      <c r="M81" s="22">
        <f t="shared" si="12"/>
        <v>0</v>
      </c>
      <c r="N81" s="23">
        <v>0</v>
      </c>
      <c r="O81" s="23">
        <v>0</v>
      </c>
      <c r="P81" s="24">
        <f t="shared" si="13"/>
        <v>80000</v>
      </c>
      <c r="Q81" s="25">
        <v>0</v>
      </c>
      <c r="R81" s="26">
        <v>24000</v>
      </c>
      <c r="S81" s="91">
        <f t="shared" si="14"/>
        <v>3.3333333333333335</v>
      </c>
      <c r="T81" s="91">
        <f t="shared" si="15"/>
        <v>0</v>
      </c>
      <c r="U81" s="27" t="s">
        <v>56</v>
      </c>
      <c r="V81" s="30" t="s">
        <v>59</v>
      </c>
      <c r="W81" s="31">
        <v>46071</v>
      </c>
      <c r="X81" s="113" t="s">
        <v>1121</v>
      </c>
      <c r="Y81" s="19" t="s">
        <v>52</v>
      </c>
      <c r="Z81" s="19" t="s">
        <v>52</v>
      </c>
      <c r="AA81" s="19" t="s">
        <v>52</v>
      </c>
      <c r="AB81" s="28"/>
    </row>
    <row r="82" spans="1:28" s="29" customFormat="1" ht="15" customHeight="1" x14ac:dyDescent="0.25">
      <c r="A82" s="14">
        <v>17</v>
      </c>
      <c r="B82" s="15">
        <v>46076</v>
      </c>
      <c r="C82" s="15">
        <f t="shared" si="16"/>
        <v>46084</v>
      </c>
      <c r="D82" s="121">
        <v>14365</v>
      </c>
      <c r="E82" s="16" t="s">
        <v>1074</v>
      </c>
      <c r="F82" s="17" t="s">
        <v>828</v>
      </c>
      <c r="G82" s="17" t="s">
        <v>102</v>
      </c>
      <c r="H82" s="18" t="s">
        <v>54</v>
      </c>
      <c r="I82" s="19" t="s">
        <v>135</v>
      </c>
      <c r="J82" s="20">
        <v>46040</v>
      </c>
      <c r="K82" s="20">
        <v>46069</v>
      </c>
      <c r="L82" s="21">
        <v>30000</v>
      </c>
      <c r="M82" s="22">
        <f t="shared" si="12"/>
        <v>0</v>
      </c>
      <c r="N82" s="23">
        <v>0</v>
      </c>
      <c r="O82" s="23">
        <v>0</v>
      </c>
      <c r="P82" s="24">
        <f t="shared" si="13"/>
        <v>30000</v>
      </c>
      <c r="Q82" s="25">
        <v>0</v>
      </c>
      <c r="R82" s="26">
        <v>42000</v>
      </c>
      <c r="S82" s="91">
        <f t="shared" si="14"/>
        <v>0.7142857142857143</v>
      </c>
      <c r="T82" s="91">
        <f t="shared" si="15"/>
        <v>0</v>
      </c>
      <c r="U82" s="27" t="s">
        <v>56</v>
      </c>
      <c r="V82" s="30" t="s">
        <v>59</v>
      </c>
      <c r="W82" s="31">
        <v>46071</v>
      </c>
      <c r="X82" s="113" t="s">
        <v>1121</v>
      </c>
      <c r="Y82" s="19" t="s">
        <v>52</v>
      </c>
      <c r="Z82" s="19" t="s">
        <v>52</v>
      </c>
      <c r="AA82" s="19" t="s">
        <v>52</v>
      </c>
      <c r="AB82" s="28"/>
    </row>
    <row r="83" spans="1:28" s="29" customFormat="1" ht="15" customHeight="1" x14ac:dyDescent="0.25">
      <c r="A83" s="14">
        <v>18</v>
      </c>
      <c r="B83" s="15">
        <v>46094</v>
      </c>
      <c r="C83" s="15">
        <f t="shared" si="16"/>
        <v>46102</v>
      </c>
      <c r="D83" s="121">
        <v>14522</v>
      </c>
      <c r="E83" s="16" t="s">
        <v>1134</v>
      </c>
      <c r="F83" s="17" t="s">
        <v>1135</v>
      </c>
      <c r="G83" s="17" t="s">
        <v>102</v>
      </c>
      <c r="H83" s="18" t="s">
        <v>775</v>
      </c>
      <c r="I83" s="19" t="s">
        <v>135</v>
      </c>
      <c r="J83" s="20">
        <v>46059</v>
      </c>
      <c r="K83" s="20">
        <v>46081</v>
      </c>
      <c r="L83" s="21">
        <v>75000</v>
      </c>
      <c r="M83" s="22">
        <f t="shared" si="12"/>
        <v>0</v>
      </c>
      <c r="N83" s="23">
        <v>0</v>
      </c>
      <c r="O83" s="23">
        <v>0</v>
      </c>
      <c r="P83" s="24">
        <f t="shared" si="13"/>
        <v>75000</v>
      </c>
      <c r="Q83" s="25">
        <v>0</v>
      </c>
      <c r="R83" s="26">
        <v>42000</v>
      </c>
      <c r="S83" s="91">
        <f t="shared" si="14"/>
        <v>1.7857142857142858</v>
      </c>
      <c r="T83" s="91">
        <f t="shared" si="15"/>
        <v>0</v>
      </c>
      <c r="U83" s="27" t="s">
        <v>56</v>
      </c>
      <c r="V83" s="30" t="s">
        <v>59</v>
      </c>
      <c r="W83" s="31">
        <v>46081</v>
      </c>
      <c r="X83" s="113" t="s">
        <v>1121</v>
      </c>
      <c r="Y83" s="19" t="s">
        <v>52</v>
      </c>
      <c r="Z83" s="19" t="s">
        <v>52</v>
      </c>
      <c r="AA83" s="19" t="s">
        <v>52</v>
      </c>
      <c r="AB83" s="28"/>
    </row>
    <row r="84" spans="1:28" s="29" customFormat="1" ht="15" customHeight="1" x14ac:dyDescent="0.25">
      <c r="A84" s="14">
        <v>19</v>
      </c>
      <c r="B84" s="15">
        <v>46079</v>
      </c>
      <c r="C84" s="15">
        <f t="shared" si="16"/>
        <v>46087</v>
      </c>
      <c r="D84" s="121">
        <v>14359</v>
      </c>
      <c r="E84" s="16" t="s">
        <v>109</v>
      </c>
      <c r="F84" s="17" t="s">
        <v>110</v>
      </c>
      <c r="G84" s="17" t="s">
        <v>102</v>
      </c>
      <c r="H84" s="18" t="s">
        <v>57</v>
      </c>
      <c r="I84" s="19" t="s">
        <v>94</v>
      </c>
      <c r="J84" s="20">
        <v>46037</v>
      </c>
      <c r="K84" s="20">
        <v>46092</v>
      </c>
      <c r="L84" s="21">
        <v>600000</v>
      </c>
      <c r="M84" s="22">
        <f t="shared" si="12"/>
        <v>350000</v>
      </c>
      <c r="N84" s="23">
        <v>200000</v>
      </c>
      <c r="O84" s="23">
        <v>150000</v>
      </c>
      <c r="P84" s="24">
        <f t="shared" si="13"/>
        <v>400000</v>
      </c>
      <c r="Q84" s="25">
        <v>0</v>
      </c>
      <c r="R84" s="26">
        <v>50000</v>
      </c>
      <c r="S84" s="91">
        <f t="shared" si="14"/>
        <v>8</v>
      </c>
      <c r="T84" s="91">
        <f t="shared" si="15"/>
        <v>0</v>
      </c>
      <c r="U84" s="27" t="s">
        <v>50</v>
      </c>
      <c r="V84" s="30" t="s">
        <v>51</v>
      </c>
      <c r="W84" s="31">
        <v>46068</v>
      </c>
      <c r="X84" s="113" t="s">
        <v>1121</v>
      </c>
      <c r="Y84" s="19" t="s">
        <v>52</v>
      </c>
      <c r="Z84" s="19" t="s">
        <v>52</v>
      </c>
      <c r="AA84" s="19" t="s">
        <v>52</v>
      </c>
      <c r="AB84" s="28"/>
    </row>
    <row r="85" spans="1:28" s="29" customFormat="1" ht="15" customHeight="1" x14ac:dyDescent="0.25">
      <c r="A85" s="14">
        <v>20</v>
      </c>
      <c r="B85" s="15">
        <v>46076</v>
      </c>
      <c r="C85" s="15">
        <f t="shared" si="16"/>
        <v>46084</v>
      </c>
      <c r="D85" s="121">
        <v>13617</v>
      </c>
      <c r="E85" s="16" t="s">
        <v>853</v>
      </c>
      <c r="F85" s="17" t="s">
        <v>854</v>
      </c>
      <c r="G85" s="17" t="s">
        <v>102</v>
      </c>
      <c r="H85" s="18" t="s">
        <v>775</v>
      </c>
      <c r="I85" s="19" t="s">
        <v>135</v>
      </c>
      <c r="J85" s="20">
        <v>45919</v>
      </c>
      <c r="K85" s="20">
        <v>46094</v>
      </c>
      <c r="L85" s="21">
        <v>115000</v>
      </c>
      <c r="M85" s="22">
        <f t="shared" si="12"/>
        <v>0</v>
      </c>
      <c r="N85" s="23">
        <v>0</v>
      </c>
      <c r="O85" s="23">
        <v>0</v>
      </c>
      <c r="P85" s="24">
        <f t="shared" si="13"/>
        <v>115000</v>
      </c>
      <c r="Q85" s="25">
        <v>0</v>
      </c>
      <c r="R85" s="26">
        <v>24000</v>
      </c>
      <c r="S85" s="91">
        <f t="shared" si="14"/>
        <v>4.791666666666667</v>
      </c>
      <c r="T85" s="91">
        <f t="shared" si="15"/>
        <v>0</v>
      </c>
      <c r="U85" s="27" t="s">
        <v>56</v>
      </c>
      <c r="V85" s="30" t="s">
        <v>59</v>
      </c>
      <c r="W85" s="31">
        <v>46071</v>
      </c>
      <c r="X85" s="113" t="s">
        <v>1121</v>
      </c>
      <c r="Y85" s="19" t="s">
        <v>52</v>
      </c>
      <c r="Z85" s="19" t="s">
        <v>52</v>
      </c>
      <c r="AA85" s="19" t="s">
        <v>52</v>
      </c>
      <c r="AB85" s="28"/>
    </row>
    <row r="86" spans="1:28" s="29" customFormat="1" ht="15" customHeight="1" x14ac:dyDescent="0.25">
      <c r="A86" s="14">
        <v>21</v>
      </c>
      <c r="B86" s="15">
        <v>46090</v>
      </c>
      <c r="C86" s="15">
        <f t="shared" si="16"/>
        <v>46098</v>
      </c>
      <c r="D86" s="121">
        <v>14531</v>
      </c>
      <c r="E86" s="16" t="s">
        <v>1140</v>
      </c>
      <c r="F86" s="17" t="s">
        <v>1141</v>
      </c>
      <c r="G86" s="17" t="s">
        <v>102</v>
      </c>
      <c r="H86" s="18" t="s">
        <v>57</v>
      </c>
      <c r="I86" s="19" t="s">
        <v>94</v>
      </c>
      <c r="J86" s="20">
        <v>46062</v>
      </c>
      <c r="K86" s="20">
        <v>46086</v>
      </c>
      <c r="L86" s="21">
        <v>100000</v>
      </c>
      <c r="M86" s="22">
        <f t="shared" si="12"/>
        <v>0</v>
      </c>
      <c r="N86" s="23">
        <v>0</v>
      </c>
      <c r="O86" s="23">
        <v>0</v>
      </c>
      <c r="P86" s="24">
        <f t="shared" si="13"/>
        <v>100000</v>
      </c>
      <c r="Q86" s="25">
        <v>0</v>
      </c>
      <c r="R86" s="26">
        <v>42000</v>
      </c>
      <c r="S86" s="91">
        <f t="shared" si="14"/>
        <v>2.3809523809523809</v>
      </c>
      <c r="T86" s="91">
        <f t="shared" si="15"/>
        <v>0</v>
      </c>
      <c r="U86" s="27" t="s">
        <v>50</v>
      </c>
      <c r="V86" s="30" t="s">
        <v>68</v>
      </c>
      <c r="W86" s="31" t="s">
        <v>68</v>
      </c>
      <c r="X86" s="113" t="s">
        <v>492</v>
      </c>
      <c r="Y86" s="19" t="s">
        <v>52</v>
      </c>
      <c r="Z86" s="19" t="s">
        <v>52</v>
      </c>
      <c r="AA86" s="19" t="s">
        <v>52</v>
      </c>
      <c r="AB86" s="28"/>
    </row>
    <row r="87" spans="1:28" s="29" customFormat="1" ht="15" customHeight="1" x14ac:dyDescent="0.25">
      <c r="A87" s="14">
        <v>22</v>
      </c>
      <c r="B87" s="32" t="s">
        <v>68</v>
      </c>
      <c r="C87" s="32" t="s">
        <v>68</v>
      </c>
      <c r="D87" s="121">
        <v>13558</v>
      </c>
      <c r="E87" s="16" t="s">
        <v>821</v>
      </c>
      <c r="F87" s="17" t="s">
        <v>822</v>
      </c>
      <c r="G87" s="17" t="s">
        <v>102</v>
      </c>
      <c r="H87" s="18" t="s">
        <v>54</v>
      </c>
      <c r="I87" s="19" t="s">
        <v>135</v>
      </c>
      <c r="J87" s="20">
        <v>45917</v>
      </c>
      <c r="K87" s="20">
        <v>45909</v>
      </c>
      <c r="L87" s="21">
        <v>30000</v>
      </c>
      <c r="M87" s="22">
        <f t="shared" si="12"/>
        <v>0</v>
      </c>
      <c r="N87" s="23">
        <v>0</v>
      </c>
      <c r="O87" s="23">
        <v>0</v>
      </c>
      <c r="P87" s="24">
        <f t="shared" si="13"/>
        <v>30000</v>
      </c>
      <c r="Q87" s="25">
        <v>0</v>
      </c>
      <c r="R87" s="26">
        <v>24000</v>
      </c>
      <c r="S87" s="91">
        <f t="shared" si="14"/>
        <v>1.25</v>
      </c>
      <c r="T87" s="91">
        <f t="shared" si="15"/>
        <v>0</v>
      </c>
      <c r="U87" s="27" t="s">
        <v>56</v>
      </c>
      <c r="V87" s="30" t="s">
        <v>68</v>
      </c>
      <c r="W87" s="31" t="s">
        <v>68</v>
      </c>
      <c r="X87" s="22"/>
      <c r="Y87" s="19" t="s">
        <v>52</v>
      </c>
      <c r="Z87" s="19" t="s">
        <v>52</v>
      </c>
      <c r="AA87" s="41" t="s">
        <v>82</v>
      </c>
      <c r="AB87" s="28"/>
    </row>
    <row r="88" spans="1:28" s="29" customFormat="1" ht="15" customHeight="1" x14ac:dyDescent="0.25">
      <c r="A88" s="14">
        <v>23</v>
      </c>
      <c r="B88" s="32" t="s">
        <v>68</v>
      </c>
      <c r="C88" s="32" t="s">
        <v>68</v>
      </c>
      <c r="D88" s="14">
        <v>13559</v>
      </c>
      <c r="E88" s="16" t="s">
        <v>819</v>
      </c>
      <c r="F88" s="17" t="s">
        <v>820</v>
      </c>
      <c r="G88" s="17" t="s">
        <v>102</v>
      </c>
      <c r="H88" s="18" t="s">
        <v>54</v>
      </c>
      <c r="I88" s="19" t="s">
        <v>135</v>
      </c>
      <c r="J88" s="20">
        <v>45917</v>
      </c>
      <c r="K88" s="20">
        <v>45947</v>
      </c>
      <c r="L88" s="21">
        <v>30000</v>
      </c>
      <c r="M88" s="22">
        <f t="shared" si="12"/>
        <v>0</v>
      </c>
      <c r="N88" s="23">
        <v>0</v>
      </c>
      <c r="O88" s="23">
        <v>0</v>
      </c>
      <c r="P88" s="24">
        <f t="shared" si="13"/>
        <v>30000</v>
      </c>
      <c r="Q88" s="25">
        <v>0</v>
      </c>
      <c r="R88" s="26">
        <v>24000</v>
      </c>
      <c r="S88" s="91">
        <f t="shared" si="14"/>
        <v>1.25</v>
      </c>
      <c r="T88" s="91">
        <f t="shared" si="15"/>
        <v>0</v>
      </c>
      <c r="U88" s="27" t="s">
        <v>56</v>
      </c>
      <c r="V88" s="30" t="s">
        <v>68</v>
      </c>
      <c r="W88" s="31" t="s">
        <v>68</v>
      </c>
      <c r="X88" s="22"/>
      <c r="Y88" s="19" t="s">
        <v>52</v>
      </c>
      <c r="Z88" s="19" t="s">
        <v>52</v>
      </c>
      <c r="AA88" s="41" t="s">
        <v>82</v>
      </c>
      <c r="AB88" s="28"/>
    </row>
    <row r="89" spans="1:28" s="29" customFormat="1" ht="15" customHeight="1" x14ac:dyDescent="0.25">
      <c r="A89" s="14">
        <v>24</v>
      </c>
      <c r="B89" s="32" t="s">
        <v>68</v>
      </c>
      <c r="C89" s="32" t="s">
        <v>68</v>
      </c>
      <c r="D89" s="14">
        <v>13564</v>
      </c>
      <c r="E89" s="16" t="s">
        <v>843</v>
      </c>
      <c r="F89" s="17" t="s">
        <v>844</v>
      </c>
      <c r="G89" s="17" t="s">
        <v>102</v>
      </c>
      <c r="H89" s="18" t="s">
        <v>54</v>
      </c>
      <c r="I89" s="19" t="s">
        <v>135</v>
      </c>
      <c r="J89" s="20">
        <v>45918</v>
      </c>
      <c r="K89" s="20">
        <v>45947</v>
      </c>
      <c r="L89" s="21">
        <v>30000</v>
      </c>
      <c r="M89" s="22">
        <f t="shared" si="12"/>
        <v>0</v>
      </c>
      <c r="N89" s="23">
        <v>0</v>
      </c>
      <c r="O89" s="23">
        <v>0</v>
      </c>
      <c r="P89" s="24">
        <f t="shared" si="13"/>
        <v>30000</v>
      </c>
      <c r="Q89" s="25">
        <v>0</v>
      </c>
      <c r="R89" s="26">
        <v>24000</v>
      </c>
      <c r="S89" s="91">
        <f t="shared" si="14"/>
        <v>1.25</v>
      </c>
      <c r="T89" s="91">
        <f t="shared" si="15"/>
        <v>0</v>
      </c>
      <c r="U89" s="27" t="s">
        <v>56</v>
      </c>
      <c r="V89" s="30" t="s">
        <v>68</v>
      </c>
      <c r="W89" s="31" t="s">
        <v>68</v>
      </c>
      <c r="X89" s="22"/>
      <c r="Y89" s="19" t="s">
        <v>52</v>
      </c>
      <c r="Z89" s="41" t="s">
        <v>52</v>
      </c>
      <c r="AA89" s="41" t="s">
        <v>82</v>
      </c>
      <c r="AB89" s="28"/>
    </row>
    <row r="90" spans="1:28" s="29" customFormat="1" ht="15" customHeight="1" x14ac:dyDescent="0.25">
      <c r="A90" s="14">
        <v>25</v>
      </c>
      <c r="B90" s="32" t="s">
        <v>68</v>
      </c>
      <c r="C90" s="32" t="s">
        <v>68</v>
      </c>
      <c r="D90" s="14">
        <v>13614</v>
      </c>
      <c r="E90" s="16" t="s">
        <v>855</v>
      </c>
      <c r="F90" s="17" t="s">
        <v>856</v>
      </c>
      <c r="G90" s="17" t="s">
        <v>102</v>
      </c>
      <c r="H90" s="18" t="s">
        <v>775</v>
      </c>
      <c r="I90" s="19" t="s">
        <v>135</v>
      </c>
      <c r="J90" s="20">
        <v>45919</v>
      </c>
      <c r="K90" s="20">
        <v>45947</v>
      </c>
      <c r="L90" s="21">
        <v>30000</v>
      </c>
      <c r="M90" s="22">
        <f t="shared" si="12"/>
        <v>0</v>
      </c>
      <c r="N90" s="23">
        <v>0</v>
      </c>
      <c r="O90" s="23">
        <v>0</v>
      </c>
      <c r="P90" s="24">
        <f t="shared" si="13"/>
        <v>30000</v>
      </c>
      <c r="Q90" s="25">
        <v>0</v>
      </c>
      <c r="R90" s="26">
        <v>24000</v>
      </c>
      <c r="S90" s="91">
        <f t="shared" si="14"/>
        <v>1.25</v>
      </c>
      <c r="T90" s="91">
        <f t="shared" si="15"/>
        <v>0</v>
      </c>
      <c r="U90" s="27" t="s">
        <v>56</v>
      </c>
      <c r="V90" s="30" t="s">
        <v>68</v>
      </c>
      <c r="W90" s="31" t="s">
        <v>68</v>
      </c>
      <c r="X90" s="22"/>
      <c r="Y90" s="19" t="s">
        <v>52</v>
      </c>
      <c r="Z90" s="19" t="s">
        <v>52</v>
      </c>
      <c r="AA90" s="41" t="s">
        <v>82</v>
      </c>
      <c r="AB90" s="28"/>
    </row>
    <row r="91" spans="1:28" s="29" customFormat="1" ht="15" customHeight="1" x14ac:dyDescent="0.25">
      <c r="A91" s="14">
        <v>26</v>
      </c>
      <c r="B91" s="15">
        <v>46094</v>
      </c>
      <c r="C91" s="15">
        <f>B91+8</f>
        <v>46102</v>
      </c>
      <c r="D91" s="14">
        <v>13616</v>
      </c>
      <c r="E91" s="16" t="s">
        <v>851</v>
      </c>
      <c r="F91" s="17" t="s">
        <v>852</v>
      </c>
      <c r="G91" s="17" t="s">
        <v>102</v>
      </c>
      <c r="H91" s="18" t="s">
        <v>775</v>
      </c>
      <c r="I91" s="19" t="s">
        <v>135</v>
      </c>
      <c r="J91" s="20">
        <v>45919</v>
      </c>
      <c r="K91" s="20">
        <v>45970</v>
      </c>
      <c r="L91" s="21">
        <v>30000</v>
      </c>
      <c r="M91" s="22">
        <f t="shared" si="12"/>
        <v>0</v>
      </c>
      <c r="N91" s="23">
        <v>0</v>
      </c>
      <c r="O91" s="23">
        <v>0</v>
      </c>
      <c r="P91" s="24">
        <f t="shared" si="13"/>
        <v>30000</v>
      </c>
      <c r="Q91" s="25">
        <v>0</v>
      </c>
      <c r="R91" s="26">
        <v>24000</v>
      </c>
      <c r="S91" s="91">
        <f t="shared" si="14"/>
        <v>1.25</v>
      </c>
      <c r="T91" s="91">
        <f t="shared" si="15"/>
        <v>0</v>
      </c>
      <c r="U91" s="27" t="s">
        <v>56</v>
      </c>
      <c r="V91" s="30" t="s">
        <v>59</v>
      </c>
      <c r="W91" s="31">
        <v>46080</v>
      </c>
      <c r="X91" s="22"/>
      <c r="Y91" s="19" t="s">
        <v>52</v>
      </c>
      <c r="Z91" s="19" t="s">
        <v>52</v>
      </c>
      <c r="AA91" s="19" t="s">
        <v>52</v>
      </c>
      <c r="AB91" s="28"/>
    </row>
    <row r="92" spans="1:28" s="29" customFormat="1" ht="15" customHeight="1" x14ac:dyDescent="0.25">
      <c r="A92" s="14">
        <v>27</v>
      </c>
      <c r="B92" s="15">
        <v>46094</v>
      </c>
      <c r="C92" s="15">
        <f>B92+8</f>
        <v>46102</v>
      </c>
      <c r="D92" s="14">
        <v>13621</v>
      </c>
      <c r="E92" s="16" t="s">
        <v>861</v>
      </c>
      <c r="F92" s="17" t="s">
        <v>862</v>
      </c>
      <c r="G92" s="17" t="s">
        <v>102</v>
      </c>
      <c r="H92" s="18" t="s">
        <v>775</v>
      </c>
      <c r="I92" s="19" t="s">
        <v>135</v>
      </c>
      <c r="J92" s="20">
        <v>45919</v>
      </c>
      <c r="K92" s="20">
        <v>45970</v>
      </c>
      <c r="L92" s="21">
        <v>30000</v>
      </c>
      <c r="M92" s="22">
        <f t="shared" si="12"/>
        <v>0</v>
      </c>
      <c r="N92" s="23">
        <v>0</v>
      </c>
      <c r="O92" s="23">
        <v>0</v>
      </c>
      <c r="P92" s="24">
        <f t="shared" si="13"/>
        <v>30000</v>
      </c>
      <c r="Q92" s="25">
        <v>0</v>
      </c>
      <c r="R92" s="26">
        <v>24000</v>
      </c>
      <c r="S92" s="91">
        <f t="shared" si="14"/>
        <v>1.25</v>
      </c>
      <c r="T92" s="91">
        <f t="shared" si="15"/>
        <v>0</v>
      </c>
      <c r="U92" s="27" t="s">
        <v>56</v>
      </c>
      <c r="V92" s="30" t="s">
        <v>59</v>
      </c>
      <c r="W92" s="31">
        <v>46080</v>
      </c>
      <c r="X92" s="22"/>
      <c r="Y92" s="19" t="s">
        <v>52</v>
      </c>
      <c r="Z92" s="19" t="s">
        <v>52</v>
      </c>
      <c r="AA92" s="19" t="s">
        <v>52</v>
      </c>
      <c r="AB92" s="28"/>
    </row>
    <row r="93" spans="1:28" s="29" customFormat="1" ht="15" customHeight="1" x14ac:dyDescent="0.25">
      <c r="A93" s="14">
        <v>28</v>
      </c>
      <c r="B93" s="32" t="s">
        <v>68</v>
      </c>
      <c r="C93" s="32" t="s">
        <v>68</v>
      </c>
      <c r="D93" s="14">
        <v>13753</v>
      </c>
      <c r="E93" s="16" t="s">
        <v>907</v>
      </c>
      <c r="F93" s="17" t="s">
        <v>908</v>
      </c>
      <c r="G93" s="17" t="s">
        <v>102</v>
      </c>
      <c r="H93" s="18" t="s">
        <v>775</v>
      </c>
      <c r="I93" s="19" t="s">
        <v>135</v>
      </c>
      <c r="J93" s="20">
        <v>45944</v>
      </c>
      <c r="K93" s="20">
        <v>45980</v>
      </c>
      <c r="L93" s="21">
        <v>105000</v>
      </c>
      <c r="M93" s="22">
        <f t="shared" si="12"/>
        <v>0</v>
      </c>
      <c r="N93" s="23">
        <v>0</v>
      </c>
      <c r="O93" s="23">
        <v>0</v>
      </c>
      <c r="P93" s="24">
        <f t="shared" si="13"/>
        <v>105000</v>
      </c>
      <c r="Q93" s="25">
        <v>0</v>
      </c>
      <c r="R93" s="26">
        <v>24000</v>
      </c>
      <c r="S93" s="91">
        <f t="shared" si="14"/>
        <v>4.375</v>
      </c>
      <c r="T93" s="91">
        <f t="shared" si="15"/>
        <v>0</v>
      </c>
      <c r="U93" s="27" t="s">
        <v>56</v>
      </c>
      <c r="V93" s="30" t="s">
        <v>68</v>
      </c>
      <c r="W93" s="31" t="s">
        <v>68</v>
      </c>
      <c r="X93" s="22"/>
      <c r="Y93" s="19" t="s">
        <v>52</v>
      </c>
      <c r="Z93" s="19" t="s">
        <v>52</v>
      </c>
      <c r="AA93" s="41" t="s">
        <v>82</v>
      </c>
      <c r="AB93" s="28"/>
    </row>
    <row r="94" spans="1:28" s="29" customFormat="1" ht="15" customHeight="1" x14ac:dyDescent="0.25">
      <c r="A94" s="14">
        <v>29</v>
      </c>
      <c r="B94" s="15">
        <v>46094</v>
      </c>
      <c r="C94" s="15">
        <f>B94+8</f>
        <v>46102</v>
      </c>
      <c r="D94" s="14">
        <v>13755</v>
      </c>
      <c r="E94" s="16" t="s">
        <v>927</v>
      </c>
      <c r="F94" s="17" t="s">
        <v>928</v>
      </c>
      <c r="G94" s="17" t="s">
        <v>102</v>
      </c>
      <c r="H94" s="18" t="s">
        <v>54</v>
      </c>
      <c r="I94" s="19" t="s">
        <v>135</v>
      </c>
      <c r="J94" s="20">
        <v>45946</v>
      </c>
      <c r="K94" s="20">
        <v>45980</v>
      </c>
      <c r="L94" s="21">
        <v>60000</v>
      </c>
      <c r="M94" s="22">
        <f t="shared" si="12"/>
        <v>0</v>
      </c>
      <c r="N94" s="23">
        <v>0</v>
      </c>
      <c r="O94" s="23">
        <v>0</v>
      </c>
      <c r="P94" s="24">
        <f t="shared" si="13"/>
        <v>60000</v>
      </c>
      <c r="Q94" s="25">
        <v>0</v>
      </c>
      <c r="R94" s="26">
        <v>24000</v>
      </c>
      <c r="S94" s="91">
        <f t="shared" si="14"/>
        <v>2.5</v>
      </c>
      <c r="T94" s="91">
        <f t="shared" si="15"/>
        <v>0</v>
      </c>
      <c r="U94" s="27" t="s">
        <v>56</v>
      </c>
      <c r="V94" s="30" t="s">
        <v>59</v>
      </c>
      <c r="W94" s="31">
        <v>46080</v>
      </c>
      <c r="X94" s="22"/>
      <c r="Y94" s="19" t="s">
        <v>52</v>
      </c>
      <c r="Z94" s="19" t="s">
        <v>52</v>
      </c>
      <c r="AA94" s="19" t="s">
        <v>52</v>
      </c>
      <c r="AB94" s="28"/>
    </row>
    <row r="95" spans="1:28" s="29" customFormat="1" ht="15" customHeight="1" x14ac:dyDescent="0.25">
      <c r="A95" s="14">
        <v>30</v>
      </c>
      <c r="B95" s="32" t="s">
        <v>68</v>
      </c>
      <c r="C95" s="32" t="s">
        <v>68</v>
      </c>
      <c r="D95" s="14">
        <v>14027</v>
      </c>
      <c r="E95" s="16" t="s">
        <v>981</v>
      </c>
      <c r="F95" s="17" t="s">
        <v>982</v>
      </c>
      <c r="G95" s="17" t="s">
        <v>102</v>
      </c>
      <c r="H95" s="18" t="s">
        <v>54</v>
      </c>
      <c r="I95" s="19" t="s">
        <v>135</v>
      </c>
      <c r="J95" s="20">
        <v>45981</v>
      </c>
      <c r="K95" s="20">
        <v>46023</v>
      </c>
      <c r="L95" s="21">
        <v>30000</v>
      </c>
      <c r="M95" s="22">
        <f t="shared" si="12"/>
        <v>0</v>
      </c>
      <c r="N95" s="23">
        <v>0</v>
      </c>
      <c r="O95" s="23">
        <v>0</v>
      </c>
      <c r="P95" s="24">
        <f t="shared" si="13"/>
        <v>30000</v>
      </c>
      <c r="Q95" s="25">
        <v>0</v>
      </c>
      <c r="R95" s="26">
        <v>42000</v>
      </c>
      <c r="S95" s="91">
        <f t="shared" si="14"/>
        <v>0.7142857142857143</v>
      </c>
      <c r="T95" s="91">
        <f t="shared" si="15"/>
        <v>0</v>
      </c>
      <c r="U95" s="27" t="s">
        <v>56</v>
      </c>
      <c r="V95" s="30" t="s">
        <v>68</v>
      </c>
      <c r="W95" s="31" t="s">
        <v>68</v>
      </c>
      <c r="X95" s="22"/>
      <c r="Y95" s="19" t="s">
        <v>52</v>
      </c>
      <c r="Z95" s="19" t="s">
        <v>52</v>
      </c>
      <c r="AA95" s="41" t="s">
        <v>82</v>
      </c>
      <c r="AB95" s="28"/>
    </row>
    <row r="96" spans="1:28" s="29" customFormat="1" ht="15" customHeight="1" x14ac:dyDescent="0.25">
      <c r="A96" s="14">
        <v>31</v>
      </c>
      <c r="B96" s="32" t="s">
        <v>68</v>
      </c>
      <c r="C96" s="32" t="s">
        <v>68</v>
      </c>
      <c r="D96" s="14">
        <v>14025</v>
      </c>
      <c r="E96" s="16" t="s">
        <v>983</v>
      </c>
      <c r="F96" s="17" t="s">
        <v>984</v>
      </c>
      <c r="G96" s="17" t="s">
        <v>102</v>
      </c>
      <c r="H96" s="18" t="s">
        <v>54</v>
      </c>
      <c r="I96" s="19" t="s">
        <v>135</v>
      </c>
      <c r="J96" s="20">
        <v>45981</v>
      </c>
      <c r="K96" s="20">
        <v>46023</v>
      </c>
      <c r="L96" s="21">
        <v>30000</v>
      </c>
      <c r="M96" s="22">
        <f t="shared" si="12"/>
        <v>0</v>
      </c>
      <c r="N96" s="23">
        <v>0</v>
      </c>
      <c r="O96" s="23">
        <v>0</v>
      </c>
      <c r="P96" s="24">
        <f t="shared" si="13"/>
        <v>30000</v>
      </c>
      <c r="Q96" s="25">
        <v>0</v>
      </c>
      <c r="R96" s="26">
        <v>42000</v>
      </c>
      <c r="S96" s="91">
        <f t="shared" si="14"/>
        <v>0.7142857142857143</v>
      </c>
      <c r="T96" s="91">
        <f t="shared" si="15"/>
        <v>0</v>
      </c>
      <c r="U96" s="27" t="s">
        <v>56</v>
      </c>
      <c r="V96" s="30" t="s">
        <v>68</v>
      </c>
      <c r="W96" s="31" t="s">
        <v>68</v>
      </c>
      <c r="X96" s="22"/>
      <c r="Y96" s="41" t="s">
        <v>82</v>
      </c>
      <c r="Z96" s="41" t="s">
        <v>82</v>
      </c>
      <c r="AA96" s="41" t="s">
        <v>82</v>
      </c>
      <c r="AB96" s="28"/>
    </row>
    <row r="97" spans="1:28" s="29" customFormat="1" ht="15" customHeight="1" x14ac:dyDescent="0.25">
      <c r="A97" s="14">
        <v>32</v>
      </c>
      <c r="B97" s="32" t="s">
        <v>68</v>
      </c>
      <c r="C97" s="32" t="s">
        <v>68</v>
      </c>
      <c r="D97" s="14">
        <v>14023</v>
      </c>
      <c r="E97" s="16" t="s">
        <v>987</v>
      </c>
      <c r="F97" s="17" t="s">
        <v>988</v>
      </c>
      <c r="G97" s="17" t="s">
        <v>102</v>
      </c>
      <c r="H97" s="18" t="s">
        <v>54</v>
      </c>
      <c r="I97" s="19" t="s">
        <v>135</v>
      </c>
      <c r="J97" s="20">
        <v>45981</v>
      </c>
      <c r="K97" s="20">
        <v>46023</v>
      </c>
      <c r="L97" s="21">
        <v>30000</v>
      </c>
      <c r="M97" s="22">
        <f t="shared" si="12"/>
        <v>0</v>
      </c>
      <c r="N97" s="23">
        <v>0</v>
      </c>
      <c r="O97" s="23">
        <v>0</v>
      </c>
      <c r="P97" s="24">
        <f t="shared" si="13"/>
        <v>30000</v>
      </c>
      <c r="Q97" s="25">
        <v>0</v>
      </c>
      <c r="R97" s="26">
        <v>42000</v>
      </c>
      <c r="S97" s="91">
        <f t="shared" si="14"/>
        <v>0.7142857142857143</v>
      </c>
      <c r="T97" s="91">
        <f t="shared" si="15"/>
        <v>0</v>
      </c>
      <c r="U97" s="27" t="s">
        <v>56</v>
      </c>
      <c r="V97" s="30" t="s">
        <v>68</v>
      </c>
      <c r="W97" s="31" t="s">
        <v>68</v>
      </c>
      <c r="X97" s="22"/>
      <c r="Y97" s="41" t="s">
        <v>82</v>
      </c>
      <c r="Z97" s="41" t="s">
        <v>82</v>
      </c>
      <c r="AA97" s="41" t="s">
        <v>82</v>
      </c>
      <c r="AB97" s="28"/>
    </row>
    <row r="98" spans="1:28" s="29" customFormat="1" ht="15" customHeight="1" x14ac:dyDescent="0.25">
      <c r="A98" s="14">
        <v>33</v>
      </c>
      <c r="B98" s="32" t="s">
        <v>68</v>
      </c>
      <c r="C98" s="32" t="s">
        <v>68</v>
      </c>
      <c r="D98" s="14">
        <v>14022</v>
      </c>
      <c r="E98" s="16" t="s">
        <v>989</v>
      </c>
      <c r="F98" s="17" t="s">
        <v>990</v>
      </c>
      <c r="G98" s="17" t="s">
        <v>102</v>
      </c>
      <c r="H98" s="18" t="s">
        <v>54</v>
      </c>
      <c r="I98" s="19" t="s">
        <v>135</v>
      </c>
      <c r="J98" s="20">
        <v>45981</v>
      </c>
      <c r="K98" s="20">
        <v>46023</v>
      </c>
      <c r="L98" s="21">
        <v>30000</v>
      </c>
      <c r="M98" s="22">
        <f t="shared" ref="M98:M123" si="17">SUM(N98:O98)</f>
        <v>0</v>
      </c>
      <c r="N98" s="23">
        <v>0</v>
      </c>
      <c r="O98" s="23">
        <v>0</v>
      </c>
      <c r="P98" s="24">
        <f t="shared" ref="P98:P123" si="18">L98-N98</f>
        <v>30000</v>
      </c>
      <c r="Q98" s="25">
        <v>0</v>
      </c>
      <c r="R98" s="26">
        <v>42000</v>
      </c>
      <c r="S98" s="91">
        <f t="shared" ref="S98:S123" si="19">IF(P98&gt;0,P98/$R98,0)</f>
        <v>0.7142857142857143</v>
      </c>
      <c r="T98" s="91">
        <f t="shared" ref="T98:T123" si="20">IF(Q98&gt;0,Q98/$R98,0)</f>
        <v>0</v>
      </c>
      <c r="U98" s="27" t="s">
        <v>56</v>
      </c>
      <c r="V98" s="30" t="s">
        <v>68</v>
      </c>
      <c r="W98" s="31" t="s">
        <v>68</v>
      </c>
      <c r="X98" s="22"/>
      <c r="Y98" s="41" t="s">
        <v>82</v>
      </c>
      <c r="Z98" s="41" t="s">
        <v>82</v>
      </c>
      <c r="AA98" s="41" t="s">
        <v>82</v>
      </c>
      <c r="AB98" s="28"/>
    </row>
    <row r="99" spans="1:28" s="29" customFormat="1" ht="15" customHeight="1" x14ac:dyDescent="0.25">
      <c r="A99" s="14">
        <v>34</v>
      </c>
      <c r="B99" s="32" t="s">
        <v>68</v>
      </c>
      <c r="C99" s="32" t="s">
        <v>68</v>
      </c>
      <c r="D99" s="14">
        <v>14026</v>
      </c>
      <c r="E99" s="16" t="s">
        <v>1010</v>
      </c>
      <c r="F99" s="17" t="s">
        <v>1011</v>
      </c>
      <c r="G99" s="17" t="s">
        <v>102</v>
      </c>
      <c r="H99" s="18" t="s">
        <v>54</v>
      </c>
      <c r="I99" s="19" t="s">
        <v>135</v>
      </c>
      <c r="J99" s="20">
        <v>45981</v>
      </c>
      <c r="K99" s="20">
        <v>46023</v>
      </c>
      <c r="L99" s="21">
        <v>30000</v>
      </c>
      <c r="M99" s="22">
        <f t="shared" si="17"/>
        <v>0</v>
      </c>
      <c r="N99" s="23">
        <v>0</v>
      </c>
      <c r="O99" s="23">
        <v>0</v>
      </c>
      <c r="P99" s="24">
        <f t="shared" si="18"/>
        <v>30000</v>
      </c>
      <c r="Q99" s="25">
        <v>0</v>
      </c>
      <c r="R99" s="26">
        <v>42000</v>
      </c>
      <c r="S99" s="91">
        <f t="shared" si="19"/>
        <v>0.7142857142857143</v>
      </c>
      <c r="T99" s="91">
        <f t="shared" si="20"/>
        <v>0</v>
      </c>
      <c r="U99" s="27" t="s">
        <v>56</v>
      </c>
      <c r="V99" s="30" t="s">
        <v>68</v>
      </c>
      <c r="W99" s="31" t="s">
        <v>68</v>
      </c>
      <c r="X99" s="22"/>
      <c r="Y99" s="19" t="s">
        <v>52</v>
      </c>
      <c r="Z99" s="19" t="s">
        <v>52</v>
      </c>
      <c r="AA99" s="41" t="s">
        <v>82</v>
      </c>
      <c r="AB99" s="28"/>
    </row>
    <row r="100" spans="1:28" s="29" customFormat="1" ht="15" customHeight="1" x14ac:dyDescent="0.25">
      <c r="A100" s="14">
        <v>35</v>
      </c>
      <c r="B100" s="32" t="s">
        <v>68</v>
      </c>
      <c r="C100" s="32" t="s">
        <v>68</v>
      </c>
      <c r="D100" s="14">
        <v>14044</v>
      </c>
      <c r="E100" s="16" t="s">
        <v>967</v>
      </c>
      <c r="F100" s="17" t="s">
        <v>968</v>
      </c>
      <c r="G100" s="17" t="s">
        <v>102</v>
      </c>
      <c r="H100" s="18" t="s">
        <v>54</v>
      </c>
      <c r="I100" s="19" t="s">
        <v>135</v>
      </c>
      <c r="J100" s="20">
        <v>45981</v>
      </c>
      <c r="K100" s="20">
        <v>46027</v>
      </c>
      <c r="L100" s="21">
        <v>30000</v>
      </c>
      <c r="M100" s="22">
        <f t="shared" si="17"/>
        <v>0</v>
      </c>
      <c r="N100" s="23">
        <v>0</v>
      </c>
      <c r="O100" s="23">
        <v>0</v>
      </c>
      <c r="P100" s="24">
        <f t="shared" si="18"/>
        <v>30000</v>
      </c>
      <c r="Q100" s="25">
        <v>0</v>
      </c>
      <c r="R100" s="26">
        <v>42000</v>
      </c>
      <c r="S100" s="91">
        <f t="shared" si="19"/>
        <v>0.7142857142857143</v>
      </c>
      <c r="T100" s="91">
        <f t="shared" si="20"/>
        <v>0</v>
      </c>
      <c r="U100" s="27" t="s">
        <v>56</v>
      </c>
      <c r="V100" s="30" t="s">
        <v>68</v>
      </c>
      <c r="W100" s="31" t="s">
        <v>68</v>
      </c>
      <c r="X100" s="22"/>
      <c r="Y100" s="41" t="s">
        <v>82</v>
      </c>
      <c r="Z100" s="41" t="s">
        <v>82</v>
      </c>
      <c r="AA100" s="41" t="s">
        <v>82</v>
      </c>
      <c r="AB100" s="28"/>
    </row>
    <row r="101" spans="1:28" s="29" customFormat="1" ht="15" customHeight="1" x14ac:dyDescent="0.25">
      <c r="A101" s="14">
        <v>38</v>
      </c>
      <c r="B101" s="15">
        <v>46094</v>
      </c>
      <c r="C101" s="15">
        <f>B101+8</f>
        <v>46102</v>
      </c>
      <c r="D101" s="14">
        <v>14033</v>
      </c>
      <c r="E101" s="16" t="s">
        <v>997</v>
      </c>
      <c r="F101" s="17" t="s">
        <v>998</v>
      </c>
      <c r="G101" s="17" t="s">
        <v>102</v>
      </c>
      <c r="H101" s="18" t="s">
        <v>54</v>
      </c>
      <c r="I101" s="19" t="s">
        <v>135</v>
      </c>
      <c r="J101" s="20">
        <v>45981</v>
      </c>
      <c r="K101" s="20">
        <v>46036</v>
      </c>
      <c r="L101" s="21">
        <v>30000</v>
      </c>
      <c r="M101" s="22">
        <f t="shared" si="17"/>
        <v>0</v>
      </c>
      <c r="N101" s="23">
        <v>0</v>
      </c>
      <c r="O101" s="23">
        <v>0</v>
      </c>
      <c r="P101" s="24">
        <f t="shared" si="18"/>
        <v>30000</v>
      </c>
      <c r="Q101" s="25">
        <v>0</v>
      </c>
      <c r="R101" s="26">
        <v>42000</v>
      </c>
      <c r="S101" s="91">
        <f t="shared" si="19"/>
        <v>0.7142857142857143</v>
      </c>
      <c r="T101" s="91">
        <f t="shared" si="20"/>
        <v>0</v>
      </c>
      <c r="U101" s="27" t="s">
        <v>56</v>
      </c>
      <c r="V101" s="30" t="s">
        <v>59</v>
      </c>
      <c r="W101" s="31">
        <v>46071</v>
      </c>
      <c r="X101" s="22"/>
      <c r="Y101" s="19" t="s">
        <v>52</v>
      </c>
      <c r="Z101" s="19" t="s">
        <v>52</v>
      </c>
      <c r="AA101" s="19" t="s">
        <v>52</v>
      </c>
      <c r="AB101" s="28"/>
    </row>
    <row r="102" spans="1:28" s="29" customFormat="1" ht="15" customHeight="1" x14ac:dyDescent="0.25">
      <c r="A102" s="14">
        <v>39</v>
      </c>
      <c r="B102" s="32" t="s">
        <v>68</v>
      </c>
      <c r="C102" s="32" t="s">
        <v>68</v>
      </c>
      <c r="D102" s="14">
        <v>14032</v>
      </c>
      <c r="E102" s="16" t="s">
        <v>999</v>
      </c>
      <c r="F102" s="17" t="s">
        <v>1000</v>
      </c>
      <c r="G102" s="17" t="s">
        <v>102</v>
      </c>
      <c r="H102" s="18" t="s">
        <v>54</v>
      </c>
      <c r="I102" s="19" t="s">
        <v>135</v>
      </c>
      <c r="J102" s="20">
        <v>45981</v>
      </c>
      <c r="K102" s="20">
        <v>46036</v>
      </c>
      <c r="L102" s="21">
        <v>30000</v>
      </c>
      <c r="M102" s="22">
        <f t="shared" si="17"/>
        <v>0</v>
      </c>
      <c r="N102" s="23">
        <v>0</v>
      </c>
      <c r="O102" s="23">
        <v>0</v>
      </c>
      <c r="P102" s="24">
        <f t="shared" si="18"/>
        <v>30000</v>
      </c>
      <c r="Q102" s="25">
        <v>0</v>
      </c>
      <c r="R102" s="26">
        <v>42000</v>
      </c>
      <c r="S102" s="91">
        <f t="shared" si="19"/>
        <v>0.7142857142857143</v>
      </c>
      <c r="T102" s="91">
        <f t="shared" si="20"/>
        <v>0</v>
      </c>
      <c r="U102" s="27" t="s">
        <v>56</v>
      </c>
      <c r="V102" s="30" t="s">
        <v>68</v>
      </c>
      <c r="W102" s="31" t="s">
        <v>68</v>
      </c>
      <c r="X102" s="22"/>
      <c r="Y102" s="19" t="s">
        <v>52</v>
      </c>
      <c r="Z102" s="19" t="s">
        <v>52</v>
      </c>
      <c r="AA102" s="41" t="s">
        <v>82</v>
      </c>
      <c r="AB102" s="28"/>
    </row>
    <row r="103" spans="1:28" s="29" customFormat="1" ht="15" customHeight="1" x14ac:dyDescent="0.25">
      <c r="A103" s="14">
        <v>40</v>
      </c>
      <c r="B103" s="32" t="s">
        <v>68</v>
      </c>
      <c r="C103" s="32" t="s">
        <v>68</v>
      </c>
      <c r="D103" s="14">
        <v>14030</v>
      </c>
      <c r="E103" s="16" t="s">
        <v>1001</v>
      </c>
      <c r="F103" s="17" t="s">
        <v>1002</v>
      </c>
      <c r="G103" s="17" t="s">
        <v>102</v>
      </c>
      <c r="H103" s="18" t="s">
        <v>54</v>
      </c>
      <c r="I103" s="19" t="s">
        <v>135</v>
      </c>
      <c r="J103" s="20">
        <v>45981</v>
      </c>
      <c r="K103" s="20">
        <v>46036</v>
      </c>
      <c r="L103" s="21">
        <v>30000</v>
      </c>
      <c r="M103" s="22">
        <f t="shared" si="17"/>
        <v>0</v>
      </c>
      <c r="N103" s="23">
        <v>0</v>
      </c>
      <c r="O103" s="23">
        <v>0</v>
      </c>
      <c r="P103" s="24">
        <f t="shared" si="18"/>
        <v>30000</v>
      </c>
      <c r="Q103" s="25">
        <v>0</v>
      </c>
      <c r="R103" s="26">
        <v>42000</v>
      </c>
      <c r="S103" s="91">
        <f t="shared" si="19"/>
        <v>0.7142857142857143</v>
      </c>
      <c r="T103" s="91">
        <f t="shared" si="20"/>
        <v>0</v>
      </c>
      <c r="U103" s="27" t="s">
        <v>56</v>
      </c>
      <c r="V103" s="30" t="s">
        <v>68</v>
      </c>
      <c r="W103" s="31" t="s">
        <v>68</v>
      </c>
      <c r="X103" s="22"/>
      <c r="Y103" s="19" t="s">
        <v>52</v>
      </c>
      <c r="Z103" s="19" t="s">
        <v>52</v>
      </c>
      <c r="AA103" s="41" t="s">
        <v>82</v>
      </c>
      <c r="AB103" s="28"/>
    </row>
    <row r="104" spans="1:28" s="29" customFormat="1" ht="15" customHeight="1" x14ac:dyDescent="0.25">
      <c r="A104" s="14">
        <v>41</v>
      </c>
      <c r="B104" s="32" t="s">
        <v>68</v>
      </c>
      <c r="C104" s="32" t="s">
        <v>68</v>
      </c>
      <c r="D104" s="14">
        <v>14029</v>
      </c>
      <c r="E104" s="16" t="s">
        <v>1003</v>
      </c>
      <c r="F104" s="17" t="s">
        <v>1004</v>
      </c>
      <c r="G104" s="17" t="s">
        <v>102</v>
      </c>
      <c r="H104" s="18" t="s">
        <v>54</v>
      </c>
      <c r="I104" s="19" t="s">
        <v>135</v>
      </c>
      <c r="J104" s="20">
        <v>45981</v>
      </c>
      <c r="K104" s="20">
        <v>46036</v>
      </c>
      <c r="L104" s="21">
        <v>30000</v>
      </c>
      <c r="M104" s="22">
        <f t="shared" si="17"/>
        <v>0</v>
      </c>
      <c r="N104" s="23">
        <v>0</v>
      </c>
      <c r="O104" s="23">
        <v>0</v>
      </c>
      <c r="P104" s="24">
        <f t="shared" si="18"/>
        <v>30000</v>
      </c>
      <c r="Q104" s="25">
        <v>0</v>
      </c>
      <c r="R104" s="26">
        <v>42000</v>
      </c>
      <c r="S104" s="91">
        <f t="shared" si="19"/>
        <v>0.7142857142857143</v>
      </c>
      <c r="T104" s="91">
        <f t="shared" si="20"/>
        <v>0</v>
      </c>
      <c r="U104" s="27" t="s">
        <v>56</v>
      </c>
      <c r="V104" s="30" t="s">
        <v>68</v>
      </c>
      <c r="W104" s="31" t="s">
        <v>68</v>
      </c>
      <c r="X104" s="22"/>
      <c r="Y104" s="19" t="s">
        <v>52</v>
      </c>
      <c r="Z104" s="19" t="s">
        <v>52</v>
      </c>
      <c r="AA104" s="41" t="s">
        <v>82</v>
      </c>
      <c r="AB104" s="28"/>
    </row>
    <row r="105" spans="1:28" s="29" customFormat="1" ht="15" customHeight="1" x14ac:dyDescent="0.25">
      <c r="A105" s="14">
        <v>42</v>
      </c>
      <c r="B105" s="32" t="s">
        <v>68</v>
      </c>
      <c r="C105" s="32" t="s">
        <v>68</v>
      </c>
      <c r="D105" s="14">
        <v>14028</v>
      </c>
      <c r="E105" s="16" t="s">
        <v>1007</v>
      </c>
      <c r="F105" s="17" t="s">
        <v>1008</v>
      </c>
      <c r="G105" s="17" t="s">
        <v>102</v>
      </c>
      <c r="H105" s="18" t="s">
        <v>54</v>
      </c>
      <c r="I105" s="19" t="s">
        <v>135</v>
      </c>
      <c r="J105" s="20">
        <v>45981</v>
      </c>
      <c r="K105" s="20">
        <v>46036</v>
      </c>
      <c r="L105" s="21">
        <v>30000</v>
      </c>
      <c r="M105" s="22">
        <f t="shared" si="17"/>
        <v>0</v>
      </c>
      <c r="N105" s="23">
        <v>0</v>
      </c>
      <c r="O105" s="23">
        <v>0</v>
      </c>
      <c r="P105" s="24">
        <f t="shared" si="18"/>
        <v>30000</v>
      </c>
      <c r="Q105" s="25">
        <v>0</v>
      </c>
      <c r="R105" s="26">
        <v>42000</v>
      </c>
      <c r="S105" s="91">
        <f t="shared" si="19"/>
        <v>0.7142857142857143</v>
      </c>
      <c r="T105" s="91">
        <f t="shared" si="20"/>
        <v>0</v>
      </c>
      <c r="U105" s="27" t="s">
        <v>56</v>
      </c>
      <c r="V105" s="30" t="s">
        <v>68</v>
      </c>
      <c r="W105" s="31" t="s">
        <v>68</v>
      </c>
      <c r="X105" s="22"/>
      <c r="Y105" s="19" t="s">
        <v>52</v>
      </c>
      <c r="Z105" s="19" t="s">
        <v>52</v>
      </c>
      <c r="AA105" s="41" t="s">
        <v>82</v>
      </c>
      <c r="AB105" s="28"/>
    </row>
    <row r="106" spans="1:28" s="29" customFormat="1" ht="15" customHeight="1" x14ac:dyDescent="0.25">
      <c r="A106" s="14">
        <v>43</v>
      </c>
      <c r="B106" s="32" t="s">
        <v>68</v>
      </c>
      <c r="C106" s="32" t="s">
        <v>68</v>
      </c>
      <c r="D106" s="14">
        <v>14035</v>
      </c>
      <c r="E106" s="16" t="s">
        <v>1012</v>
      </c>
      <c r="F106" s="17" t="s">
        <v>1013</v>
      </c>
      <c r="G106" s="17" t="s">
        <v>102</v>
      </c>
      <c r="H106" s="18" t="s">
        <v>54</v>
      </c>
      <c r="I106" s="19" t="s">
        <v>135</v>
      </c>
      <c r="J106" s="20">
        <v>45982</v>
      </c>
      <c r="K106" s="20">
        <v>46036</v>
      </c>
      <c r="L106" s="21">
        <v>30000</v>
      </c>
      <c r="M106" s="22">
        <f t="shared" si="17"/>
        <v>0</v>
      </c>
      <c r="N106" s="23">
        <v>0</v>
      </c>
      <c r="O106" s="23">
        <v>0</v>
      </c>
      <c r="P106" s="24">
        <f t="shared" si="18"/>
        <v>30000</v>
      </c>
      <c r="Q106" s="25">
        <v>0</v>
      </c>
      <c r="R106" s="26">
        <v>42000</v>
      </c>
      <c r="S106" s="91">
        <f t="shared" si="19"/>
        <v>0.7142857142857143</v>
      </c>
      <c r="T106" s="91">
        <f t="shared" si="20"/>
        <v>0</v>
      </c>
      <c r="U106" s="27" t="s">
        <v>56</v>
      </c>
      <c r="V106" s="30" t="s">
        <v>68</v>
      </c>
      <c r="W106" s="31" t="s">
        <v>68</v>
      </c>
      <c r="X106" s="22"/>
      <c r="Y106" s="19" t="s">
        <v>52</v>
      </c>
      <c r="Z106" s="19" t="s">
        <v>52</v>
      </c>
      <c r="AA106" s="41" t="s">
        <v>82</v>
      </c>
      <c r="AB106" s="28"/>
    </row>
    <row r="107" spans="1:28" s="29" customFormat="1" ht="15" customHeight="1" x14ac:dyDescent="0.25">
      <c r="A107" s="14">
        <v>44</v>
      </c>
      <c r="B107" s="32" t="s">
        <v>68</v>
      </c>
      <c r="C107" s="32" t="s">
        <v>68</v>
      </c>
      <c r="D107" s="14">
        <v>14047</v>
      </c>
      <c r="E107" s="16" t="s">
        <v>837</v>
      </c>
      <c r="F107" s="17" t="s">
        <v>838</v>
      </c>
      <c r="G107" s="17" t="s">
        <v>102</v>
      </c>
      <c r="H107" s="18" t="s">
        <v>54</v>
      </c>
      <c r="I107" s="19" t="s">
        <v>135</v>
      </c>
      <c r="J107" s="20">
        <v>45981</v>
      </c>
      <c r="K107" s="20">
        <v>46043</v>
      </c>
      <c r="L107" s="21">
        <v>30000</v>
      </c>
      <c r="M107" s="22">
        <f t="shared" si="17"/>
        <v>0</v>
      </c>
      <c r="N107" s="23">
        <v>0</v>
      </c>
      <c r="O107" s="23">
        <v>0</v>
      </c>
      <c r="P107" s="24">
        <f t="shared" si="18"/>
        <v>30000</v>
      </c>
      <c r="Q107" s="25">
        <v>0</v>
      </c>
      <c r="R107" s="26">
        <v>42000</v>
      </c>
      <c r="S107" s="91">
        <f t="shared" si="19"/>
        <v>0.7142857142857143</v>
      </c>
      <c r="T107" s="91">
        <f t="shared" si="20"/>
        <v>0</v>
      </c>
      <c r="U107" s="27" t="s">
        <v>56</v>
      </c>
      <c r="V107" s="30" t="s">
        <v>68</v>
      </c>
      <c r="W107" s="31" t="s">
        <v>68</v>
      </c>
      <c r="X107" s="22"/>
      <c r="Y107" s="19" t="s">
        <v>52</v>
      </c>
      <c r="Z107" s="19" t="s">
        <v>52</v>
      </c>
      <c r="AA107" s="41" t="s">
        <v>82</v>
      </c>
      <c r="AB107" s="28"/>
    </row>
    <row r="108" spans="1:28" s="29" customFormat="1" ht="15" customHeight="1" x14ac:dyDescent="0.25">
      <c r="A108" s="14">
        <v>45</v>
      </c>
      <c r="B108" s="15">
        <v>46094</v>
      </c>
      <c r="C108" s="15">
        <f>B108+8</f>
        <v>46102</v>
      </c>
      <c r="D108" s="14">
        <v>13750</v>
      </c>
      <c r="E108" s="16" t="s">
        <v>909</v>
      </c>
      <c r="F108" s="17" t="s">
        <v>910</v>
      </c>
      <c r="G108" s="17" t="s">
        <v>102</v>
      </c>
      <c r="H108" s="18" t="s">
        <v>775</v>
      </c>
      <c r="I108" s="19" t="s">
        <v>135</v>
      </c>
      <c r="J108" s="20">
        <v>45944</v>
      </c>
      <c r="K108" s="20">
        <v>46048</v>
      </c>
      <c r="L108" s="21">
        <v>62000</v>
      </c>
      <c r="M108" s="22">
        <f t="shared" si="17"/>
        <v>0</v>
      </c>
      <c r="N108" s="23">
        <v>0</v>
      </c>
      <c r="O108" s="23">
        <v>0</v>
      </c>
      <c r="P108" s="24">
        <f t="shared" si="18"/>
        <v>62000</v>
      </c>
      <c r="Q108" s="25">
        <v>0</v>
      </c>
      <c r="R108" s="26">
        <v>24000</v>
      </c>
      <c r="S108" s="91">
        <f t="shared" si="19"/>
        <v>2.5833333333333335</v>
      </c>
      <c r="T108" s="91">
        <f t="shared" si="20"/>
        <v>0</v>
      </c>
      <c r="U108" s="27" t="s">
        <v>56</v>
      </c>
      <c r="V108" s="30" t="s">
        <v>59</v>
      </c>
      <c r="W108" s="31">
        <v>46080</v>
      </c>
      <c r="X108" s="22"/>
      <c r="Y108" s="19" t="s">
        <v>52</v>
      </c>
      <c r="Z108" s="19" t="s">
        <v>52</v>
      </c>
      <c r="AA108" s="41" t="s">
        <v>82</v>
      </c>
      <c r="AB108" s="28"/>
    </row>
    <row r="109" spans="1:28" s="29" customFormat="1" ht="15" customHeight="1" x14ac:dyDescent="0.25">
      <c r="A109" s="14">
        <v>46</v>
      </c>
      <c r="B109" s="15">
        <v>46083</v>
      </c>
      <c r="C109" s="15">
        <f>B109+8</f>
        <v>46091</v>
      </c>
      <c r="D109" s="14">
        <v>13751</v>
      </c>
      <c r="E109" s="16" t="s">
        <v>923</v>
      </c>
      <c r="F109" s="17" t="s">
        <v>924</v>
      </c>
      <c r="G109" s="17" t="s">
        <v>102</v>
      </c>
      <c r="H109" s="18" t="s">
        <v>54</v>
      </c>
      <c r="I109" s="19" t="s">
        <v>135</v>
      </c>
      <c r="J109" s="20">
        <v>45946</v>
      </c>
      <c r="K109" s="20">
        <v>46048</v>
      </c>
      <c r="L109" s="21">
        <v>65000</v>
      </c>
      <c r="M109" s="22">
        <f t="shared" si="17"/>
        <v>0</v>
      </c>
      <c r="N109" s="23">
        <v>0</v>
      </c>
      <c r="O109" s="23">
        <v>0</v>
      </c>
      <c r="P109" s="24">
        <f t="shared" si="18"/>
        <v>65000</v>
      </c>
      <c r="Q109" s="25">
        <v>0</v>
      </c>
      <c r="R109" s="26">
        <v>24000</v>
      </c>
      <c r="S109" s="91">
        <f t="shared" si="19"/>
        <v>2.7083333333333335</v>
      </c>
      <c r="T109" s="91">
        <f t="shared" si="20"/>
        <v>0</v>
      </c>
      <c r="U109" s="27" t="s">
        <v>56</v>
      </c>
      <c r="V109" s="30" t="s">
        <v>59</v>
      </c>
      <c r="W109" s="31">
        <v>46071</v>
      </c>
      <c r="X109" s="22"/>
      <c r="Y109" s="19" t="s">
        <v>52</v>
      </c>
      <c r="Z109" s="19" t="s">
        <v>52</v>
      </c>
      <c r="AA109" s="19" t="s">
        <v>52</v>
      </c>
      <c r="AB109" s="28"/>
    </row>
    <row r="110" spans="1:28" s="29" customFormat="1" ht="15" customHeight="1" x14ac:dyDescent="0.25">
      <c r="A110" s="14">
        <v>47</v>
      </c>
      <c r="B110" s="15">
        <v>46094</v>
      </c>
      <c r="C110" s="15">
        <f>B110+8</f>
        <v>46102</v>
      </c>
      <c r="D110" s="14">
        <v>13610</v>
      </c>
      <c r="E110" s="16" t="s">
        <v>845</v>
      </c>
      <c r="F110" s="17" t="s">
        <v>846</v>
      </c>
      <c r="G110" s="17" t="s">
        <v>102</v>
      </c>
      <c r="H110" s="18" t="s">
        <v>775</v>
      </c>
      <c r="I110" s="19" t="s">
        <v>135</v>
      </c>
      <c r="J110" s="20">
        <v>45919</v>
      </c>
      <c r="K110" s="20">
        <v>46064</v>
      </c>
      <c r="L110" s="21">
        <v>150000</v>
      </c>
      <c r="M110" s="22">
        <f t="shared" si="17"/>
        <v>0</v>
      </c>
      <c r="N110" s="23">
        <v>0</v>
      </c>
      <c r="O110" s="23">
        <v>0</v>
      </c>
      <c r="P110" s="24">
        <f t="shared" si="18"/>
        <v>150000</v>
      </c>
      <c r="Q110" s="25">
        <v>0</v>
      </c>
      <c r="R110" s="26">
        <v>24000</v>
      </c>
      <c r="S110" s="91">
        <f t="shared" si="19"/>
        <v>6.25</v>
      </c>
      <c r="T110" s="91">
        <f t="shared" si="20"/>
        <v>0</v>
      </c>
      <c r="U110" s="27" t="s">
        <v>56</v>
      </c>
      <c r="V110" s="30" t="s">
        <v>59</v>
      </c>
      <c r="W110" s="31">
        <v>46078</v>
      </c>
      <c r="X110" s="22"/>
      <c r="Y110" s="19" t="s">
        <v>52</v>
      </c>
      <c r="Z110" s="19" t="s">
        <v>52</v>
      </c>
      <c r="AA110" s="19" t="s">
        <v>52</v>
      </c>
      <c r="AB110" s="28"/>
    </row>
    <row r="111" spans="1:28" s="29" customFormat="1" ht="15" customHeight="1" x14ac:dyDescent="0.25">
      <c r="A111" s="14">
        <v>48</v>
      </c>
      <c r="B111" s="32">
        <v>46104</v>
      </c>
      <c r="C111" s="32">
        <f>B1116+8</f>
        <v>8</v>
      </c>
      <c r="D111" s="14">
        <v>13570</v>
      </c>
      <c r="E111" s="16" t="s">
        <v>878</v>
      </c>
      <c r="F111" s="17" t="s">
        <v>879</v>
      </c>
      <c r="G111" s="17" t="s">
        <v>102</v>
      </c>
      <c r="H111" s="18" t="s">
        <v>54</v>
      </c>
      <c r="I111" s="19" t="s">
        <v>135</v>
      </c>
      <c r="J111" s="20">
        <v>45922</v>
      </c>
      <c r="K111" s="20">
        <v>46069</v>
      </c>
      <c r="L111" s="21">
        <v>60000</v>
      </c>
      <c r="M111" s="22">
        <f t="shared" si="17"/>
        <v>0</v>
      </c>
      <c r="N111" s="23">
        <v>0</v>
      </c>
      <c r="O111" s="23">
        <v>0</v>
      </c>
      <c r="P111" s="24">
        <f t="shared" si="18"/>
        <v>60000</v>
      </c>
      <c r="Q111" s="25">
        <v>0</v>
      </c>
      <c r="R111" s="26">
        <v>24000</v>
      </c>
      <c r="S111" s="91">
        <f t="shared" si="19"/>
        <v>2.5</v>
      </c>
      <c r="T111" s="91">
        <f t="shared" si="20"/>
        <v>0</v>
      </c>
      <c r="U111" s="27" t="s">
        <v>56</v>
      </c>
      <c r="V111" s="30" t="s">
        <v>59</v>
      </c>
      <c r="W111" s="31">
        <v>46087</v>
      </c>
      <c r="X111" s="22"/>
      <c r="Y111" s="19" t="s">
        <v>52</v>
      </c>
      <c r="Z111" s="19" t="s">
        <v>52</v>
      </c>
      <c r="AA111" s="19" t="s">
        <v>52</v>
      </c>
      <c r="AB111" s="28"/>
    </row>
    <row r="112" spans="1:28" s="29" customFormat="1" ht="15" customHeight="1" x14ac:dyDescent="0.25">
      <c r="A112" s="14">
        <v>49</v>
      </c>
      <c r="B112" s="15">
        <v>46093</v>
      </c>
      <c r="C112" s="15">
        <f t="shared" ref="C112:C113" si="21">B112+8</f>
        <v>46101</v>
      </c>
      <c r="D112" s="14">
        <v>14368</v>
      </c>
      <c r="E112" s="16" t="s">
        <v>1078</v>
      </c>
      <c r="F112" s="17" t="s">
        <v>1079</v>
      </c>
      <c r="G112" s="17" t="s">
        <v>102</v>
      </c>
      <c r="H112" s="18" t="s">
        <v>54</v>
      </c>
      <c r="I112" s="19" t="s">
        <v>135</v>
      </c>
      <c r="J112" s="20">
        <v>46040</v>
      </c>
      <c r="K112" s="20">
        <v>46069</v>
      </c>
      <c r="L112" s="21">
        <v>85000</v>
      </c>
      <c r="M112" s="22">
        <f t="shared" si="17"/>
        <v>0</v>
      </c>
      <c r="N112" s="23">
        <v>0</v>
      </c>
      <c r="O112" s="23">
        <v>0</v>
      </c>
      <c r="P112" s="24">
        <f t="shared" si="18"/>
        <v>85000</v>
      </c>
      <c r="Q112" s="25">
        <v>0</v>
      </c>
      <c r="R112" s="26">
        <v>42000</v>
      </c>
      <c r="S112" s="91">
        <f t="shared" si="19"/>
        <v>2.0238095238095237</v>
      </c>
      <c r="T112" s="91">
        <f t="shared" si="20"/>
        <v>0</v>
      </c>
      <c r="U112" s="27" t="s">
        <v>56</v>
      </c>
      <c r="V112" s="30" t="s">
        <v>59</v>
      </c>
      <c r="W112" s="31">
        <v>46080</v>
      </c>
      <c r="X112" s="22"/>
      <c r="Y112" s="19" t="s">
        <v>52</v>
      </c>
      <c r="Z112" s="19" t="s">
        <v>52</v>
      </c>
      <c r="AA112" s="19" t="s">
        <v>52</v>
      </c>
      <c r="AB112" s="28"/>
    </row>
    <row r="113" spans="1:28" s="29" customFormat="1" ht="15" customHeight="1" x14ac:dyDescent="0.25">
      <c r="A113" s="14">
        <v>50</v>
      </c>
      <c r="B113" s="15">
        <v>46087</v>
      </c>
      <c r="C113" s="15">
        <f t="shared" si="21"/>
        <v>46095</v>
      </c>
      <c r="D113" s="14">
        <v>14390</v>
      </c>
      <c r="E113" s="16" t="s">
        <v>1082</v>
      </c>
      <c r="F113" s="17" t="s">
        <v>914</v>
      </c>
      <c r="G113" s="17" t="s">
        <v>102</v>
      </c>
      <c r="H113" s="18" t="s">
        <v>54</v>
      </c>
      <c r="I113" s="19" t="s">
        <v>135</v>
      </c>
      <c r="J113" s="20">
        <v>46043</v>
      </c>
      <c r="K113" s="20">
        <v>46069</v>
      </c>
      <c r="L113" s="21">
        <v>30000</v>
      </c>
      <c r="M113" s="22">
        <f t="shared" si="17"/>
        <v>0</v>
      </c>
      <c r="N113" s="23">
        <v>0</v>
      </c>
      <c r="O113" s="23">
        <v>0</v>
      </c>
      <c r="P113" s="24">
        <f t="shared" si="18"/>
        <v>30000</v>
      </c>
      <c r="Q113" s="25">
        <v>0</v>
      </c>
      <c r="R113" s="26">
        <v>42000</v>
      </c>
      <c r="S113" s="91">
        <f t="shared" si="19"/>
        <v>0.7142857142857143</v>
      </c>
      <c r="T113" s="91">
        <f t="shared" si="20"/>
        <v>0</v>
      </c>
      <c r="U113" s="27" t="s">
        <v>56</v>
      </c>
      <c r="V113" s="30" t="s">
        <v>59</v>
      </c>
      <c r="W113" s="31">
        <v>46080</v>
      </c>
      <c r="X113" s="22"/>
      <c r="Y113" s="19" t="s">
        <v>52</v>
      </c>
      <c r="Z113" s="19" t="s">
        <v>52</v>
      </c>
      <c r="AA113" s="19" t="s">
        <v>52</v>
      </c>
      <c r="AB113" s="28"/>
    </row>
    <row r="114" spans="1:28" s="29" customFormat="1" ht="15" customHeight="1" x14ac:dyDescent="0.25">
      <c r="A114" s="14">
        <v>51</v>
      </c>
      <c r="B114" s="15">
        <v>46080</v>
      </c>
      <c r="C114" s="15">
        <f>B114+8</f>
        <v>46088</v>
      </c>
      <c r="D114" s="14">
        <v>14439</v>
      </c>
      <c r="E114" s="16" t="s">
        <v>287</v>
      </c>
      <c r="F114" s="17" t="s">
        <v>288</v>
      </c>
      <c r="G114" s="17" t="s">
        <v>102</v>
      </c>
      <c r="H114" s="18" t="s">
        <v>784</v>
      </c>
      <c r="I114" s="19" t="s">
        <v>63</v>
      </c>
      <c r="J114" s="20">
        <v>46049</v>
      </c>
      <c r="K114" s="20">
        <v>46072</v>
      </c>
      <c r="L114" s="21">
        <v>500000</v>
      </c>
      <c r="M114" s="22">
        <f t="shared" si="17"/>
        <v>252000</v>
      </c>
      <c r="N114" s="23">
        <v>252000</v>
      </c>
      <c r="O114" s="23">
        <v>0</v>
      </c>
      <c r="P114" s="24">
        <f t="shared" si="18"/>
        <v>248000</v>
      </c>
      <c r="Q114" s="25">
        <v>0</v>
      </c>
      <c r="R114" s="26">
        <v>84000</v>
      </c>
      <c r="S114" s="91">
        <f t="shared" si="19"/>
        <v>2.9523809523809526</v>
      </c>
      <c r="T114" s="91">
        <f t="shared" si="20"/>
        <v>0</v>
      </c>
      <c r="U114" s="27" t="s">
        <v>50</v>
      </c>
      <c r="V114" s="19" t="s">
        <v>51</v>
      </c>
      <c r="W114" s="20">
        <v>46071</v>
      </c>
      <c r="X114" s="22"/>
      <c r="Y114" s="19" t="s">
        <v>52</v>
      </c>
      <c r="Z114" s="19" t="s">
        <v>52</v>
      </c>
      <c r="AA114" s="19" t="s">
        <v>52</v>
      </c>
      <c r="AB114" s="28"/>
    </row>
    <row r="115" spans="1:28" s="29" customFormat="1" ht="15" customHeight="1" x14ac:dyDescent="0.25">
      <c r="A115" s="14">
        <v>52</v>
      </c>
      <c r="B115" s="32">
        <v>46090</v>
      </c>
      <c r="C115" s="32">
        <f>B115+8</f>
        <v>46098</v>
      </c>
      <c r="D115" s="121">
        <v>14431</v>
      </c>
      <c r="E115" s="16" t="s">
        <v>1087</v>
      </c>
      <c r="F115" s="17" t="s">
        <v>1088</v>
      </c>
      <c r="G115" s="17" t="s">
        <v>102</v>
      </c>
      <c r="H115" s="18" t="s">
        <v>775</v>
      </c>
      <c r="I115" s="19" t="s">
        <v>135</v>
      </c>
      <c r="J115" s="20">
        <v>46045</v>
      </c>
      <c r="K115" s="20">
        <v>46079</v>
      </c>
      <c r="L115" s="21">
        <v>80000</v>
      </c>
      <c r="M115" s="22">
        <f t="shared" si="17"/>
        <v>0</v>
      </c>
      <c r="N115" s="23">
        <v>0</v>
      </c>
      <c r="O115" s="23">
        <v>0</v>
      </c>
      <c r="P115" s="24">
        <f t="shared" si="18"/>
        <v>80000</v>
      </c>
      <c r="Q115" s="25">
        <v>0</v>
      </c>
      <c r="R115" s="26">
        <v>42000</v>
      </c>
      <c r="S115" s="91">
        <f t="shared" si="19"/>
        <v>1.9047619047619047</v>
      </c>
      <c r="T115" s="91">
        <f t="shared" si="20"/>
        <v>0</v>
      </c>
      <c r="U115" s="27" t="s">
        <v>50</v>
      </c>
      <c r="V115" s="30" t="s">
        <v>59</v>
      </c>
      <c r="W115" s="31">
        <v>46809</v>
      </c>
      <c r="X115" s="22"/>
      <c r="Y115" s="41" t="s">
        <v>52</v>
      </c>
      <c r="Z115" s="41" t="s">
        <v>52</v>
      </c>
      <c r="AA115" s="41" t="s">
        <v>52</v>
      </c>
      <c r="AB115" s="28"/>
    </row>
    <row r="116" spans="1:28" s="29" customFormat="1" ht="15" customHeight="1" x14ac:dyDescent="0.25">
      <c r="A116" s="14">
        <v>53</v>
      </c>
      <c r="B116" s="32" t="s">
        <v>68</v>
      </c>
      <c r="C116" s="32" t="s">
        <v>68</v>
      </c>
      <c r="D116" s="14">
        <v>14461</v>
      </c>
      <c r="E116" s="16" t="s">
        <v>1046</v>
      </c>
      <c r="F116" s="17" t="s">
        <v>598</v>
      </c>
      <c r="G116" s="17" t="s">
        <v>102</v>
      </c>
      <c r="H116" s="18" t="s">
        <v>57</v>
      </c>
      <c r="I116" s="19" t="s">
        <v>58</v>
      </c>
      <c r="J116" s="20">
        <v>46052</v>
      </c>
      <c r="K116" s="20">
        <v>46080</v>
      </c>
      <c r="L116" s="21">
        <v>1000000</v>
      </c>
      <c r="M116" s="22">
        <f t="shared" si="17"/>
        <v>0</v>
      </c>
      <c r="N116" s="23">
        <v>0</v>
      </c>
      <c r="O116" s="23">
        <v>0</v>
      </c>
      <c r="P116" s="24">
        <f t="shared" si="18"/>
        <v>1000000</v>
      </c>
      <c r="Q116" s="25">
        <v>0</v>
      </c>
      <c r="R116" s="26">
        <v>50000</v>
      </c>
      <c r="S116" s="91">
        <f t="shared" si="19"/>
        <v>20</v>
      </c>
      <c r="T116" s="91">
        <f t="shared" si="20"/>
        <v>0</v>
      </c>
      <c r="U116" s="27" t="s">
        <v>50</v>
      </c>
      <c r="V116" s="30" t="s">
        <v>68</v>
      </c>
      <c r="W116" s="31" t="s">
        <v>68</v>
      </c>
      <c r="X116" s="22"/>
      <c r="Y116" s="19" t="s">
        <v>52</v>
      </c>
      <c r="Z116" s="19" t="s">
        <v>52</v>
      </c>
      <c r="AA116" s="19" t="s">
        <v>52</v>
      </c>
      <c r="AB116" s="28"/>
    </row>
    <row r="117" spans="1:28" s="29" customFormat="1" ht="15" customHeight="1" x14ac:dyDescent="0.25">
      <c r="A117" s="14">
        <v>54</v>
      </c>
      <c r="B117" s="32">
        <v>46104</v>
      </c>
      <c r="C117" s="32">
        <f>B1122+8</f>
        <v>8</v>
      </c>
      <c r="D117" s="14">
        <v>14323</v>
      </c>
      <c r="E117" s="16" t="s">
        <v>878</v>
      </c>
      <c r="F117" s="17" t="s">
        <v>879</v>
      </c>
      <c r="G117" s="17" t="s">
        <v>102</v>
      </c>
      <c r="H117" s="18" t="s">
        <v>54</v>
      </c>
      <c r="I117" s="19" t="s">
        <v>135</v>
      </c>
      <c r="J117" s="20">
        <v>46035</v>
      </c>
      <c r="K117" s="20">
        <v>46081</v>
      </c>
      <c r="L117" s="21">
        <v>30000</v>
      </c>
      <c r="M117" s="22">
        <f t="shared" si="17"/>
        <v>0</v>
      </c>
      <c r="N117" s="23">
        <v>0</v>
      </c>
      <c r="O117" s="23">
        <v>0</v>
      </c>
      <c r="P117" s="24">
        <f t="shared" si="18"/>
        <v>30000</v>
      </c>
      <c r="Q117" s="25">
        <v>0</v>
      </c>
      <c r="R117" s="26">
        <v>24000</v>
      </c>
      <c r="S117" s="91">
        <f t="shared" si="19"/>
        <v>1.25</v>
      </c>
      <c r="T117" s="91">
        <f t="shared" si="20"/>
        <v>0</v>
      </c>
      <c r="U117" s="27" t="s">
        <v>56</v>
      </c>
      <c r="V117" s="30" t="s">
        <v>68</v>
      </c>
      <c r="W117" s="31">
        <v>46087</v>
      </c>
      <c r="X117" s="22"/>
      <c r="Y117" s="19" t="s">
        <v>52</v>
      </c>
      <c r="Z117" s="19" t="s">
        <v>52</v>
      </c>
      <c r="AA117" s="19" t="s">
        <v>52</v>
      </c>
      <c r="AB117" s="28"/>
    </row>
    <row r="118" spans="1:28" s="29" customFormat="1" ht="15" customHeight="1" x14ac:dyDescent="0.25">
      <c r="A118" s="14">
        <v>55</v>
      </c>
      <c r="B118" s="32" t="s">
        <v>68</v>
      </c>
      <c r="C118" s="32" t="s">
        <v>68</v>
      </c>
      <c r="D118" s="14">
        <v>14459</v>
      </c>
      <c r="E118" s="16" t="s">
        <v>1103</v>
      </c>
      <c r="F118" s="17" t="s">
        <v>912</v>
      </c>
      <c r="G118" s="17" t="s">
        <v>102</v>
      </c>
      <c r="H118" s="18" t="s">
        <v>775</v>
      </c>
      <c r="I118" s="19" t="s">
        <v>104</v>
      </c>
      <c r="J118" s="20">
        <v>46052</v>
      </c>
      <c r="K118" s="20">
        <v>46084</v>
      </c>
      <c r="L118" s="21">
        <v>30000</v>
      </c>
      <c r="M118" s="22">
        <f t="shared" si="17"/>
        <v>0</v>
      </c>
      <c r="N118" s="23">
        <v>0</v>
      </c>
      <c r="O118" s="23">
        <v>0</v>
      </c>
      <c r="P118" s="24">
        <f t="shared" si="18"/>
        <v>30000</v>
      </c>
      <c r="Q118" s="25">
        <v>0</v>
      </c>
      <c r="R118" s="26">
        <v>42000</v>
      </c>
      <c r="S118" s="91">
        <f t="shared" si="19"/>
        <v>0.7142857142857143</v>
      </c>
      <c r="T118" s="91">
        <f t="shared" si="20"/>
        <v>0</v>
      </c>
      <c r="U118" s="27" t="s">
        <v>56</v>
      </c>
      <c r="V118" s="30" t="s">
        <v>68</v>
      </c>
      <c r="W118" s="31" t="s">
        <v>68</v>
      </c>
      <c r="X118" s="22"/>
      <c r="Y118" s="41" t="s">
        <v>82</v>
      </c>
      <c r="Z118" s="41" t="s">
        <v>82</v>
      </c>
      <c r="AA118" s="41" t="s">
        <v>82</v>
      </c>
      <c r="AB118" s="28"/>
    </row>
    <row r="119" spans="1:28" s="29" customFormat="1" ht="15" customHeight="1" x14ac:dyDescent="0.25">
      <c r="A119" s="14">
        <v>56</v>
      </c>
      <c r="B119" s="32" t="s">
        <v>68</v>
      </c>
      <c r="C119" s="32" t="s">
        <v>68</v>
      </c>
      <c r="D119" s="14">
        <v>14466</v>
      </c>
      <c r="E119" s="16" t="s">
        <v>1110</v>
      </c>
      <c r="F119" s="17" t="s">
        <v>1111</v>
      </c>
      <c r="G119" s="17" t="s">
        <v>102</v>
      </c>
      <c r="H119" s="18" t="s">
        <v>775</v>
      </c>
      <c r="I119" s="19" t="s">
        <v>135</v>
      </c>
      <c r="J119" s="20">
        <v>46055</v>
      </c>
      <c r="K119" s="20">
        <v>46084</v>
      </c>
      <c r="L119" s="21">
        <v>145000</v>
      </c>
      <c r="M119" s="22">
        <f t="shared" si="17"/>
        <v>0</v>
      </c>
      <c r="N119" s="23">
        <v>0</v>
      </c>
      <c r="O119" s="23">
        <v>0</v>
      </c>
      <c r="P119" s="24">
        <f t="shared" si="18"/>
        <v>145000</v>
      </c>
      <c r="Q119" s="25">
        <v>0</v>
      </c>
      <c r="R119" s="26">
        <v>42000</v>
      </c>
      <c r="S119" s="91">
        <f t="shared" si="19"/>
        <v>3.4523809523809526</v>
      </c>
      <c r="T119" s="91">
        <f t="shared" si="20"/>
        <v>0</v>
      </c>
      <c r="U119" s="27" t="s">
        <v>56</v>
      </c>
      <c r="V119" s="30" t="s">
        <v>68</v>
      </c>
      <c r="W119" s="31" t="s">
        <v>68</v>
      </c>
      <c r="X119" s="22"/>
      <c r="Y119" s="19" t="s">
        <v>52</v>
      </c>
      <c r="Z119" s="41" t="s">
        <v>52</v>
      </c>
      <c r="AA119" s="41" t="s">
        <v>82</v>
      </c>
      <c r="AB119" s="28"/>
    </row>
    <row r="120" spans="1:28" s="29" customFormat="1" ht="15" customHeight="1" x14ac:dyDescent="0.25">
      <c r="A120" s="14">
        <v>57</v>
      </c>
      <c r="B120" s="32" t="s">
        <v>68</v>
      </c>
      <c r="C120" s="32" t="s">
        <v>68</v>
      </c>
      <c r="D120" s="14">
        <v>14468</v>
      </c>
      <c r="E120" s="16" t="s">
        <v>1112</v>
      </c>
      <c r="F120" s="17" t="s">
        <v>994</v>
      </c>
      <c r="G120" s="17" t="s">
        <v>102</v>
      </c>
      <c r="H120" s="18" t="s">
        <v>775</v>
      </c>
      <c r="I120" s="19" t="s">
        <v>135</v>
      </c>
      <c r="J120" s="20">
        <v>46055</v>
      </c>
      <c r="K120" s="20">
        <v>46084</v>
      </c>
      <c r="L120" s="21">
        <v>30000</v>
      </c>
      <c r="M120" s="22">
        <f t="shared" si="17"/>
        <v>0</v>
      </c>
      <c r="N120" s="23">
        <v>0</v>
      </c>
      <c r="O120" s="23">
        <v>0</v>
      </c>
      <c r="P120" s="24">
        <f t="shared" si="18"/>
        <v>30000</v>
      </c>
      <c r="Q120" s="25">
        <v>0</v>
      </c>
      <c r="R120" s="26">
        <v>42000</v>
      </c>
      <c r="S120" s="91">
        <f t="shared" si="19"/>
        <v>0.7142857142857143</v>
      </c>
      <c r="T120" s="91">
        <f t="shared" si="20"/>
        <v>0</v>
      </c>
      <c r="U120" s="27" t="s">
        <v>56</v>
      </c>
      <c r="V120" s="30" t="s">
        <v>68</v>
      </c>
      <c r="W120" s="31" t="s">
        <v>68</v>
      </c>
      <c r="X120" s="22"/>
      <c r="Y120" s="41" t="s">
        <v>52</v>
      </c>
      <c r="Z120" s="41" t="s">
        <v>52</v>
      </c>
      <c r="AA120" s="41" t="s">
        <v>82</v>
      </c>
      <c r="AB120" s="28"/>
    </row>
    <row r="121" spans="1:28" s="29" customFormat="1" ht="15" customHeight="1" x14ac:dyDescent="0.25">
      <c r="A121" s="14">
        <v>58</v>
      </c>
      <c r="B121" s="32" t="s">
        <v>68</v>
      </c>
      <c r="C121" s="32" t="s">
        <v>68</v>
      </c>
      <c r="D121" s="14">
        <v>14469</v>
      </c>
      <c r="E121" s="16" t="s">
        <v>1113</v>
      </c>
      <c r="F121" s="17" t="s">
        <v>986</v>
      </c>
      <c r="G121" s="17" t="s">
        <v>102</v>
      </c>
      <c r="H121" s="18" t="s">
        <v>775</v>
      </c>
      <c r="I121" s="19" t="s">
        <v>135</v>
      </c>
      <c r="J121" s="20">
        <v>46055</v>
      </c>
      <c r="K121" s="20">
        <v>46084</v>
      </c>
      <c r="L121" s="21">
        <v>30000</v>
      </c>
      <c r="M121" s="22">
        <f t="shared" si="17"/>
        <v>0</v>
      </c>
      <c r="N121" s="23">
        <v>0</v>
      </c>
      <c r="O121" s="23">
        <v>0</v>
      </c>
      <c r="P121" s="24">
        <f t="shared" si="18"/>
        <v>30000</v>
      </c>
      <c r="Q121" s="25">
        <v>0</v>
      </c>
      <c r="R121" s="26">
        <v>42000</v>
      </c>
      <c r="S121" s="91">
        <f t="shared" si="19"/>
        <v>0.7142857142857143</v>
      </c>
      <c r="T121" s="91">
        <f t="shared" si="20"/>
        <v>0</v>
      </c>
      <c r="U121" s="27" t="s">
        <v>56</v>
      </c>
      <c r="V121" s="30" t="s">
        <v>68</v>
      </c>
      <c r="W121" s="31" t="s">
        <v>68</v>
      </c>
      <c r="X121" s="22"/>
      <c r="Y121" s="19" t="s">
        <v>52</v>
      </c>
      <c r="Z121" s="41" t="s">
        <v>52</v>
      </c>
      <c r="AA121" s="41" t="s">
        <v>82</v>
      </c>
      <c r="AB121" s="28"/>
    </row>
    <row r="122" spans="1:28" s="29" customFormat="1" ht="15" customHeight="1" x14ac:dyDescent="0.25">
      <c r="A122" s="14">
        <v>59</v>
      </c>
      <c r="B122" s="15">
        <v>46087</v>
      </c>
      <c r="C122" s="15">
        <f>B122+8</f>
        <v>46095</v>
      </c>
      <c r="D122" s="14">
        <v>14432</v>
      </c>
      <c r="E122" s="16" t="s">
        <v>1089</v>
      </c>
      <c r="F122" s="17" t="s">
        <v>1090</v>
      </c>
      <c r="G122" s="17" t="s">
        <v>102</v>
      </c>
      <c r="H122" s="18" t="s">
        <v>54</v>
      </c>
      <c r="I122" s="19" t="s">
        <v>135</v>
      </c>
      <c r="J122" s="20">
        <v>46045</v>
      </c>
      <c r="K122" s="20">
        <v>46086</v>
      </c>
      <c r="L122" s="21">
        <v>85000</v>
      </c>
      <c r="M122" s="22">
        <f t="shared" si="17"/>
        <v>0</v>
      </c>
      <c r="N122" s="23">
        <v>0</v>
      </c>
      <c r="O122" s="23">
        <v>0</v>
      </c>
      <c r="P122" s="24">
        <f t="shared" si="18"/>
        <v>85000</v>
      </c>
      <c r="Q122" s="25">
        <v>0</v>
      </c>
      <c r="R122" s="26">
        <v>24000</v>
      </c>
      <c r="S122" s="91">
        <f t="shared" si="19"/>
        <v>3.5416666666666665</v>
      </c>
      <c r="T122" s="91">
        <f t="shared" si="20"/>
        <v>0</v>
      </c>
      <c r="U122" s="27" t="s">
        <v>56</v>
      </c>
      <c r="V122" s="30" t="s">
        <v>59</v>
      </c>
      <c r="W122" s="31">
        <v>46071</v>
      </c>
      <c r="X122" s="22"/>
      <c r="Y122" s="19" t="s">
        <v>52</v>
      </c>
      <c r="Z122" s="19" t="s">
        <v>52</v>
      </c>
      <c r="AA122" s="19" t="s">
        <v>52</v>
      </c>
      <c r="AB122" s="28"/>
    </row>
    <row r="123" spans="1:28" s="29" customFormat="1" ht="15" customHeight="1" x14ac:dyDescent="0.25">
      <c r="A123" s="14">
        <v>60</v>
      </c>
      <c r="B123" s="15">
        <v>46080</v>
      </c>
      <c r="C123" s="15">
        <f>B123+8</f>
        <v>46088</v>
      </c>
      <c r="D123" s="14">
        <v>14441</v>
      </c>
      <c r="E123" s="16" t="s">
        <v>891</v>
      </c>
      <c r="F123" s="17" t="s">
        <v>285</v>
      </c>
      <c r="G123" s="17" t="s">
        <v>102</v>
      </c>
      <c r="H123" s="18" t="s">
        <v>542</v>
      </c>
      <c r="I123" s="19" t="s">
        <v>384</v>
      </c>
      <c r="J123" s="20">
        <v>46049</v>
      </c>
      <c r="K123" s="20">
        <v>46087</v>
      </c>
      <c r="L123" s="21">
        <v>100000</v>
      </c>
      <c r="M123" s="22">
        <f t="shared" si="17"/>
        <v>116000</v>
      </c>
      <c r="N123" s="23">
        <v>100000</v>
      </c>
      <c r="O123" s="23">
        <v>16000</v>
      </c>
      <c r="P123" s="24">
        <f t="shared" si="18"/>
        <v>0</v>
      </c>
      <c r="Q123" s="25">
        <v>0</v>
      </c>
      <c r="R123" s="26">
        <v>50000</v>
      </c>
      <c r="S123" s="91">
        <f t="shared" si="19"/>
        <v>0</v>
      </c>
      <c r="T123" s="91">
        <f t="shared" si="20"/>
        <v>0</v>
      </c>
      <c r="U123" s="27" t="s">
        <v>50</v>
      </c>
      <c r="V123" s="30" t="s">
        <v>59</v>
      </c>
      <c r="W123" s="31">
        <v>46071</v>
      </c>
      <c r="X123" s="22"/>
      <c r="Y123" s="41" t="s">
        <v>82</v>
      </c>
      <c r="Z123" s="41" t="s">
        <v>82</v>
      </c>
      <c r="AA123" s="41" t="s">
        <v>82</v>
      </c>
      <c r="AB123" s="28"/>
    </row>
    <row r="124" spans="1:28" s="29" customFormat="1" ht="15" customHeight="1" x14ac:dyDescent="0.25">
      <c r="A124" s="14">
        <v>61</v>
      </c>
      <c r="B124" s="32" t="s">
        <v>68</v>
      </c>
      <c r="C124" s="32" t="s">
        <v>68</v>
      </c>
      <c r="D124" s="14">
        <v>14445</v>
      </c>
      <c r="E124" s="16" t="s">
        <v>218</v>
      </c>
      <c r="F124" s="17" t="s">
        <v>219</v>
      </c>
      <c r="G124" s="17" t="s">
        <v>102</v>
      </c>
      <c r="H124" s="18" t="s">
        <v>542</v>
      </c>
      <c r="I124" s="19" t="s">
        <v>104</v>
      </c>
      <c r="J124" s="20">
        <v>46051</v>
      </c>
      <c r="K124" s="20">
        <v>46087</v>
      </c>
      <c r="L124" s="21">
        <v>200000</v>
      </c>
      <c r="M124" s="22">
        <f t="shared" ref="M124:M142" si="22">SUM(N124:O124)</f>
        <v>0</v>
      </c>
      <c r="N124" s="23">
        <v>0</v>
      </c>
      <c r="O124" s="23">
        <v>0</v>
      </c>
      <c r="P124" s="24">
        <f t="shared" ref="P124:P142" si="23">L124-N124</f>
        <v>200000</v>
      </c>
      <c r="Q124" s="25">
        <v>0</v>
      </c>
      <c r="R124" s="26">
        <v>50000</v>
      </c>
      <c r="S124" s="91">
        <f t="shared" ref="S124:S142" si="24">IF(P124&gt;0,P124/$R124,0)</f>
        <v>4</v>
      </c>
      <c r="T124" s="91">
        <f t="shared" ref="T124:T142" si="25">IF(Q124&gt;0,Q124/$R124,0)</f>
        <v>0</v>
      </c>
      <c r="U124" s="27" t="s">
        <v>50</v>
      </c>
      <c r="V124" s="30" t="s">
        <v>68</v>
      </c>
      <c r="W124" s="31" t="s">
        <v>68</v>
      </c>
      <c r="X124" s="22"/>
      <c r="Y124" s="41" t="s">
        <v>82</v>
      </c>
      <c r="Z124" s="41" t="s">
        <v>82</v>
      </c>
      <c r="AA124" s="41" t="s">
        <v>82</v>
      </c>
      <c r="AB124" s="28"/>
    </row>
    <row r="125" spans="1:28" s="29" customFormat="1" ht="15" customHeight="1" x14ac:dyDescent="0.25">
      <c r="A125" s="14">
        <v>62</v>
      </c>
      <c r="B125" s="32" t="s">
        <v>68</v>
      </c>
      <c r="C125" s="32" t="s">
        <v>68</v>
      </c>
      <c r="D125" s="14">
        <v>14465</v>
      </c>
      <c r="E125" s="16" t="s">
        <v>1108</v>
      </c>
      <c r="F125" s="17" t="s">
        <v>1109</v>
      </c>
      <c r="G125" s="17" t="s">
        <v>102</v>
      </c>
      <c r="H125" s="18" t="s">
        <v>775</v>
      </c>
      <c r="I125" s="19" t="s">
        <v>135</v>
      </c>
      <c r="J125" s="20">
        <v>46055</v>
      </c>
      <c r="K125" s="20">
        <v>46088</v>
      </c>
      <c r="L125" s="21">
        <v>30000</v>
      </c>
      <c r="M125" s="22">
        <f t="shared" si="22"/>
        <v>0</v>
      </c>
      <c r="N125" s="23">
        <v>0</v>
      </c>
      <c r="O125" s="23">
        <v>0</v>
      </c>
      <c r="P125" s="24">
        <f t="shared" si="23"/>
        <v>30000</v>
      </c>
      <c r="Q125" s="25">
        <v>0</v>
      </c>
      <c r="R125" s="26">
        <v>42000</v>
      </c>
      <c r="S125" s="91">
        <f t="shared" si="24"/>
        <v>0.7142857142857143</v>
      </c>
      <c r="T125" s="91">
        <f t="shared" si="25"/>
        <v>0</v>
      </c>
      <c r="U125" s="27" t="s">
        <v>56</v>
      </c>
      <c r="V125" s="30" t="s">
        <v>68</v>
      </c>
      <c r="W125" s="31" t="s">
        <v>68</v>
      </c>
      <c r="X125" s="22"/>
      <c r="Y125" s="19" t="s">
        <v>52</v>
      </c>
      <c r="Z125" s="19" t="s">
        <v>52</v>
      </c>
      <c r="AA125" s="41" t="s">
        <v>82</v>
      </c>
      <c r="AB125" s="28"/>
    </row>
    <row r="126" spans="1:28" s="29" customFormat="1" ht="15" customHeight="1" x14ac:dyDescent="0.25">
      <c r="A126" s="14">
        <v>63</v>
      </c>
      <c r="B126" s="32" t="s">
        <v>68</v>
      </c>
      <c r="C126" s="32" t="s">
        <v>68</v>
      </c>
      <c r="D126" s="14">
        <v>14440</v>
      </c>
      <c r="E126" s="16" t="s">
        <v>1098</v>
      </c>
      <c r="F126" s="17" t="s">
        <v>996</v>
      </c>
      <c r="G126" s="17" t="s">
        <v>102</v>
      </c>
      <c r="H126" s="18" t="s">
        <v>775</v>
      </c>
      <c r="I126" s="19" t="s">
        <v>135</v>
      </c>
      <c r="J126" s="20">
        <v>46049</v>
      </c>
      <c r="K126" s="20">
        <v>46092</v>
      </c>
      <c r="L126" s="21">
        <v>30000</v>
      </c>
      <c r="M126" s="22">
        <f t="shared" si="22"/>
        <v>0</v>
      </c>
      <c r="N126" s="23">
        <v>0</v>
      </c>
      <c r="O126" s="23">
        <v>0</v>
      </c>
      <c r="P126" s="24">
        <f t="shared" si="23"/>
        <v>30000</v>
      </c>
      <c r="Q126" s="25">
        <v>0</v>
      </c>
      <c r="R126" s="26">
        <v>42000</v>
      </c>
      <c r="S126" s="91">
        <f t="shared" si="24"/>
        <v>0.7142857142857143</v>
      </c>
      <c r="T126" s="91">
        <f t="shared" si="25"/>
        <v>0</v>
      </c>
      <c r="U126" s="27" t="s">
        <v>56</v>
      </c>
      <c r="V126" s="30" t="s">
        <v>68</v>
      </c>
      <c r="W126" s="31" t="s">
        <v>68</v>
      </c>
      <c r="X126" s="22"/>
      <c r="Y126" s="19" t="s">
        <v>52</v>
      </c>
      <c r="Z126" s="41" t="s">
        <v>82</v>
      </c>
      <c r="AA126" s="41" t="s">
        <v>82</v>
      </c>
      <c r="AB126" s="28"/>
    </row>
    <row r="127" spans="1:28" s="29" customFormat="1" ht="15" customHeight="1" x14ac:dyDescent="0.25">
      <c r="A127" s="14">
        <v>64</v>
      </c>
      <c r="B127" s="15">
        <v>46080</v>
      </c>
      <c r="C127" s="15">
        <f>B127+8</f>
        <v>46088</v>
      </c>
      <c r="D127" s="14">
        <v>14373</v>
      </c>
      <c r="E127" s="16" t="s">
        <v>737</v>
      </c>
      <c r="F127" s="17" t="s">
        <v>478</v>
      </c>
      <c r="G127" s="17" t="s">
        <v>102</v>
      </c>
      <c r="H127" s="18" t="s">
        <v>57</v>
      </c>
      <c r="I127" s="19" t="s">
        <v>58</v>
      </c>
      <c r="J127" s="20">
        <v>46038</v>
      </c>
      <c r="K127" s="20">
        <v>46093</v>
      </c>
      <c r="L127" s="21">
        <v>1500000</v>
      </c>
      <c r="M127" s="22">
        <f t="shared" si="22"/>
        <v>588000</v>
      </c>
      <c r="N127" s="23">
        <v>588000</v>
      </c>
      <c r="O127" s="23">
        <v>0</v>
      </c>
      <c r="P127" s="24">
        <f t="shared" si="23"/>
        <v>912000</v>
      </c>
      <c r="Q127" s="25">
        <v>0</v>
      </c>
      <c r="R127" s="26">
        <v>42000</v>
      </c>
      <c r="S127" s="91">
        <f t="shared" si="24"/>
        <v>21.714285714285715</v>
      </c>
      <c r="T127" s="91">
        <f t="shared" si="25"/>
        <v>0</v>
      </c>
      <c r="U127" s="27" t="s">
        <v>50</v>
      </c>
      <c r="V127" s="19" t="s">
        <v>51</v>
      </c>
      <c r="W127" s="20">
        <v>46064</v>
      </c>
      <c r="X127" s="22"/>
      <c r="Y127" s="19" t="s">
        <v>52</v>
      </c>
      <c r="Z127" s="19" t="s">
        <v>52</v>
      </c>
      <c r="AA127" s="19" t="s">
        <v>52</v>
      </c>
      <c r="AB127" s="28"/>
    </row>
    <row r="128" spans="1:28" s="29" customFormat="1" ht="15" customHeight="1" x14ac:dyDescent="0.25">
      <c r="A128" s="14">
        <v>65</v>
      </c>
      <c r="B128" s="32" t="s">
        <v>68</v>
      </c>
      <c r="C128" s="32" t="s">
        <v>68</v>
      </c>
      <c r="D128" s="14">
        <v>14573</v>
      </c>
      <c r="E128" s="16" t="s">
        <v>1173</v>
      </c>
      <c r="F128" s="17" t="s">
        <v>1174</v>
      </c>
      <c r="G128" s="17" t="s">
        <v>102</v>
      </c>
      <c r="H128" s="18" t="s">
        <v>775</v>
      </c>
      <c r="I128" s="19" t="s">
        <v>135</v>
      </c>
      <c r="J128" s="20">
        <v>46072</v>
      </c>
      <c r="K128" s="20">
        <v>46097</v>
      </c>
      <c r="L128" s="21">
        <v>30000</v>
      </c>
      <c r="M128" s="22">
        <f>SUM(N128:O128)</f>
        <v>0</v>
      </c>
      <c r="N128" s="23">
        <v>0</v>
      </c>
      <c r="O128" s="23">
        <v>0</v>
      </c>
      <c r="P128" s="24">
        <f>L128-N128</f>
        <v>30000</v>
      </c>
      <c r="Q128" s="25">
        <v>0</v>
      </c>
      <c r="R128" s="26">
        <v>42000</v>
      </c>
      <c r="S128" s="91">
        <f t="shared" ref="S128:T130" si="26">IF(P128&gt;0,P128/$R128,0)</f>
        <v>0.7142857142857143</v>
      </c>
      <c r="T128" s="91">
        <f t="shared" si="26"/>
        <v>0</v>
      </c>
      <c r="U128" s="27" t="s">
        <v>56</v>
      </c>
      <c r="V128" s="30" t="s">
        <v>68</v>
      </c>
      <c r="W128" s="31" t="s">
        <v>68</v>
      </c>
      <c r="X128" s="22"/>
      <c r="Y128" s="41" t="s">
        <v>82</v>
      </c>
      <c r="Z128" s="41" t="s">
        <v>82</v>
      </c>
      <c r="AA128" s="41" t="s">
        <v>82</v>
      </c>
      <c r="AB128" s="28"/>
    </row>
    <row r="129" spans="1:28" s="29" customFormat="1" ht="15" customHeight="1" x14ac:dyDescent="0.25">
      <c r="A129" s="14">
        <v>66</v>
      </c>
      <c r="B129" s="32" t="s">
        <v>68</v>
      </c>
      <c r="C129" s="32" t="s">
        <v>68</v>
      </c>
      <c r="D129" s="14">
        <v>14566</v>
      </c>
      <c r="E129" s="16" t="s">
        <v>1165</v>
      </c>
      <c r="F129" s="17" t="s">
        <v>992</v>
      </c>
      <c r="G129" s="17" t="s">
        <v>102</v>
      </c>
      <c r="H129" s="18" t="s">
        <v>54</v>
      </c>
      <c r="I129" s="19" t="s">
        <v>135</v>
      </c>
      <c r="J129" s="20">
        <v>46070</v>
      </c>
      <c r="K129" s="20">
        <v>46098</v>
      </c>
      <c r="L129" s="21">
        <v>30000</v>
      </c>
      <c r="M129" s="22">
        <f>SUM(N129:O129)</f>
        <v>0</v>
      </c>
      <c r="N129" s="23">
        <v>0</v>
      </c>
      <c r="O129" s="23">
        <v>0</v>
      </c>
      <c r="P129" s="24">
        <f t="shared" ref="P129" si="27">L129-N129</f>
        <v>30000</v>
      </c>
      <c r="Q129" s="25">
        <v>0</v>
      </c>
      <c r="R129" s="26">
        <v>42000</v>
      </c>
      <c r="S129" s="91">
        <f t="shared" si="26"/>
        <v>0.7142857142857143</v>
      </c>
      <c r="T129" s="91">
        <f t="shared" si="26"/>
        <v>0</v>
      </c>
      <c r="U129" s="27" t="s">
        <v>56</v>
      </c>
      <c r="V129" s="30" t="s">
        <v>68</v>
      </c>
      <c r="W129" s="31" t="s">
        <v>68</v>
      </c>
      <c r="X129" s="22"/>
      <c r="Y129" s="41" t="s">
        <v>82</v>
      </c>
      <c r="Z129" s="41" t="s">
        <v>82</v>
      </c>
      <c r="AA129" s="41" t="s">
        <v>82</v>
      </c>
      <c r="AB129" s="28"/>
    </row>
    <row r="130" spans="1:28" s="29" customFormat="1" ht="15" customHeight="1" x14ac:dyDescent="0.25">
      <c r="A130" s="14">
        <v>67</v>
      </c>
      <c r="B130" s="15">
        <v>46104</v>
      </c>
      <c r="C130" s="15">
        <f>B130+8</f>
        <v>46112</v>
      </c>
      <c r="D130" s="14">
        <v>14555</v>
      </c>
      <c r="E130" s="16" t="s">
        <v>127</v>
      </c>
      <c r="F130" s="17" t="s">
        <v>128</v>
      </c>
      <c r="G130" s="17" t="s">
        <v>102</v>
      </c>
      <c r="H130" s="18" t="s">
        <v>784</v>
      </c>
      <c r="I130" s="19" t="s">
        <v>63</v>
      </c>
      <c r="J130" s="20">
        <v>46070</v>
      </c>
      <c r="K130" s="20">
        <v>46104</v>
      </c>
      <c r="L130" s="21">
        <v>300000</v>
      </c>
      <c r="M130" s="22">
        <f>SUM(N130:O130)</f>
        <v>0</v>
      </c>
      <c r="N130" s="23">
        <v>0</v>
      </c>
      <c r="O130" s="23">
        <v>0</v>
      </c>
      <c r="P130" s="24">
        <f t="shared" ref="P130" si="28">L130-N130</f>
        <v>300000</v>
      </c>
      <c r="Q130" s="25">
        <v>0</v>
      </c>
      <c r="R130" s="26">
        <v>84000</v>
      </c>
      <c r="S130" s="91">
        <f t="shared" si="26"/>
        <v>3.5714285714285716</v>
      </c>
      <c r="T130" s="91">
        <f t="shared" si="26"/>
        <v>0</v>
      </c>
      <c r="U130" s="27" t="s">
        <v>50</v>
      </c>
      <c r="V130" s="30" t="s">
        <v>68</v>
      </c>
      <c r="W130" s="31" t="s">
        <v>68</v>
      </c>
      <c r="X130" s="22"/>
      <c r="Y130" s="19" t="s">
        <v>52</v>
      </c>
      <c r="Z130" s="19" t="s">
        <v>52</v>
      </c>
      <c r="AA130" s="19" t="s">
        <v>52</v>
      </c>
      <c r="AB130" s="28"/>
    </row>
    <row r="131" spans="1:28" s="29" customFormat="1" ht="15" customHeight="1" x14ac:dyDescent="0.25">
      <c r="A131" s="14">
        <v>68</v>
      </c>
      <c r="B131" s="32" t="s">
        <v>68</v>
      </c>
      <c r="C131" s="32" t="s">
        <v>68</v>
      </c>
      <c r="D131" s="14">
        <v>14582</v>
      </c>
      <c r="E131" s="16" t="s">
        <v>680</v>
      </c>
      <c r="F131" s="17" t="s">
        <v>1186</v>
      </c>
      <c r="G131" s="17" t="s">
        <v>102</v>
      </c>
      <c r="H131" s="18" t="s">
        <v>542</v>
      </c>
      <c r="I131" s="19" t="s">
        <v>104</v>
      </c>
      <c r="J131" s="20">
        <v>46076</v>
      </c>
      <c r="K131" s="20">
        <v>46106</v>
      </c>
      <c r="L131" s="21">
        <v>1000000</v>
      </c>
      <c r="M131" s="22">
        <f>SUM(N131:O131)</f>
        <v>0</v>
      </c>
      <c r="N131" s="23">
        <v>0</v>
      </c>
      <c r="O131" s="23">
        <v>0</v>
      </c>
      <c r="P131" s="24">
        <f>L131-N131</f>
        <v>1000000</v>
      </c>
      <c r="Q131" s="25">
        <v>0</v>
      </c>
      <c r="R131" s="26">
        <v>63000</v>
      </c>
      <c r="S131" s="91">
        <f>IF(P131&gt;0,P131/$R131,0)</f>
        <v>15.873015873015873</v>
      </c>
      <c r="T131" s="91">
        <f>IF(Q131&gt;0,Q131/$R131,0)</f>
        <v>0</v>
      </c>
      <c r="U131" s="27" t="s">
        <v>50</v>
      </c>
      <c r="V131" s="30" t="s">
        <v>68</v>
      </c>
      <c r="W131" s="31" t="s">
        <v>68</v>
      </c>
      <c r="X131" s="22"/>
      <c r="Y131" s="19" t="s">
        <v>52</v>
      </c>
      <c r="Z131" s="19" t="s">
        <v>52</v>
      </c>
      <c r="AA131" s="19" t="s">
        <v>52</v>
      </c>
      <c r="AB131" s="28"/>
    </row>
    <row r="132" spans="1:28" s="29" customFormat="1" ht="15" customHeight="1" x14ac:dyDescent="0.25">
      <c r="A132" s="14">
        <v>69</v>
      </c>
      <c r="B132" s="15">
        <v>46093</v>
      </c>
      <c r="C132" s="15">
        <f>B132+8</f>
        <v>46101</v>
      </c>
      <c r="D132" s="14">
        <v>14501</v>
      </c>
      <c r="E132" s="16" t="s">
        <v>1078</v>
      </c>
      <c r="F132" s="17" t="s">
        <v>1079</v>
      </c>
      <c r="G132" s="17" t="s">
        <v>102</v>
      </c>
      <c r="H132" s="18" t="s">
        <v>775</v>
      </c>
      <c r="I132" s="19" t="s">
        <v>135</v>
      </c>
      <c r="J132" s="20">
        <v>46059</v>
      </c>
      <c r="K132" s="20">
        <v>46107</v>
      </c>
      <c r="L132" s="21">
        <v>80000</v>
      </c>
      <c r="M132" s="22">
        <f t="shared" si="22"/>
        <v>0</v>
      </c>
      <c r="N132" s="23">
        <v>0</v>
      </c>
      <c r="O132" s="23">
        <v>0</v>
      </c>
      <c r="P132" s="24">
        <f t="shared" si="23"/>
        <v>80000</v>
      </c>
      <c r="Q132" s="25">
        <v>0</v>
      </c>
      <c r="R132" s="26">
        <v>42000</v>
      </c>
      <c r="S132" s="91">
        <f t="shared" si="24"/>
        <v>1.9047619047619047</v>
      </c>
      <c r="T132" s="91">
        <f t="shared" si="25"/>
        <v>0</v>
      </c>
      <c r="U132" s="27" t="s">
        <v>56</v>
      </c>
      <c r="V132" s="30" t="s">
        <v>59</v>
      </c>
      <c r="W132" s="31">
        <v>46080</v>
      </c>
      <c r="X132" s="22"/>
      <c r="Y132" s="19" t="s">
        <v>52</v>
      </c>
      <c r="Z132" s="19" t="s">
        <v>52</v>
      </c>
      <c r="AA132" s="19" t="s">
        <v>52</v>
      </c>
      <c r="AB132" s="28"/>
    </row>
    <row r="133" spans="1:28" s="29" customFormat="1" ht="15" customHeight="1" x14ac:dyDescent="0.25">
      <c r="A133" s="14">
        <v>70</v>
      </c>
      <c r="B133" s="32" t="s">
        <v>68</v>
      </c>
      <c r="C133" s="32" t="s">
        <v>68</v>
      </c>
      <c r="D133" s="14">
        <v>14506</v>
      </c>
      <c r="E133" s="16" t="s">
        <v>839</v>
      </c>
      <c r="F133" s="17" t="s">
        <v>957</v>
      </c>
      <c r="G133" s="17" t="s">
        <v>102</v>
      </c>
      <c r="H133" s="18" t="s">
        <v>775</v>
      </c>
      <c r="I133" s="19" t="s">
        <v>135</v>
      </c>
      <c r="J133" s="20">
        <v>46059</v>
      </c>
      <c r="K133" s="20">
        <v>46107</v>
      </c>
      <c r="L133" s="21">
        <v>50000</v>
      </c>
      <c r="M133" s="22">
        <f t="shared" si="22"/>
        <v>0</v>
      </c>
      <c r="N133" s="23">
        <v>0</v>
      </c>
      <c r="O133" s="23">
        <v>0</v>
      </c>
      <c r="P133" s="24">
        <f t="shared" si="23"/>
        <v>50000</v>
      </c>
      <c r="Q133" s="25">
        <v>0</v>
      </c>
      <c r="R133" s="26">
        <v>42000</v>
      </c>
      <c r="S133" s="91">
        <f t="shared" si="24"/>
        <v>1.1904761904761905</v>
      </c>
      <c r="T133" s="91">
        <f t="shared" si="25"/>
        <v>0</v>
      </c>
      <c r="U133" s="27" t="s">
        <v>56</v>
      </c>
      <c r="V133" s="30" t="s">
        <v>68</v>
      </c>
      <c r="W133" s="31" t="s">
        <v>68</v>
      </c>
      <c r="X133" s="22"/>
      <c r="Y133" s="19" t="s">
        <v>52</v>
      </c>
      <c r="Z133" s="19" t="s">
        <v>52</v>
      </c>
      <c r="AA133" s="19" t="s">
        <v>52</v>
      </c>
      <c r="AB133" s="28"/>
    </row>
    <row r="134" spans="1:28" s="29" customFormat="1" ht="15" customHeight="1" x14ac:dyDescent="0.25">
      <c r="A134" s="14">
        <v>71</v>
      </c>
      <c r="B134" s="32" t="s">
        <v>68</v>
      </c>
      <c r="C134" s="32" t="s">
        <v>68</v>
      </c>
      <c r="D134" s="14">
        <v>14507</v>
      </c>
      <c r="E134" s="16" t="s">
        <v>817</v>
      </c>
      <c r="F134" s="17" t="s">
        <v>818</v>
      </c>
      <c r="G134" s="17" t="s">
        <v>102</v>
      </c>
      <c r="H134" s="18" t="s">
        <v>775</v>
      </c>
      <c r="I134" s="19" t="s">
        <v>135</v>
      </c>
      <c r="J134" s="20">
        <v>46059</v>
      </c>
      <c r="K134" s="20">
        <v>46107</v>
      </c>
      <c r="L134" s="21">
        <v>75000</v>
      </c>
      <c r="M134" s="22">
        <f t="shared" si="22"/>
        <v>0</v>
      </c>
      <c r="N134" s="23">
        <v>0</v>
      </c>
      <c r="O134" s="23">
        <v>0</v>
      </c>
      <c r="P134" s="24">
        <f t="shared" si="23"/>
        <v>75000</v>
      </c>
      <c r="Q134" s="25">
        <v>0</v>
      </c>
      <c r="R134" s="26">
        <v>42000</v>
      </c>
      <c r="S134" s="91">
        <f t="shared" si="24"/>
        <v>1.7857142857142858</v>
      </c>
      <c r="T134" s="91">
        <f t="shared" si="25"/>
        <v>0</v>
      </c>
      <c r="U134" s="27" t="s">
        <v>56</v>
      </c>
      <c r="V134" s="30" t="s">
        <v>68</v>
      </c>
      <c r="W134" s="31" t="s">
        <v>68</v>
      </c>
      <c r="X134" s="22"/>
      <c r="Y134" s="19" t="s">
        <v>52</v>
      </c>
      <c r="Z134" s="19" t="s">
        <v>52</v>
      </c>
      <c r="AA134" s="19" t="s">
        <v>52</v>
      </c>
      <c r="AB134" s="28"/>
    </row>
    <row r="135" spans="1:28" s="29" customFormat="1" ht="15" customHeight="1" x14ac:dyDescent="0.25">
      <c r="A135" s="14">
        <v>72</v>
      </c>
      <c r="B135" s="32" t="s">
        <v>68</v>
      </c>
      <c r="C135" s="32" t="s">
        <v>68</v>
      </c>
      <c r="D135" s="14">
        <v>14510</v>
      </c>
      <c r="E135" s="16" t="s">
        <v>872</v>
      </c>
      <c r="F135" s="17" t="s">
        <v>1129</v>
      </c>
      <c r="G135" s="17" t="s">
        <v>102</v>
      </c>
      <c r="H135" s="18" t="s">
        <v>775</v>
      </c>
      <c r="I135" s="19" t="s">
        <v>135</v>
      </c>
      <c r="J135" s="20">
        <v>46059</v>
      </c>
      <c r="K135" s="20">
        <v>46107</v>
      </c>
      <c r="L135" s="21">
        <v>50000</v>
      </c>
      <c r="M135" s="22">
        <f t="shared" si="22"/>
        <v>0</v>
      </c>
      <c r="N135" s="23">
        <v>0</v>
      </c>
      <c r="O135" s="23">
        <v>0</v>
      </c>
      <c r="P135" s="24">
        <f t="shared" si="23"/>
        <v>50000</v>
      </c>
      <c r="Q135" s="25">
        <v>0</v>
      </c>
      <c r="R135" s="26">
        <v>42000</v>
      </c>
      <c r="S135" s="91">
        <f t="shared" si="24"/>
        <v>1.1904761904761905</v>
      </c>
      <c r="T135" s="91">
        <f t="shared" si="25"/>
        <v>0</v>
      </c>
      <c r="U135" s="27" t="s">
        <v>56</v>
      </c>
      <c r="V135" s="30" t="s">
        <v>68</v>
      </c>
      <c r="W135" s="31" t="s">
        <v>68</v>
      </c>
      <c r="X135" s="22"/>
      <c r="Y135" s="19" t="s">
        <v>52</v>
      </c>
      <c r="Z135" s="19" t="s">
        <v>52</v>
      </c>
      <c r="AA135" s="19" t="s">
        <v>52</v>
      </c>
      <c r="AB135" s="28"/>
    </row>
    <row r="136" spans="1:28" s="29" customFormat="1" ht="15" customHeight="1" x14ac:dyDescent="0.25">
      <c r="A136" s="14">
        <v>73</v>
      </c>
      <c r="B136" s="32" t="s">
        <v>68</v>
      </c>
      <c r="C136" s="32" t="s">
        <v>68</v>
      </c>
      <c r="D136" s="14">
        <v>14512</v>
      </c>
      <c r="E136" s="16" t="s">
        <v>1130</v>
      </c>
      <c r="F136" s="17" t="s">
        <v>1131</v>
      </c>
      <c r="G136" s="17" t="s">
        <v>102</v>
      </c>
      <c r="H136" s="18" t="s">
        <v>775</v>
      </c>
      <c r="I136" s="19" t="s">
        <v>135</v>
      </c>
      <c r="J136" s="20">
        <v>46059</v>
      </c>
      <c r="K136" s="20">
        <v>46107</v>
      </c>
      <c r="L136" s="21">
        <v>30000</v>
      </c>
      <c r="M136" s="22">
        <f t="shared" si="22"/>
        <v>0</v>
      </c>
      <c r="N136" s="23">
        <v>0</v>
      </c>
      <c r="O136" s="23">
        <v>0</v>
      </c>
      <c r="P136" s="24">
        <f t="shared" si="23"/>
        <v>30000</v>
      </c>
      <c r="Q136" s="25">
        <v>0</v>
      </c>
      <c r="R136" s="26">
        <v>42000</v>
      </c>
      <c r="S136" s="91">
        <f t="shared" si="24"/>
        <v>0.7142857142857143</v>
      </c>
      <c r="T136" s="91">
        <f t="shared" si="25"/>
        <v>0</v>
      </c>
      <c r="U136" s="27" t="s">
        <v>56</v>
      </c>
      <c r="V136" s="30" t="s">
        <v>68</v>
      </c>
      <c r="W136" s="31" t="s">
        <v>68</v>
      </c>
      <c r="X136" s="22"/>
      <c r="Y136" s="19" t="s">
        <v>52</v>
      </c>
      <c r="Z136" s="19" t="s">
        <v>52</v>
      </c>
      <c r="AA136" s="41" t="s">
        <v>82</v>
      </c>
      <c r="AB136" s="28"/>
    </row>
    <row r="137" spans="1:28" s="29" customFormat="1" ht="15" customHeight="1" x14ac:dyDescent="0.25">
      <c r="A137" s="14">
        <v>74</v>
      </c>
      <c r="B137" s="32" t="s">
        <v>68</v>
      </c>
      <c r="C137" s="32" t="s">
        <v>68</v>
      </c>
      <c r="D137" s="14">
        <v>14509</v>
      </c>
      <c r="E137" s="16" t="s">
        <v>855</v>
      </c>
      <c r="F137" s="17" t="s">
        <v>856</v>
      </c>
      <c r="G137" s="17" t="s">
        <v>102</v>
      </c>
      <c r="H137" s="18" t="s">
        <v>775</v>
      </c>
      <c r="I137" s="19" t="s">
        <v>135</v>
      </c>
      <c r="J137" s="20">
        <v>46059</v>
      </c>
      <c r="K137" s="20">
        <v>46107</v>
      </c>
      <c r="L137" s="21">
        <v>30000</v>
      </c>
      <c r="M137" s="22">
        <f t="shared" si="22"/>
        <v>0</v>
      </c>
      <c r="N137" s="23">
        <v>0</v>
      </c>
      <c r="O137" s="23">
        <v>0</v>
      </c>
      <c r="P137" s="24">
        <f t="shared" si="23"/>
        <v>30000</v>
      </c>
      <c r="Q137" s="25">
        <v>0</v>
      </c>
      <c r="R137" s="26">
        <v>42000</v>
      </c>
      <c r="S137" s="91">
        <f t="shared" si="24"/>
        <v>0.7142857142857143</v>
      </c>
      <c r="T137" s="91">
        <f t="shared" si="25"/>
        <v>0</v>
      </c>
      <c r="U137" s="27" t="s">
        <v>56</v>
      </c>
      <c r="V137" s="30" t="s">
        <v>68</v>
      </c>
      <c r="W137" s="31" t="s">
        <v>68</v>
      </c>
      <c r="X137" s="22"/>
      <c r="Y137" s="41" t="s">
        <v>52</v>
      </c>
      <c r="Z137" s="41" t="s">
        <v>52</v>
      </c>
      <c r="AA137" s="41" t="s">
        <v>82</v>
      </c>
      <c r="AB137" s="28"/>
    </row>
    <row r="138" spans="1:28" s="29" customFormat="1" ht="15" customHeight="1" x14ac:dyDescent="0.25">
      <c r="A138" s="14">
        <v>75</v>
      </c>
      <c r="B138" s="15">
        <v>46087</v>
      </c>
      <c r="C138" s="15">
        <f>B138+8</f>
        <v>46095</v>
      </c>
      <c r="D138" s="14">
        <v>14521</v>
      </c>
      <c r="E138" s="16" t="s">
        <v>1082</v>
      </c>
      <c r="F138" s="17" t="s">
        <v>914</v>
      </c>
      <c r="G138" s="17" t="s">
        <v>102</v>
      </c>
      <c r="H138" s="18" t="s">
        <v>775</v>
      </c>
      <c r="I138" s="19" t="s">
        <v>135</v>
      </c>
      <c r="J138" s="20">
        <v>46062</v>
      </c>
      <c r="K138" s="20">
        <v>46107</v>
      </c>
      <c r="L138" s="21">
        <v>30000</v>
      </c>
      <c r="M138" s="22">
        <f t="shared" si="22"/>
        <v>0</v>
      </c>
      <c r="N138" s="23">
        <v>0</v>
      </c>
      <c r="O138" s="23">
        <v>0</v>
      </c>
      <c r="P138" s="24">
        <f t="shared" si="23"/>
        <v>30000</v>
      </c>
      <c r="Q138" s="25">
        <v>0</v>
      </c>
      <c r="R138" s="26">
        <v>42000</v>
      </c>
      <c r="S138" s="91">
        <f t="shared" si="24"/>
        <v>0.7142857142857143</v>
      </c>
      <c r="T138" s="91">
        <f t="shared" si="25"/>
        <v>0</v>
      </c>
      <c r="U138" s="27" t="s">
        <v>56</v>
      </c>
      <c r="V138" s="30" t="s">
        <v>59</v>
      </c>
      <c r="W138" s="31">
        <v>46080</v>
      </c>
      <c r="X138" s="22"/>
      <c r="Y138" s="19" t="s">
        <v>52</v>
      </c>
      <c r="Z138" s="19" t="s">
        <v>52</v>
      </c>
      <c r="AA138" s="19" t="s">
        <v>52</v>
      </c>
      <c r="AB138" s="28"/>
    </row>
    <row r="139" spans="1:28" s="29" customFormat="1" ht="15" customHeight="1" x14ac:dyDescent="0.25">
      <c r="A139" s="14">
        <v>76</v>
      </c>
      <c r="B139" s="32" t="s">
        <v>68</v>
      </c>
      <c r="C139" s="32" t="s">
        <v>68</v>
      </c>
      <c r="D139" s="14">
        <v>14551</v>
      </c>
      <c r="E139" s="16" t="s">
        <v>1046</v>
      </c>
      <c r="F139" s="17" t="s">
        <v>598</v>
      </c>
      <c r="G139" s="17" t="s">
        <v>102</v>
      </c>
      <c r="H139" s="18" t="s">
        <v>57</v>
      </c>
      <c r="I139" s="19" t="s">
        <v>58</v>
      </c>
      <c r="J139" s="20">
        <v>46066</v>
      </c>
      <c r="K139" s="20">
        <v>46108</v>
      </c>
      <c r="L139" s="21">
        <v>1000000</v>
      </c>
      <c r="M139" s="22">
        <f t="shared" si="22"/>
        <v>0</v>
      </c>
      <c r="N139" s="23">
        <v>0</v>
      </c>
      <c r="O139" s="23">
        <v>0</v>
      </c>
      <c r="P139" s="24">
        <f t="shared" ref="P139" si="29">L139-N139</f>
        <v>1000000</v>
      </c>
      <c r="Q139" s="25">
        <v>0</v>
      </c>
      <c r="R139" s="26">
        <v>50000</v>
      </c>
      <c r="S139" s="91">
        <f>IF(P139&gt;0,P139/$R139,0)</f>
        <v>20</v>
      </c>
      <c r="T139" s="91">
        <f>IF(Q139&gt;0,Q139/$R139,0)</f>
        <v>0</v>
      </c>
      <c r="U139" s="27" t="s">
        <v>50</v>
      </c>
      <c r="V139" s="30" t="s">
        <v>68</v>
      </c>
      <c r="W139" s="31" t="s">
        <v>68</v>
      </c>
      <c r="X139" s="22"/>
      <c r="Y139" s="19" t="s">
        <v>52</v>
      </c>
      <c r="Z139" s="19" t="s">
        <v>52</v>
      </c>
      <c r="AA139" s="19" t="s">
        <v>52</v>
      </c>
      <c r="AB139" s="28"/>
    </row>
    <row r="140" spans="1:28" s="29" customFormat="1" ht="15" customHeight="1" x14ac:dyDescent="0.25">
      <c r="A140" s="14">
        <v>77</v>
      </c>
      <c r="B140" s="32" t="s">
        <v>68</v>
      </c>
      <c r="C140" s="32" t="s">
        <v>68</v>
      </c>
      <c r="D140" s="14">
        <v>14571</v>
      </c>
      <c r="E140" s="16" t="s">
        <v>760</v>
      </c>
      <c r="F140" s="17" t="s">
        <v>286</v>
      </c>
      <c r="G140" s="17" t="s">
        <v>102</v>
      </c>
      <c r="H140" s="18" t="s">
        <v>57</v>
      </c>
      <c r="I140" s="19" t="s">
        <v>94</v>
      </c>
      <c r="J140" s="20">
        <v>46071</v>
      </c>
      <c r="K140" s="20">
        <v>46113</v>
      </c>
      <c r="L140" s="21">
        <v>150000</v>
      </c>
      <c r="M140" s="22">
        <f>SUM(N140:O140)</f>
        <v>0</v>
      </c>
      <c r="N140" s="23">
        <v>0</v>
      </c>
      <c r="O140" s="23">
        <v>0</v>
      </c>
      <c r="P140" s="24">
        <f>L140-N140</f>
        <v>150000</v>
      </c>
      <c r="Q140" s="25">
        <v>0</v>
      </c>
      <c r="R140" s="26">
        <v>45000</v>
      </c>
      <c r="S140" s="91">
        <f>IF(P140&gt;0,P140/$R140,0)</f>
        <v>3.3333333333333335</v>
      </c>
      <c r="T140" s="91">
        <f>IF(Q140&gt;0,Q140/$R140,0)</f>
        <v>0</v>
      </c>
      <c r="U140" s="27" t="s">
        <v>50</v>
      </c>
      <c r="V140" s="30" t="s">
        <v>68</v>
      </c>
      <c r="W140" s="31" t="s">
        <v>68</v>
      </c>
      <c r="X140" s="22"/>
      <c r="Y140" s="19" t="s">
        <v>52</v>
      </c>
      <c r="Z140" s="19" t="s">
        <v>52</v>
      </c>
      <c r="AA140" s="19" t="s">
        <v>52</v>
      </c>
      <c r="AB140" s="28"/>
    </row>
    <row r="141" spans="1:28" s="29" customFormat="1" ht="15" customHeight="1" x14ac:dyDescent="0.25">
      <c r="A141" s="14">
        <v>78</v>
      </c>
      <c r="B141" s="15">
        <v>46106</v>
      </c>
      <c r="C141" s="15">
        <f>B141+8</f>
        <v>46114</v>
      </c>
      <c r="D141" s="14">
        <v>14528</v>
      </c>
      <c r="E141" s="16" t="s">
        <v>626</v>
      </c>
      <c r="F141" s="17" t="s">
        <v>627</v>
      </c>
      <c r="G141" s="17" t="s">
        <v>102</v>
      </c>
      <c r="H141" s="18" t="s">
        <v>57</v>
      </c>
      <c r="I141" s="19" t="s">
        <v>94</v>
      </c>
      <c r="J141" s="20">
        <v>46062</v>
      </c>
      <c r="K141" s="20">
        <v>46115</v>
      </c>
      <c r="L141" s="21">
        <v>100000</v>
      </c>
      <c r="M141" s="22">
        <f t="shared" si="22"/>
        <v>0</v>
      </c>
      <c r="N141" s="23">
        <v>0</v>
      </c>
      <c r="O141" s="23">
        <v>0</v>
      </c>
      <c r="P141" s="24">
        <f t="shared" si="23"/>
        <v>100000</v>
      </c>
      <c r="Q141" s="25">
        <v>0</v>
      </c>
      <c r="R141" s="26">
        <v>50000</v>
      </c>
      <c r="S141" s="91">
        <f t="shared" si="24"/>
        <v>2</v>
      </c>
      <c r="T141" s="91">
        <f t="shared" si="25"/>
        <v>0</v>
      </c>
      <c r="U141" s="27" t="s">
        <v>50</v>
      </c>
      <c r="V141" s="30" t="s">
        <v>59</v>
      </c>
      <c r="W141" s="31">
        <v>46087</v>
      </c>
      <c r="X141" s="113" t="s">
        <v>1162</v>
      </c>
      <c r="Y141" s="19" t="s">
        <v>52</v>
      </c>
      <c r="Z141" s="19" t="s">
        <v>52</v>
      </c>
      <c r="AA141" s="19" t="s">
        <v>52</v>
      </c>
      <c r="AB141" s="28"/>
    </row>
    <row r="142" spans="1:28" s="29" customFormat="1" ht="15" customHeight="1" x14ac:dyDescent="0.25">
      <c r="A142" s="14">
        <v>79</v>
      </c>
      <c r="B142" s="15"/>
      <c r="C142" s="15"/>
      <c r="D142" s="14">
        <v>13620</v>
      </c>
      <c r="E142" s="16" t="s">
        <v>859</v>
      </c>
      <c r="F142" s="17" t="s">
        <v>860</v>
      </c>
      <c r="G142" s="17" t="s">
        <v>102</v>
      </c>
      <c r="H142" s="18" t="s">
        <v>775</v>
      </c>
      <c r="I142" s="19" t="s">
        <v>135</v>
      </c>
      <c r="J142" s="20">
        <v>45919</v>
      </c>
      <c r="K142" s="20">
        <v>45970</v>
      </c>
      <c r="L142" s="21">
        <v>50000</v>
      </c>
      <c r="M142" s="22">
        <f t="shared" si="22"/>
        <v>107000</v>
      </c>
      <c r="N142" s="23">
        <v>42000</v>
      </c>
      <c r="O142" s="23">
        <v>65000</v>
      </c>
      <c r="P142" s="24">
        <f t="shared" si="23"/>
        <v>8000</v>
      </c>
      <c r="Q142" s="25">
        <v>0</v>
      </c>
      <c r="R142" s="26">
        <v>24000</v>
      </c>
      <c r="S142" s="91">
        <f t="shared" si="24"/>
        <v>0.33333333333333331</v>
      </c>
      <c r="T142" s="91">
        <f t="shared" si="25"/>
        <v>0</v>
      </c>
      <c r="U142" s="27" t="s">
        <v>56</v>
      </c>
      <c r="V142" s="19" t="s">
        <v>51</v>
      </c>
      <c r="W142" s="20">
        <v>45953</v>
      </c>
      <c r="X142" s="22" t="s">
        <v>1170</v>
      </c>
      <c r="Y142" s="19" t="s">
        <v>52</v>
      </c>
      <c r="Z142" s="19" t="s">
        <v>52</v>
      </c>
      <c r="AA142" s="19" t="s">
        <v>52</v>
      </c>
      <c r="AB142" s="28"/>
    </row>
    <row r="143" spans="1:28" ht="15" customHeight="1" x14ac:dyDescent="0.25">
      <c r="A143" s="33" t="s">
        <v>71</v>
      </c>
      <c r="B143" s="34"/>
      <c r="C143" s="34"/>
      <c r="D143" s="34"/>
      <c r="E143" s="34"/>
      <c r="F143" s="35"/>
      <c r="G143" s="35"/>
      <c r="H143" s="34"/>
      <c r="I143" s="34"/>
      <c r="J143" s="34"/>
      <c r="K143" s="34"/>
      <c r="L143" s="36"/>
      <c r="M143" s="36"/>
      <c r="N143" s="36"/>
      <c r="O143" s="36"/>
      <c r="P143" s="36">
        <f>SUMIFS($P$5:$P$167,$G$5:$G$167,"Bag Zipper",$P$5:$P$167,"&gt;0")</f>
        <v>8376000</v>
      </c>
      <c r="Q143" s="36">
        <f>SUMIFS($Q$5:$Q$167,$G$5:$G$167,"Bag Zipper",$Q$5:$Q$167,"&gt;0")</f>
        <v>0</v>
      </c>
      <c r="R143" s="36"/>
      <c r="S143" s="92">
        <f>SUMIFS($S$5:$S$167,$G$5:$G$167,"Bag Zipper",$S$5:$S$167,"&gt;0")</f>
        <v>198.67658730158732</v>
      </c>
      <c r="T143" s="92">
        <f>SUMIFS($T$5:$T$167,$G$5:$G$167,"Bag Zipper",$T$5:$T$167,"&gt;0")</f>
        <v>0</v>
      </c>
      <c r="U143" s="37"/>
      <c r="V143" s="38"/>
      <c r="W143" s="38"/>
      <c r="X143" s="38"/>
      <c r="Y143" s="34"/>
      <c r="Z143" s="34"/>
      <c r="AA143" s="39"/>
      <c r="AB143" s="28"/>
    </row>
    <row r="144" spans="1:28" ht="15" customHeight="1" x14ac:dyDescent="0.25">
      <c r="A144" s="137" t="s">
        <v>131</v>
      </c>
      <c r="B144" s="138"/>
      <c r="C144" s="138"/>
      <c r="D144" s="138"/>
      <c r="E144" s="138"/>
      <c r="F144" s="138"/>
      <c r="G144" s="138" t="s">
        <v>131</v>
      </c>
      <c r="H144" s="138"/>
      <c r="I144" s="138"/>
      <c r="J144" s="138"/>
      <c r="K144" s="138"/>
      <c r="L144" s="138"/>
      <c r="M144" s="138"/>
      <c r="N144" s="138"/>
      <c r="O144" s="138"/>
      <c r="P144" s="138"/>
      <c r="Q144" s="138"/>
      <c r="R144" s="138"/>
      <c r="S144" s="138"/>
      <c r="T144" s="138"/>
      <c r="U144" s="138"/>
      <c r="V144" s="138"/>
      <c r="W144" s="138"/>
      <c r="X144" s="138"/>
      <c r="Y144" s="138"/>
      <c r="Z144" s="138"/>
      <c r="AA144" s="140"/>
    </row>
    <row r="145" spans="1:28" s="29" customFormat="1" ht="15" customHeight="1" x14ac:dyDescent="0.25">
      <c r="A145" s="14">
        <v>1</v>
      </c>
      <c r="B145" s="15">
        <v>46080</v>
      </c>
      <c r="C145" s="15">
        <f t="shared" ref="C145:C155" si="30">B145+8</f>
        <v>46088</v>
      </c>
      <c r="D145" s="14">
        <v>14464</v>
      </c>
      <c r="E145" s="16" t="s">
        <v>630</v>
      </c>
      <c r="F145" s="17" t="s">
        <v>631</v>
      </c>
      <c r="G145" s="17" t="s">
        <v>132</v>
      </c>
      <c r="H145" s="18" t="s">
        <v>78</v>
      </c>
      <c r="I145" s="19" t="s">
        <v>79</v>
      </c>
      <c r="J145" s="20">
        <v>46052</v>
      </c>
      <c r="K145" s="20">
        <v>46073</v>
      </c>
      <c r="L145" s="21">
        <v>504000</v>
      </c>
      <c r="M145" s="22">
        <f t="shared" ref="M145:M164" si="31">SUM(N145:O145)</f>
        <v>0</v>
      </c>
      <c r="N145" s="23">
        <v>0</v>
      </c>
      <c r="O145" s="23">
        <v>0</v>
      </c>
      <c r="P145" s="24">
        <f t="shared" ref="P145:P153" si="32">L145-N145</f>
        <v>504000</v>
      </c>
      <c r="Q145" s="25">
        <v>0</v>
      </c>
      <c r="R145" s="26">
        <v>126000</v>
      </c>
      <c r="S145" s="91">
        <f t="shared" ref="S145:S166" si="33">IF(P145&gt;0,P145/$R145,0)</f>
        <v>4</v>
      </c>
      <c r="T145" s="91">
        <f t="shared" ref="T145:T166" si="34">IF(Q145&gt;0,Q145/$R145,0)</f>
        <v>0</v>
      </c>
      <c r="U145" s="27" t="s">
        <v>56</v>
      </c>
      <c r="V145" s="30" t="s">
        <v>59</v>
      </c>
      <c r="W145" s="31">
        <v>46071</v>
      </c>
      <c r="X145" s="113" t="s">
        <v>1121</v>
      </c>
      <c r="Y145" s="19" t="s">
        <v>52</v>
      </c>
      <c r="Z145" s="19" t="s">
        <v>52</v>
      </c>
      <c r="AA145" s="19" t="s">
        <v>52</v>
      </c>
      <c r="AB145" s="28"/>
    </row>
    <row r="146" spans="1:28" s="29" customFormat="1" ht="15" customHeight="1" x14ac:dyDescent="0.25">
      <c r="A146" s="14">
        <v>2</v>
      </c>
      <c r="B146" s="15">
        <v>46080</v>
      </c>
      <c r="C146" s="15">
        <f t="shared" si="30"/>
        <v>46088</v>
      </c>
      <c r="D146" s="14">
        <v>14463</v>
      </c>
      <c r="E146" s="16" t="s">
        <v>548</v>
      </c>
      <c r="F146" s="17" t="s">
        <v>1102</v>
      </c>
      <c r="G146" s="17" t="s">
        <v>132</v>
      </c>
      <c r="H146" s="18" t="s">
        <v>78</v>
      </c>
      <c r="I146" s="19" t="s">
        <v>79</v>
      </c>
      <c r="J146" s="20">
        <v>46052</v>
      </c>
      <c r="K146" s="20">
        <v>46073</v>
      </c>
      <c r="L146" s="21">
        <v>1080000</v>
      </c>
      <c r="M146" s="22">
        <f t="shared" si="31"/>
        <v>0</v>
      </c>
      <c r="N146" s="23">
        <v>0</v>
      </c>
      <c r="O146" s="23">
        <v>0</v>
      </c>
      <c r="P146" s="24">
        <f t="shared" si="32"/>
        <v>1080000</v>
      </c>
      <c r="Q146" s="25">
        <v>0</v>
      </c>
      <c r="R146" s="26">
        <v>270000</v>
      </c>
      <c r="S146" s="91">
        <f t="shared" si="33"/>
        <v>4</v>
      </c>
      <c r="T146" s="91">
        <f t="shared" si="34"/>
        <v>0</v>
      </c>
      <c r="U146" s="27" t="s">
        <v>56</v>
      </c>
      <c r="V146" s="30" t="s">
        <v>59</v>
      </c>
      <c r="W146" s="31">
        <v>46071</v>
      </c>
      <c r="X146" s="113" t="s">
        <v>1121</v>
      </c>
      <c r="Y146" s="19" t="s">
        <v>52</v>
      </c>
      <c r="Z146" s="19" t="s">
        <v>52</v>
      </c>
      <c r="AA146" s="19" t="s">
        <v>52</v>
      </c>
      <c r="AB146" s="28"/>
    </row>
    <row r="147" spans="1:28" s="29" customFormat="1" ht="15" customHeight="1" x14ac:dyDescent="0.25">
      <c r="A147" s="14">
        <v>3</v>
      </c>
      <c r="B147" s="15"/>
      <c r="C147" s="15"/>
      <c r="D147" s="14">
        <v>12955</v>
      </c>
      <c r="E147" s="117" t="s">
        <v>630</v>
      </c>
      <c r="F147" s="118" t="s">
        <v>631</v>
      </c>
      <c r="G147" s="17" t="s">
        <v>132</v>
      </c>
      <c r="H147" s="18" t="s">
        <v>78</v>
      </c>
      <c r="I147" s="19" t="s">
        <v>79</v>
      </c>
      <c r="J147" s="20">
        <v>45785</v>
      </c>
      <c r="K147" s="20">
        <v>45827</v>
      </c>
      <c r="L147" s="21">
        <v>126000</v>
      </c>
      <c r="M147" s="22">
        <f t="shared" si="31"/>
        <v>137000</v>
      </c>
      <c r="N147" s="23">
        <v>137000</v>
      </c>
      <c r="O147" s="23">
        <v>0</v>
      </c>
      <c r="P147" s="24">
        <f t="shared" si="32"/>
        <v>-11000</v>
      </c>
      <c r="Q147" s="25">
        <v>0</v>
      </c>
      <c r="R147" s="26">
        <v>126000</v>
      </c>
      <c r="S147" s="91">
        <f t="shared" si="33"/>
        <v>0</v>
      </c>
      <c r="T147" s="91">
        <f t="shared" si="34"/>
        <v>0</v>
      </c>
      <c r="U147" s="27" t="s">
        <v>56</v>
      </c>
      <c r="V147" s="19" t="s">
        <v>51</v>
      </c>
      <c r="W147" s="20">
        <v>45839</v>
      </c>
      <c r="X147" s="120" t="s">
        <v>1025</v>
      </c>
      <c r="Y147" s="19" t="s">
        <v>52</v>
      </c>
      <c r="Z147" s="19" t="s">
        <v>52</v>
      </c>
      <c r="AA147" s="19" t="s">
        <v>52</v>
      </c>
      <c r="AB147" s="28"/>
    </row>
    <row r="148" spans="1:28" s="29" customFormat="1" ht="15" customHeight="1" x14ac:dyDescent="0.25">
      <c r="A148" s="14">
        <v>4</v>
      </c>
      <c r="B148" s="15">
        <v>46062</v>
      </c>
      <c r="C148" s="15">
        <f t="shared" ref="C148" si="35">B148+8</f>
        <v>46070</v>
      </c>
      <c r="D148" s="14">
        <v>13991</v>
      </c>
      <c r="E148" s="16" t="s">
        <v>145</v>
      </c>
      <c r="F148" s="17" t="s">
        <v>146</v>
      </c>
      <c r="G148" s="17" t="s">
        <v>132</v>
      </c>
      <c r="H148" s="18" t="s">
        <v>775</v>
      </c>
      <c r="I148" s="19" t="s">
        <v>135</v>
      </c>
      <c r="J148" s="20">
        <v>45975</v>
      </c>
      <c r="K148" s="20">
        <v>46007</v>
      </c>
      <c r="L148" s="21">
        <v>60000</v>
      </c>
      <c r="M148" s="22">
        <f t="shared" si="31"/>
        <v>34000</v>
      </c>
      <c r="N148" s="23">
        <v>34000</v>
      </c>
      <c r="O148" s="23">
        <v>0</v>
      </c>
      <c r="P148" s="24">
        <f t="shared" si="32"/>
        <v>26000</v>
      </c>
      <c r="Q148" s="25">
        <v>0</v>
      </c>
      <c r="R148" s="26">
        <v>50868</v>
      </c>
      <c r="S148" s="91">
        <f t="shared" si="33"/>
        <v>0.51112683809074466</v>
      </c>
      <c r="T148" s="91">
        <f t="shared" si="34"/>
        <v>0</v>
      </c>
      <c r="U148" s="27" t="s">
        <v>56</v>
      </c>
      <c r="V148" s="19" t="s">
        <v>51</v>
      </c>
      <c r="W148" s="20">
        <v>46064</v>
      </c>
      <c r="X148" s="22"/>
      <c r="Y148" s="19" t="s">
        <v>52</v>
      </c>
      <c r="Z148" s="19" t="s">
        <v>52</v>
      </c>
      <c r="AA148" s="19" t="s">
        <v>52</v>
      </c>
      <c r="AB148" s="28"/>
    </row>
    <row r="149" spans="1:28" s="29" customFormat="1" ht="15" customHeight="1" x14ac:dyDescent="0.25">
      <c r="A149" s="14">
        <v>5</v>
      </c>
      <c r="B149" s="15">
        <v>46056</v>
      </c>
      <c r="C149" s="15">
        <f t="shared" si="30"/>
        <v>46064</v>
      </c>
      <c r="D149" s="14">
        <v>13992</v>
      </c>
      <c r="E149" s="16" t="s">
        <v>220</v>
      </c>
      <c r="F149" s="17" t="s">
        <v>221</v>
      </c>
      <c r="G149" s="17" t="s">
        <v>132</v>
      </c>
      <c r="H149" s="18" t="s">
        <v>775</v>
      </c>
      <c r="I149" s="19" t="s">
        <v>135</v>
      </c>
      <c r="J149" s="20">
        <v>45975</v>
      </c>
      <c r="K149" s="20">
        <v>46007</v>
      </c>
      <c r="L149" s="21">
        <v>185000</v>
      </c>
      <c r="M149" s="22">
        <f t="shared" si="31"/>
        <v>143000</v>
      </c>
      <c r="N149" s="23">
        <v>143000</v>
      </c>
      <c r="O149" s="23">
        <v>0</v>
      </c>
      <c r="P149" s="24">
        <f t="shared" si="32"/>
        <v>42000</v>
      </c>
      <c r="Q149" s="25">
        <v>0</v>
      </c>
      <c r="R149" s="26">
        <v>117000</v>
      </c>
      <c r="S149" s="91">
        <f t="shared" si="33"/>
        <v>0.35897435897435898</v>
      </c>
      <c r="T149" s="91">
        <f t="shared" si="34"/>
        <v>0</v>
      </c>
      <c r="U149" s="27" t="s">
        <v>56</v>
      </c>
      <c r="V149" s="19" t="s">
        <v>51</v>
      </c>
      <c r="W149" s="20">
        <v>45997</v>
      </c>
      <c r="X149" s="22"/>
      <c r="Y149" s="19" t="s">
        <v>52</v>
      </c>
      <c r="Z149" s="19" t="s">
        <v>52</v>
      </c>
      <c r="AA149" s="19" t="s">
        <v>52</v>
      </c>
      <c r="AB149" s="28"/>
    </row>
    <row r="150" spans="1:28" s="29" customFormat="1" ht="15" customHeight="1" x14ac:dyDescent="0.25">
      <c r="A150" s="14">
        <v>6</v>
      </c>
      <c r="B150" s="15"/>
      <c r="C150" s="15"/>
      <c r="D150" s="14">
        <v>14289</v>
      </c>
      <c r="E150" s="117" t="s">
        <v>310</v>
      </c>
      <c r="F150" s="118" t="s">
        <v>311</v>
      </c>
      <c r="G150" s="17" t="s">
        <v>132</v>
      </c>
      <c r="H150" s="18" t="s">
        <v>133</v>
      </c>
      <c r="I150" s="19" t="s">
        <v>198</v>
      </c>
      <c r="J150" s="20">
        <v>46030</v>
      </c>
      <c r="K150" s="20">
        <v>46056</v>
      </c>
      <c r="L150" s="21">
        <v>200000</v>
      </c>
      <c r="M150" s="22">
        <f t="shared" si="31"/>
        <v>212000</v>
      </c>
      <c r="N150" s="23">
        <v>212000</v>
      </c>
      <c r="O150" s="23">
        <v>0</v>
      </c>
      <c r="P150" s="24">
        <f t="shared" si="32"/>
        <v>-12000</v>
      </c>
      <c r="Q150" s="25">
        <v>0</v>
      </c>
      <c r="R150" s="26">
        <v>160000</v>
      </c>
      <c r="S150" s="91">
        <f t="shared" si="33"/>
        <v>0</v>
      </c>
      <c r="T150" s="91">
        <f t="shared" si="34"/>
        <v>0</v>
      </c>
      <c r="U150" s="27" t="s">
        <v>56</v>
      </c>
      <c r="V150" s="19" t="s">
        <v>51</v>
      </c>
      <c r="W150" s="20">
        <v>46058</v>
      </c>
      <c r="X150" s="120" t="s">
        <v>1025</v>
      </c>
      <c r="Y150" s="19" t="s">
        <v>52</v>
      </c>
      <c r="Z150" s="19" t="s">
        <v>52</v>
      </c>
      <c r="AA150" s="19" t="s">
        <v>52</v>
      </c>
      <c r="AB150" s="28"/>
    </row>
    <row r="151" spans="1:28" s="29" customFormat="1" ht="15" customHeight="1" x14ac:dyDescent="0.25">
      <c r="A151" s="14">
        <v>7</v>
      </c>
      <c r="B151" s="15">
        <v>46062</v>
      </c>
      <c r="C151" s="15">
        <f t="shared" si="30"/>
        <v>46070</v>
      </c>
      <c r="D151" s="14">
        <v>14277</v>
      </c>
      <c r="E151" s="16" t="s">
        <v>307</v>
      </c>
      <c r="F151" s="17" t="s">
        <v>308</v>
      </c>
      <c r="G151" s="17" t="s">
        <v>132</v>
      </c>
      <c r="H151" s="18" t="s">
        <v>133</v>
      </c>
      <c r="I151" s="19" t="s">
        <v>198</v>
      </c>
      <c r="J151" s="20">
        <v>46030</v>
      </c>
      <c r="K151" s="20">
        <v>46071</v>
      </c>
      <c r="L151" s="21">
        <v>600000</v>
      </c>
      <c r="M151" s="22">
        <f t="shared" si="31"/>
        <v>461000</v>
      </c>
      <c r="N151" s="23">
        <v>461000</v>
      </c>
      <c r="O151" s="23">
        <v>0</v>
      </c>
      <c r="P151" s="24">
        <f t="shared" si="32"/>
        <v>139000</v>
      </c>
      <c r="Q151" s="25">
        <v>0</v>
      </c>
      <c r="R151" s="26">
        <v>128000</v>
      </c>
      <c r="S151" s="91">
        <f t="shared" si="33"/>
        <v>1.0859375</v>
      </c>
      <c r="T151" s="91">
        <f t="shared" si="34"/>
        <v>0</v>
      </c>
      <c r="U151" s="27" t="s">
        <v>56</v>
      </c>
      <c r="V151" s="30" t="s">
        <v>51</v>
      </c>
      <c r="W151" s="31">
        <v>46071</v>
      </c>
      <c r="X151" s="22"/>
      <c r="Y151" s="19" t="s">
        <v>52</v>
      </c>
      <c r="Z151" s="19" t="s">
        <v>52</v>
      </c>
      <c r="AA151" s="19" t="s">
        <v>52</v>
      </c>
      <c r="AB151" s="28"/>
    </row>
    <row r="152" spans="1:28" s="29" customFormat="1" ht="15" customHeight="1" x14ac:dyDescent="0.25">
      <c r="A152" s="14">
        <v>8</v>
      </c>
      <c r="B152" s="32">
        <v>46094</v>
      </c>
      <c r="C152" s="32">
        <f>B152+8</f>
        <v>46102</v>
      </c>
      <c r="D152" s="14">
        <v>14456</v>
      </c>
      <c r="E152" s="16" t="s">
        <v>1166</v>
      </c>
      <c r="F152" s="17" t="s">
        <v>300</v>
      </c>
      <c r="G152" s="17" t="s">
        <v>132</v>
      </c>
      <c r="H152" s="18" t="s">
        <v>133</v>
      </c>
      <c r="I152" s="19" t="s">
        <v>198</v>
      </c>
      <c r="J152" s="20">
        <v>46052</v>
      </c>
      <c r="K152" s="20">
        <v>46071</v>
      </c>
      <c r="L152" s="21">
        <v>162000</v>
      </c>
      <c r="M152" s="22">
        <f t="shared" ref="M152" si="36">SUM(N152:O152)</f>
        <v>0</v>
      </c>
      <c r="N152" s="23">
        <v>0</v>
      </c>
      <c r="O152" s="23">
        <v>0</v>
      </c>
      <c r="P152" s="24">
        <f t="shared" ref="P152" si="37">L152-N152</f>
        <v>162000</v>
      </c>
      <c r="Q152" s="25">
        <v>0</v>
      </c>
      <c r="R152" s="26">
        <v>128000</v>
      </c>
      <c r="S152" s="91">
        <f>IF(P152&gt;0,P152/$R152,0)</f>
        <v>1.265625</v>
      </c>
      <c r="T152" s="91">
        <f>IF(Q152&gt;0,Q152/$R152,0)</f>
        <v>0</v>
      </c>
      <c r="U152" s="27" t="s">
        <v>56</v>
      </c>
      <c r="V152" s="30" t="s">
        <v>59</v>
      </c>
      <c r="W152" s="31">
        <v>46080</v>
      </c>
      <c r="X152" s="22"/>
      <c r="Y152" s="19" t="s">
        <v>52</v>
      </c>
      <c r="Z152" s="19" t="s">
        <v>52</v>
      </c>
      <c r="AA152" s="19" t="s">
        <v>52</v>
      </c>
      <c r="AB152" s="28"/>
    </row>
    <row r="153" spans="1:28" s="29" customFormat="1" ht="15" customHeight="1" x14ac:dyDescent="0.25">
      <c r="A153" s="14">
        <v>9</v>
      </c>
      <c r="B153" s="15">
        <v>46083</v>
      </c>
      <c r="C153" s="15">
        <f t="shared" si="30"/>
        <v>46091</v>
      </c>
      <c r="D153" s="14">
        <v>14319</v>
      </c>
      <c r="E153" s="16" t="s">
        <v>134</v>
      </c>
      <c r="F153" s="17" t="s">
        <v>318</v>
      </c>
      <c r="G153" s="17" t="s">
        <v>132</v>
      </c>
      <c r="H153" s="18" t="s">
        <v>54</v>
      </c>
      <c r="I153" s="19" t="s">
        <v>135</v>
      </c>
      <c r="J153" s="20">
        <v>46035</v>
      </c>
      <c r="K153" s="20">
        <v>46081</v>
      </c>
      <c r="L153" s="21">
        <v>100000</v>
      </c>
      <c r="M153" s="22">
        <f t="shared" si="31"/>
        <v>0</v>
      </c>
      <c r="N153" s="23">
        <v>0</v>
      </c>
      <c r="O153" s="23">
        <v>0</v>
      </c>
      <c r="P153" s="24">
        <f t="shared" si="32"/>
        <v>100000</v>
      </c>
      <c r="Q153" s="25">
        <v>0</v>
      </c>
      <c r="R153" s="26">
        <v>69948</v>
      </c>
      <c r="S153" s="91">
        <f t="shared" si="33"/>
        <v>1.4296334419854748</v>
      </c>
      <c r="T153" s="91">
        <f t="shared" si="34"/>
        <v>0</v>
      </c>
      <c r="U153" s="27" t="s">
        <v>56</v>
      </c>
      <c r="V153" s="30" t="s">
        <v>59</v>
      </c>
      <c r="W153" s="31">
        <v>46078</v>
      </c>
      <c r="X153" s="22"/>
      <c r="Y153" s="19" t="s">
        <v>52</v>
      </c>
      <c r="Z153" s="19" t="s">
        <v>52</v>
      </c>
      <c r="AA153" s="19" t="s">
        <v>52</v>
      </c>
      <c r="AB153" s="28"/>
    </row>
    <row r="154" spans="1:28" s="29" customFormat="1" ht="15" customHeight="1" x14ac:dyDescent="0.25">
      <c r="A154" s="14">
        <v>10</v>
      </c>
      <c r="B154" s="15">
        <v>46108</v>
      </c>
      <c r="C154" s="15">
        <f t="shared" si="30"/>
        <v>46116</v>
      </c>
      <c r="D154" s="14">
        <v>14321</v>
      </c>
      <c r="E154" s="16" t="s">
        <v>331</v>
      </c>
      <c r="F154" s="17" t="s">
        <v>332</v>
      </c>
      <c r="G154" s="17" t="s">
        <v>132</v>
      </c>
      <c r="H154" s="18" t="s">
        <v>54</v>
      </c>
      <c r="I154" s="19" t="s">
        <v>135</v>
      </c>
      <c r="J154" s="20">
        <v>46035</v>
      </c>
      <c r="K154" s="20">
        <v>46081</v>
      </c>
      <c r="L154" s="21">
        <v>30000</v>
      </c>
      <c r="M154" s="22">
        <f t="shared" si="31"/>
        <v>0</v>
      </c>
      <c r="N154" s="23">
        <v>0</v>
      </c>
      <c r="O154" s="23">
        <v>0</v>
      </c>
      <c r="P154" s="24">
        <f t="shared" ref="P154" si="38">L154-N154</f>
        <v>30000</v>
      </c>
      <c r="Q154" s="25">
        <v>0</v>
      </c>
      <c r="R154" s="26">
        <v>75078</v>
      </c>
      <c r="S154" s="91">
        <f t="shared" si="33"/>
        <v>0.39958443219052187</v>
      </c>
      <c r="T154" s="91">
        <f t="shared" si="34"/>
        <v>0</v>
      </c>
      <c r="U154" s="27" t="s">
        <v>56</v>
      </c>
      <c r="V154" s="30" t="s">
        <v>59</v>
      </c>
      <c r="W154" s="31">
        <v>46078</v>
      </c>
      <c r="X154" s="22"/>
      <c r="Y154" s="19" t="s">
        <v>52</v>
      </c>
      <c r="Z154" s="19" t="s">
        <v>52</v>
      </c>
      <c r="AA154" s="19" t="s">
        <v>52</v>
      </c>
      <c r="AB154" s="28"/>
    </row>
    <row r="155" spans="1:28" s="29" customFormat="1" ht="15" customHeight="1" x14ac:dyDescent="0.25">
      <c r="A155" s="14">
        <v>11</v>
      </c>
      <c r="B155" s="15">
        <v>46094</v>
      </c>
      <c r="C155" s="15">
        <f t="shared" si="30"/>
        <v>46102</v>
      </c>
      <c r="D155" s="14">
        <v>14520</v>
      </c>
      <c r="E155" s="16" t="s">
        <v>1132</v>
      </c>
      <c r="F155" s="17" t="s">
        <v>1133</v>
      </c>
      <c r="G155" s="17" t="s">
        <v>132</v>
      </c>
      <c r="H155" s="18" t="s">
        <v>78</v>
      </c>
      <c r="I155" s="19" t="s">
        <v>79</v>
      </c>
      <c r="J155" s="20">
        <v>46059</v>
      </c>
      <c r="K155" s="20">
        <v>46087</v>
      </c>
      <c r="L155" s="21">
        <v>300000</v>
      </c>
      <c r="M155" s="22">
        <f t="shared" si="31"/>
        <v>0</v>
      </c>
      <c r="N155" s="23">
        <v>0</v>
      </c>
      <c r="O155" s="23">
        <v>0</v>
      </c>
      <c r="P155" s="24">
        <f t="shared" ref="P155" si="39">L155-N155</f>
        <v>300000</v>
      </c>
      <c r="Q155" s="25">
        <v>0</v>
      </c>
      <c r="R155" s="26">
        <v>205680</v>
      </c>
      <c r="S155" s="91">
        <f t="shared" si="33"/>
        <v>1.4585764294049008</v>
      </c>
      <c r="T155" s="91">
        <f t="shared" si="34"/>
        <v>0</v>
      </c>
      <c r="U155" s="27" t="s">
        <v>56</v>
      </c>
      <c r="V155" s="30" t="s">
        <v>59</v>
      </c>
      <c r="W155" s="31">
        <v>46080</v>
      </c>
      <c r="X155" s="22"/>
      <c r="Y155" s="19" t="s">
        <v>52</v>
      </c>
      <c r="Z155" s="19" t="s">
        <v>52</v>
      </c>
      <c r="AA155" s="19" t="s">
        <v>52</v>
      </c>
      <c r="AB155" s="28"/>
    </row>
    <row r="156" spans="1:28" s="29" customFormat="1" ht="15" customHeight="1" x14ac:dyDescent="0.25">
      <c r="A156" s="14">
        <v>12</v>
      </c>
      <c r="B156" s="15"/>
      <c r="C156" s="15"/>
      <c r="D156" s="121">
        <v>14422</v>
      </c>
      <c r="E156" s="117" t="s">
        <v>147</v>
      </c>
      <c r="F156" s="118" t="s">
        <v>260</v>
      </c>
      <c r="G156" s="17" t="s">
        <v>132</v>
      </c>
      <c r="H156" s="18" t="s">
        <v>775</v>
      </c>
      <c r="I156" s="19" t="s">
        <v>135</v>
      </c>
      <c r="J156" s="20">
        <v>46045</v>
      </c>
      <c r="K156" s="20">
        <v>46099</v>
      </c>
      <c r="L156" s="21">
        <v>105000</v>
      </c>
      <c r="M156" s="22">
        <f t="shared" si="31"/>
        <v>130000</v>
      </c>
      <c r="N156" s="23">
        <v>130000</v>
      </c>
      <c r="O156" s="23"/>
      <c r="P156" s="24">
        <f t="shared" ref="P156" si="40">L156-N156</f>
        <v>-25000</v>
      </c>
      <c r="Q156" s="25">
        <v>0</v>
      </c>
      <c r="R156" s="26">
        <v>57660</v>
      </c>
      <c r="S156" s="91">
        <f t="shared" si="33"/>
        <v>0</v>
      </c>
      <c r="T156" s="91">
        <f t="shared" si="34"/>
        <v>0</v>
      </c>
      <c r="U156" s="27" t="s">
        <v>56</v>
      </c>
      <c r="V156" s="30" t="s">
        <v>51</v>
      </c>
      <c r="W156" s="31">
        <v>46071</v>
      </c>
      <c r="X156" s="120" t="s">
        <v>1025</v>
      </c>
      <c r="Y156" s="19" t="s">
        <v>52</v>
      </c>
      <c r="Z156" s="19" t="s">
        <v>52</v>
      </c>
      <c r="AA156" s="19" t="s">
        <v>52</v>
      </c>
      <c r="AB156" s="28"/>
    </row>
    <row r="157" spans="1:28" s="29" customFormat="1" ht="15" customHeight="1" x14ac:dyDescent="0.25">
      <c r="A157" s="14">
        <v>13</v>
      </c>
      <c r="B157" s="15">
        <v>46080</v>
      </c>
      <c r="C157" s="15">
        <f t="shared" ref="C157:C164" si="41">B157+8</f>
        <v>46088</v>
      </c>
      <c r="D157" s="14">
        <v>14423</v>
      </c>
      <c r="E157" s="16" t="s">
        <v>154</v>
      </c>
      <c r="F157" s="17" t="s">
        <v>155</v>
      </c>
      <c r="G157" s="17" t="s">
        <v>132</v>
      </c>
      <c r="H157" s="18" t="s">
        <v>775</v>
      </c>
      <c r="I157" s="19" t="s">
        <v>135</v>
      </c>
      <c r="J157" s="20">
        <v>46045</v>
      </c>
      <c r="K157" s="20">
        <v>46099</v>
      </c>
      <c r="L157" s="21">
        <v>100000</v>
      </c>
      <c r="M157" s="22">
        <f t="shared" si="31"/>
        <v>0</v>
      </c>
      <c r="N157" s="23">
        <v>0</v>
      </c>
      <c r="O157" s="23">
        <v>0</v>
      </c>
      <c r="P157" s="24">
        <f t="shared" ref="P157" si="42">L157-N157</f>
        <v>100000</v>
      </c>
      <c r="Q157" s="25">
        <v>0</v>
      </c>
      <c r="R157" s="26">
        <v>57660</v>
      </c>
      <c r="S157" s="91">
        <f t="shared" si="33"/>
        <v>1.734304543877905</v>
      </c>
      <c r="T157" s="91">
        <f t="shared" si="34"/>
        <v>0</v>
      </c>
      <c r="U157" s="27" t="s">
        <v>56</v>
      </c>
      <c r="V157" s="30" t="s">
        <v>59</v>
      </c>
      <c r="W157" s="31">
        <v>46078</v>
      </c>
      <c r="X157" s="22"/>
      <c r="Y157" s="19" t="s">
        <v>52</v>
      </c>
      <c r="Z157" s="19" t="s">
        <v>52</v>
      </c>
      <c r="AA157" s="19" t="s">
        <v>52</v>
      </c>
      <c r="AB157" s="28"/>
    </row>
    <row r="158" spans="1:28" s="29" customFormat="1" ht="15" customHeight="1" x14ac:dyDescent="0.25">
      <c r="A158" s="14">
        <v>14</v>
      </c>
      <c r="B158" s="15">
        <v>46080</v>
      </c>
      <c r="C158" s="15">
        <f t="shared" si="41"/>
        <v>46088</v>
      </c>
      <c r="D158" s="14">
        <v>14424</v>
      </c>
      <c r="E158" s="16" t="s">
        <v>248</v>
      </c>
      <c r="F158" s="17" t="s">
        <v>249</v>
      </c>
      <c r="G158" s="17" t="s">
        <v>132</v>
      </c>
      <c r="H158" s="18" t="s">
        <v>775</v>
      </c>
      <c r="I158" s="19" t="s">
        <v>135</v>
      </c>
      <c r="J158" s="20">
        <v>46045</v>
      </c>
      <c r="K158" s="20">
        <v>46099</v>
      </c>
      <c r="L158" s="21">
        <v>160000</v>
      </c>
      <c r="M158" s="22">
        <f t="shared" si="31"/>
        <v>0</v>
      </c>
      <c r="N158" s="23">
        <v>0</v>
      </c>
      <c r="O158" s="23">
        <v>0</v>
      </c>
      <c r="P158" s="24">
        <f t="shared" ref="P158" si="43">L158-N158</f>
        <v>160000</v>
      </c>
      <c r="Q158" s="25">
        <v>0</v>
      </c>
      <c r="R158" s="26">
        <v>57660</v>
      </c>
      <c r="S158" s="91">
        <f t="shared" si="33"/>
        <v>2.7748872702046481</v>
      </c>
      <c r="T158" s="91">
        <f t="shared" si="34"/>
        <v>0</v>
      </c>
      <c r="U158" s="27" t="s">
        <v>56</v>
      </c>
      <c r="V158" s="30" t="s">
        <v>59</v>
      </c>
      <c r="W158" s="31">
        <v>46078</v>
      </c>
      <c r="X158" s="22"/>
      <c r="Y158" s="19" t="s">
        <v>52</v>
      </c>
      <c r="Z158" s="19" t="s">
        <v>52</v>
      </c>
      <c r="AA158" s="19" t="s">
        <v>52</v>
      </c>
      <c r="AB158" s="28"/>
    </row>
    <row r="159" spans="1:28" s="29" customFormat="1" ht="15" customHeight="1" x14ac:dyDescent="0.25">
      <c r="A159" s="14">
        <v>15</v>
      </c>
      <c r="B159" s="15">
        <v>46080</v>
      </c>
      <c r="C159" s="15">
        <f t="shared" si="41"/>
        <v>46088</v>
      </c>
      <c r="D159" s="14">
        <v>14425</v>
      </c>
      <c r="E159" s="16" t="s">
        <v>148</v>
      </c>
      <c r="F159" s="17" t="s">
        <v>149</v>
      </c>
      <c r="G159" s="17" t="s">
        <v>132</v>
      </c>
      <c r="H159" s="18" t="s">
        <v>775</v>
      </c>
      <c r="I159" s="19" t="s">
        <v>135</v>
      </c>
      <c r="J159" s="20">
        <v>46045</v>
      </c>
      <c r="K159" s="20">
        <v>46099</v>
      </c>
      <c r="L159" s="21">
        <v>80000</v>
      </c>
      <c r="M159" s="22">
        <f t="shared" si="31"/>
        <v>0</v>
      </c>
      <c r="N159" s="23">
        <v>0</v>
      </c>
      <c r="O159" s="23">
        <v>0</v>
      </c>
      <c r="P159" s="24">
        <f t="shared" ref="P159" si="44">L159-N159</f>
        <v>80000</v>
      </c>
      <c r="Q159" s="25">
        <v>0</v>
      </c>
      <c r="R159" s="26">
        <v>57660</v>
      </c>
      <c r="S159" s="91">
        <f t="shared" si="33"/>
        <v>1.387443635102324</v>
      </c>
      <c r="T159" s="91">
        <f t="shared" si="34"/>
        <v>0</v>
      </c>
      <c r="U159" s="27" t="s">
        <v>56</v>
      </c>
      <c r="V159" s="30" t="s">
        <v>59</v>
      </c>
      <c r="W159" s="31">
        <v>46078</v>
      </c>
      <c r="X159" s="22"/>
      <c r="Y159" s="19" t="s">
        <v>52</v>
      </c>
      <c r="Z159" s="19" t="s">
        <v>52</v>
      </c>
      <c r="AA159" s="19" t="s">
        <v>52</v>
      </c>
      <c r="AB159" s="28"/>
    </row>
    <row r="160" spans="1:28" s="29" customFormat="1" ht="15" customHeight="1" x14ac:dyDescent="0.25">
      <c r="A160" s="14">
        <v>16</v>
      </c>
      <c r="B160" s="15">
        <v>46080</v>
      </c>
      <c r="C160" s="15">
        <f t="shared" si="41"/>
        <v>46088</v>
      </c>
      <c r="D160" s="14">
        <v>14427</v>
      </c>
      <c r="E160" s="16" t="s">
        <v>222</v>
      </c>
      <c r="F160" s="17" t="s">
        <v>223</v>
      </c>
      <c r="G160" s="17" t="s">
        <v>132</v>
      </c>
      <c r="H160" s="18" t="s">
        <v>775</v>
      </c>
      <c r="I160" s="19" t="s">
        <v>135</v>
      </c>
      <c r="J160" s="20">
        <v>46045</v>
      </c>
      <c r="K160" s="20">
        <v>46099</v>
      </c>
      <c r="L160" s="21">
        <v>120000</v>
      </c>
      <c r="M160" s="22">
        <f t="shared" si="31"/>
        <v>0</v>
      </c>
      <c r="N160" s="23">
        <v>0</v>
      </c>
      <c r="O160" s="23">
        <v>0</v>
      </c>
      <c r="P160" s="24">
        <f t="shared" ref="P160" si="45">L160-N160</f>
        <v>120000</v>
      </c>
      <c r="Q160" s="25">
        <v>0</v>
      </c>
      <c r="R160" s="26">
        <v>57660</v>
      </c>
      <c r="S160" s="91">
        <f t="shared" si="33"/>
        <v>2.0811654526534857</v>
      </c>
      <c r="T160" s="91">
        <f t="shared" si="34"/>
        <v>0</v>
      </c>
      <c r="U160" s="27" t="s">
        <v>56</v>
      </c>
      <c r="V160" s="30" t="s">
        <v>59</v>
      </c>
      <c r="W160" s="31">
        <v>46078</v>
      </c>
      <c r="X160" s="22"/>
      <c r="Y160" s="19" t="s">
        <v>52</v>
      </c>
      <c r="Z160" s="19" t="s">
        <v>52</v>
      </c>
      <c r="AA160" s="19" t="s">
        <v>52</v>
      </c>
      <c r="AB160" s="28"/>
    </row>
    <row r="161" spans="1:28" s="29" customFormat="1" ht="15" customHeight="1" x14ac:dyDescent="0.25">
      <c r="A161" s="14">
        <v>17</v>
      </c>
      <c r="B161" s="15">
        <v>46097</v>
      </c>
      <c r="C161" s="15">
        <f t="shared" si="41"/>
        <v>46105</v>
      </c>
      <c r="D161" s="14">
        <v>14503</v>
      </c>
      <c r="E161" s="16" t="s">
        <v>434</v>
      </c>
      <c r="F161" s="17" t="s">
        <v>435</v>
      </c>
      <c r="G161" s="17" t="s">
        <v>132</v>
      </c>
      <c r="H161" s="18" t="s">
        <v>775</v>
      </c>
      <c r="I161" s="19" t="s">
        <v>135</v>
      </c>
      <c r="J161" s="20">
        <v>46059</v>
      </c>
      <c r="K161" s="20">
        <v>46107</v>
      </c>
      <c r="L161" s="21">
        <v>30000</v>
      </c>
      <c r="M161" s="22">
        <f t="shared" si="31"/>
        <v>0</v>
      </c>
      <c r="N161" s="23">
        <v>0</v>
      </c>
      <c r="O161" s="23">
        <v>0</v>
      </c>
      <c r="P161" s="24">
        <f t="shared" ref="P161" si="46">L161-N161</f>
        <v>30000</v>
      </c>
      <c r="Q161" s="25">
        <v>0</v>
      </c>
      <c r="R161" s="26">
        <v>57330</v>
      </c>
      <c r="S161" s="91">
        <f t="shared" si="33"/>
        <v>0.52328623757195181</v>
      </c>
      <c r="T161" s="91">
        <f t="shared" si="34"/>
        <v>0</v>
      </c>
      <c r="U161" s="27" t="s">
        <v>56</v>
      </c>
      <c r="V161" s="30" t="s">
        <v>59</v>
      </c>
      <c r="W161" s="31">
        <v>46087</v>
      </c>
      <c r="X161" s="22"/>
      <c r="Y161" s="19" t="s">
        <v>52</v>
      </c>
      <c r="Z161" s="19" t="s">
        <v>52</v>
      </c>
      <c r="AA161" s="19" t="s">
        <v>52</v>
      </c>
      <c r="AB161" s="28"/>
    </row>
    <row r="162" spans="1:28" s="29" customFormat="1" ht="15" customHeight="1" x14ac:dyDescent="0.25">
      <c r="A162" s="14">
        <v>18</v>
      </c>
      <c r="B162" s="15">
        <v>46097</v>
      </c>
      <c r="C162" s="15">
        <f t="shared" si="41"/>
        <v>46105</v>
      </c>
      <c r="D162" s="14">
        <v>14504</v>
      </c>
      <c r="E162" s="16" t="s">
        <v>268</v>
      </c>
      <c r="F162" s="17" t="s">
        <v>269</v>
      </c>
      <c r="G162" s="17" t="s">
        <v>132</v>
      </c>
      <c r="H162" s="18" t="s">
        <v>775</v>
      </c>
      <c r="I162" s="19" t="s">
        <v>135</v>
      </c>
      <c r="J162" s="20">
        <v>46059</v>
      </c>
      <c r="K162" s="20">
        <v>46107</v>
      </c>
      <c r="L162" s="21">
        <v>50000</v>
      </c>
      <c r="M162" s="22">
        <f t="shared" si="31"/>
        <v>0</v>
      </c>
      <c r="N162" s="23">
        <v>0</v>
      </c>
      <c r="O162" s="23">
        <v>0</v>
      </c>
      <c r="P162" s="24">
        <f t="shared" ref="P162" si="47">L162-N162</f>
        <v>50000</v>
      </c>
      <c r="Q162" s="25">
        <v>0</v>
      </c>
      <c r="R162" s="26">
        <v>57330</v>
      </c>
      <c r="S162" s="91">
        <f t="shared" si="33"/>
        <v>0.87214372928658646</v>
      </c>
      <c r="T162" s="91">
        <f t="shared" si="34"/>
        <v>0</v>
      </c>
      <c r="U162" s="27" t="s">
        <v>56</v>
      </c>
      <c r="V162" s="30" t="s">
        <v>59</v>
      </c>
      <c r="W162" s="31">
        <v>46087</v>
      </c>
      <c r="X162" s="22"/>
      <c r="Y162" s="19" t="s">
        <v>52</v>
      </c>
      <c r="Z162" s="19" t="s">
        <v>52</v>
      </c>
      <c r="AA162" s="19" t="s">
        <v>52</v>
      </c>
      <c r="AB162" s="28"/>
    </row>
    <row r="163" spans="1:28" s="29" customFormat="1" ht="15" customHeight="1" x14ac:dyDescent="0.25">
      <c r="A163" s="14">
        <v>19</v>
      </c>
      <c r="B163" s="15">
        <v>46097</v>
      </c>
      <c r="C163" s="15">
        <f t="shared" si="41"/>
        <v>46105</v>
      </c>
      <c r="D163" s="14">
        <v>14502</v>
      </c>
      <c r="E163" s="16" t="s">
        <v>245</v>
      </c>
      <c r="F163" s="17" t="s">
        <v>246</v>
      </c>
      <c r="G163" s="17" t="s">
        <v>132</v>
      </c>
      <c r="H163" s="18" t="s">
        <v>775</v>
      </c>
      <c r="I163" s="19" t="s">
        <v>135</v>
      </c>
      <c r="J163" s="20">
        <v>46059</v>
      </c>
      <c r="K163" s="20">
        <v>46107</v>
      </c>
      <c r="L163" s="21">
        <v>35000</v>
      </c>
      <c r="M163" s="22">
        <f t="shared" si="31"/>
        <v>0</v>
      </c>
      <c r="N163" s="23">
        <v>0</v>
      </c>
      <c r="O163" s="23">
        <v>0</v>
      </c>
      <c r="P163" s="24">
        <f t="shared" ref="P163" si="48">L163-N163</f>
        <v>35000</v>
      </c>
      <c r="Q163" s="25">
        <v>0</v>
      </c>
      <c r="R163" s="26">
        <v>53442</v>
      </c>
      <c r="S163" s="91">
        <f t="shared" si="33"/>
        <v>0.65491560944575422</v>
      </c>
      <c r="T163" s="91">
        <f t="shared" si="34"/>
        <v>0</v>
      </c>
      <c r="U163" s="27" t="s">
        <v>56</v>
      </c>
      <c r="V163" s="30" t="s">
        <v>59</v>
      </c>
      <c r="W163" s="31">
        <v>46087</v>
      </c>
      <c r="X163" s="22"/>
      <c r="Y163" s="19" t="s">
        <v>52</v>
      </c>
      <c r="Z163" s="19" t="s">
        <v>52</v>
      </c>
      <c r="AA163" s="19" t="s">
        <v>52</v>
      </c>
      <c r="AB163" s="28"/>
    </row>
    <row r="164" spans="1:28" s="29" customFormat="1" ht="15" customHeight="1" x14ac:dyDescent="0.25">
      <c r="A164" s="14">
        <v>20</v>
      </c>
      <c r="B164" s="15">
        <v>46097</v>
      </c>
      <c r="C164" s="15">
        <f t="shared" si="41"/>
        <v>46105</v>
      </c>
      <c r="D164" s="14">
        <v>14505</v>
      </c>
      <c r="E164" s="16" t="s">
        <v>141</v>
      </c>
      <c r="F164" s="17" t="s">
        <v>142</v>
      </c>
      <c r="G164" s="17" t="s">
        <v>132</v>
      </c>
      <c r="H164" s="18" t="s">
        <v>775</v>
      </c>
      <c r="I164" s="19" t="s">
        <v>135</v>
      </c>
      <c r="J164" s="20">
        <v>46059</v>
      </c>
      <c r="K164" s="20">
        <v>46107</v>
      </c>
      <c r="L164" s="21">
        <v>335000</v>
      </c>
      <c r="M164" s="22">
        <f t="shared" si="31"/>
        <v>0</v>
      </c>
      <c r="N164" s="23">
        <v>0</v>
      </c>
      <c r="O164" s="23">
        <v>0</v>
      </c>
      <c r="P164" s="24">
        <f t="shared" ref="P164" si="49">L164-N164</f>
        <v>335000</v>
      </c>
      <c r="Q164" s="25">
        <v>0</v>
      </c>
      <c r="R164" s="26">
        <v>175500</v>
      </c>
      <c r="S164" s="91">
        <f t="shared" si="33"/>
        <v>1.9088319088319088</v>
      </c>
      <c r="T164" s="91">
        <f t="shared" si="34"/>
        <v>0</v>
      </c>
      <c r="U164" s="27" t="s">
        <v>56</v>
      </c>
      <c r="V164" s="30" t="s">
        <v>59</v>
      </c>
      <c r="W164" s="31">
        <v>46087</v>
      </c>
      <c r="X164" s="22"/>
      <c r="Y164" s="19" t="s">
        <v>52</v>
      </c>
      <c r="Z164" s="19" t="s">
        <v>52</v>
      </c>
      <c r="AA164" s="19" t="s">
        <v>52</v>
      </c>
      <c r="AB164" s="28"/>
    </row>
    <row r="165" spans="1:28" s="29" customFormat="1" ht="15" customHeight="1" x14ac:dyDescent="0.25">
      <c r="A165" s="14">
        <v>21</v>
      </c>
      <c r="B165" s="32">
        <v>46100</v>
      </c>
      <c r="C165" s="32">
        <f>B165+8</f>
        <v>46108</v>
      </c>
      <c r="D165" s="14">
        <v>14563</v>
      </c>
      <c r="E165" s="16" t="s">
        <v>163</v>
      </c>
      <c r="F165" s="17" t="s">
        <v>164</v>
      </c>
      <c r="G165" s="17" t="s">
        <v>132</v>
      </c>
      <c r="H165" s="18" t="s">
        <v>54</v>
      </c>
      <c r="I165" s="19" t="s">
        <v>135</v>
      </c>
      <c r="J165" s="20">
        <v>46070</v>
      </c>
      <c r="K165" s="20">
        <v>46113</v>
      </c>
      <c r="L165" s="21">
        <v>30000</v>
      </c>
      <c r="M165" s="22">
        <f t="shared" ref="M165" si="50">SUM(N165:O165)</f>
        <v>0</v>
      </c>
      <c r="N165" s="23">
        <v>0</v>
      </c>
      <c r="O165" s="23">
        <v>0</v>
      </c>
      <c r="P165" s="24">
        <f t="shared" ref="P165" si="51">L165-N165</f>
        <v>30000</v>
      </c>
      <c r="Q165" s="25">
        <v>0</v>
      </c>
      <c r="R165" s="26">
        <v>69948</v>
      </c>
      <c r="S165" s="91">
        <f>IF(P165&gt;0,P165/$R165,0)</f>
        <v>0.42889003259564246</v>
      </c>
      <c r="T165" s="91">
        <f>IF(Q165&gt;0,Q165/$R165,0)</f>
        <v>0</v>
      </c>
      <c r="U165" s="27" t="s">
        <v>56</v>
      </c>
      <c r="V165" s="30" t="s">
        <v>59</v>
      </c>
      <c r="W165" s="31">
        <v>46087</v>
      </c>
      <c r="X165" s="22"/>
      <c r="Y165" s="19" t="s">
        <v>52</v>
      </c>
      <c r="Z165" s="19" t="s">
        <v>52</v>
      </c>
      <c r="AA165" s="19" t="s">
        <v>52</v>
      </c>
      <c r="AB165" s="28"/>
    </row>
    <row r="166" spans="1:28" s="29" customFormat="1" ht="15" customHeight="1" x14ac:dyDescent="0.25">
      <c r="A166" s="14">
        <v>22</v>
      </c>
      <c r="B166" s="32" t="s">
        <v>68</v>
      </c>
      <c r="C166" s="32" t="s">
        <v>68</v>
      </c>
      <c r="D166" s="14">
        <v>14534</v>
      </c>
      <c r="E166" s="16" t="s">
        <v>1139</v>
      </c>
      <c r="F166" s="17" t="s">
        <v>311</v>
      </c>
      <c r="G166" s="17" t="s">
        <v>132</v>
      </c>
      <c r="H166" s="18" t="s">
        <v>133</v>
      </c>
      <c r="I166" s="19" t="s">
        <v>198</v>
      </c>
      <c r="J166" s="20">
        <v>46062</v>
      </c>
      <c r="K166" s="20">
        <v>46120</v>
      </c>
      <c r="L166" s="21">
        <v>250000</v>
      </c>
      <c r="M166" s="22">
        <f t="shared" ref="M166" si="52">SUM(N166:O166)</f>
        <v>0</v>
      </c>
      <c r="N166" s="23">
        <v>0</v>
      </c>
      <c r="O166" s="23">
        <v>0</v>
      </c>
      <c r="P166" s="24">
        <f t="shared" ref="P166" si="53">L166-N166</f>
        <v>250000</v>
      </c>
      <c r="Q166" s="25">
        <v>0</v>
      </c>
      <c r="R166" s="26">
        <v>160000</v>
      </c>
      <c r="S166" s="91">
        <f t="shared" si="33"/>
        <v>1.5625</v>
      </c>
      <c r="T166" s="91">
        <f t="shared" si="34"/>
        <v>0</v>
      </c>
      <c r="U166" s="27" t="s">
        <v>56</v>
      </c>
      <c r="V166" s="30" t="s">
        <v>68</v>
      </c>
      <c r="W166" s="31" t="s">
        <v>68</v>
      </c>
      <c r="X166" s="22"/>
      <c r="Y166" s="41" t="s">
        <v>52</v>
      </c>
      <c r="Z166" s="41" t="s">
        <v>52</v>
      </c>
      <c r="AA166" s="41" t="s">
        <v>82</v>
      </c>
      <c r="AB166" s="28"/>
    </row>
    <row r="167" spans="1:28" ht="15" customHeight="1" x14ac:dyDescent="0.25">
      <c r="A167" s="33" t="s">
        <v>71</v>
      </c>
      <c r="B167" s="34"/>
      <c r="C167" s="34"/>
      <c r="D167" s="34"/>
      <c r="E167" s="34"/>
      <c r="F167" s="35"/>
      <c r="G167" s="35"/>
      <c r="H167" s="34"/>
      <c r="I167" s="34"/>
      <c r="J167" s="34"/>
      <c r="K167" s="34"/>
      <c r="L167" s="36"/>
      <c r="M167" s="36"/>
      <c r="N167" s="36"/>
      <c r="O167" s="36"/>
      <c r="P167" s="36">
        <f>SUMIFS($P$5:$P$167,$G$5:$G$167,"Film",$P$5:$P$167,"&gt;0")</f>
        <v>3573000</v>
      </c>
      <c r="Q167" s="36">
        <f>SUMIFS($Q$5:$Q$167,$G$5:$G$167,"Film",$Q$5:$Q$167,"&gt;0")</f>
        <v>0</v>
      </c>
      <c r="R167" s="36"/>
      <c r="S167" s="92">
        <f>SUMIFS($S$5:$S$167,$G$5:$G$167,"Film",$S$5:$S$167,"&gt;0")</f>
        <v>28.437826420216215</v>
      </c>
      <c r="T167" s="92">
        <f>SUMIFS($T$5:$T$167,$G$5:$G$167,"Film",$T$5:$T$167,"&gt;0")</f>
        <v>0</v>
      </c>
      <c r="U167" s="37"/>
      <c r="V167" s="38"/>
      <c r="W167" s="38"/>
      <c r="X167" s="38"/>
      <c r="Y167" s="34"/>
      <c r="Z167" s="34"/>
      <c r="AA167" s="39"/>
      <c r="AB167" s="28"/>
    </row>
    <row r="168" spans="1:28" ht="15" customHeight="1" x14ac:dyDescent="0.25">
      <c r="A168" s="141" t="s">
        <v>524</v>
      </c>
      <c r="B168" s="142"/>
      <c r="C168" s="142"/>
      <c r="D168" s="142"/>
      <c r="E168" s="142"/>
      <c r="F168" s="143"/>
      <c r="G168" s="43"/>
      <c r="I168" s="44"/>
      <c r="J168" s="45"/>
      <c r="K168" s="46"/>
      <c r="O168" s="43"/>
      <c r="P168" s="43"/>
      <c r="Q168" s="43"/>
      <c r="R168" s="43"/>
      <c r="S168" s="43"/>
      <c r="T168" s="43"/>
      <c r="U168" s="43"/>
      <c r="V168" s="43"/>
      <c r="W168" s="43"/>
      <c r="X168" s="43"/>
      <c r="Y168" s="43"/>
      <c r="Z168" s="43"/>
      <c r="AA168" s="43"/>
    </row>
    <row r="169" spans="1:28" ht="15" customHeight="1" x14ac:dyDescent="0.25">
      <c r="A169" s="144"/>
      <c r="B169" s="145"/>
      <c r="C169" s="145"/>
      <c r="D169" s="145"/>
      <c r="E169" s="145"/>
      <c r="F169" s="146"/>
      <c r="G169" s="47"/>
      <c r="J169" s="29"/>
      <c r="O169" s="47"/>
      <c r="P169" s="47"/>
      <c r="Q169" s="47"/>
      <c r="R169" s="47"/>
      <c r="S169" s="47"/>
      <c r="T169" s="47"/>
      <c r="U169" s="47"/>
      <c r="V169" s="47"/>
      <c r="W169" s="47"/>
      <c r="X169" s="47"/>
      <c r="Y169" s="47"/>
      <c r="Z169" s="47"/>
      <c r="AA169" s="47"/>
    </row>
    <row r="170" spans="1:28" ht="15" customHeight="1" x14ac:dyDescent="0.25">
      <c r="A170" s="147"/>
      <c r="B170" s="148"/>
      <c r="C170" s="148"/>
      <c r="D170" s="148"/>
      <c r="E170" s="148"/>
      <c r="F170" s="149"/>
      <c r="G170" s="47"/>
      <c r="J170" s="29"/>
      <c r="O170" s="47"/>
      <c r="P170" s="47"/>
      <c r="Q170" s="47"/>
      <c r="R170" s="47"/>
      <c r="S170" s="47"/>
      <c r="T170" s="47"/>
      <c r="U170" s="47"/>
      <c r="V170" s="47"/>
      <c r="W170" s="47"/>
      <c r="X170" s="47"/>
      <c r="Y170" s="47"/>
      <c r="Z170" s="47"/>
      <c r="AA170" s="47"/>
    </row>
    <row r="171" spans="1:28" ht="15" customHeight="1" x14ac:dyDescent="0.25">
      <c r="A171" s="131" t="s">
        <v>165</v>
      </c>
      <c r="B171" s="132"/>
      <c r="C171" s="132"/>
      <c r="D171" s="132"/>
      <c r="E171" s="132"/>
      <c r="F171" s="133"/>
    </row>
    <row r="172" spans="1:28" ht="15" customHeight="1" x14ac:dyDescent="0.25">
      <c r="A172" s="150" t="s">
        <v>166</v>
      </c>
      <c r="B172" s="150"/>
      <c r="C172" s="150"/>
      <c r="D172" s="150"/>
      <c r="E172" s="150"/>
      <c r="F172" s="48">
        <v>7</v>
      </c>
    </row>
    <row r="173" spans="1:28" ht="15" customHeight="1" x14ac:dyDescent="0.25">
      <c r="A173" s="150" t="s">
        <v>167</v>
      </c>
      <c r="B173" s="150"/>
      <c r="C173" s="150"/>
      <c r="D173" s="150"/>
      <c r="E173" s="150"/>
      <c r="F173" s="49">
        <f>ROUNDUP(F174/(F178+F184+F190+F196),0)</f>
        <v>2</v>
      </c>
    </row>
    <row r="174" spans="1:28" ht="15" customHeight="1" x14ac:dyDescent="0.25">
      <c r="A174" s="151" t="s">
        <v>168</v>
      </c>
      <c r="B174" s="152"/>
      <c r="C174" s="152"/>
      <c r="D174" s="152"/>
      <c r="E174" s="153"/>
      <c r="F174" s="50">
        <v>3600000</v>
      </c>
    </row>
    <row r="175" spans="1:28" ht="15" customHeight="1" x14ac:dyDescent="0.25">
      <c r="A175" s="150" t="s">
        <v>169</v>
      </c>
      <c r="B175" s="150"/>
      <c r="C175" s="150"/>
      <c r="D175" s="150"/>
      <c r="E175" s="150"/>
      <c r="F175" s="51">
        <v>26</v>
      </c>
    </row>
    <row r="176" spans="1:28" ht="15" customHeight="1" thickBot="1" x14ac:dyDescent="0.3">
      <c r="A176" s="154" t="s">
        <v>170</v>
      </c>
      <c r="B176" s="154"/>
      <c r="C176" s="154"/>
      <c r="D176" s="154"/>
      <c r="E176" s="154"/>
      <c r="F176" s="52">
        <f>SUM(P22,P64,P143,P167)</f>
        <v>34551020</v>
      </c>
    </row>
    <row r="177" spans="1:23" ht="15" customHeight="1" x14ac:dyDescent="0.25">
      <c r="A177" s="155" t="s">
        <v>47</v>
      </c>
      <c r="B177" s="156"/>
      <c r="C177" s="156"/>
      <c r="D177" s="161" t="s">
        <v>171</v>
      </c>
      <c r="E177" s="161"/>
      <c r="F177" s="53">
        <f>P22</f>
        <v>5518000</v>
      </c>
      <c r="V177" s="54"/>
      <c r="W177" s="55"/>
    </row>
    <row r="178" spans="1:23" ht="15" customHeight="1" x14ac:dyDescent="0.25">
      <c r="A178" s="157"/>
      <c r="B178" s="158"/>
      <c r="C178" s="158"/>
      <c r="D178" s="150" t="s">
        <v>172</v>
      </c>
      <c r="E178" s="150"/>
      <c r="F178" s="56">
        <v>500000</v>
      </c>
      <c r="G178" t="s">
        <v>173</v>
      </c>
      <c r="V178" s="54"/>
      <c r="W178" s="55"/>
    </row>
    <row r="179" spans="1:23" ht="15" customHeight="1" x14ac:dyDescent="0.25">
      <c r="A179" s="157"/>
      <c r="B179" s="158"/>
      <c r="C179" s="158"/>
      <c r="D179" s="150" t="s">
        <v>174</v>
      </c>
      <c r="E179" s="150"/>
      <c r="F179" s="57">
        <f>Date+(F180*7)</f>
        <v>46099</v>
      </c>
    </row>
    <row r="180" spans="1:23" ht="15" customHeight="1" x14ac:dyDescent="0.25">
      <c r="A180" s="157"/>
      <c r="B180" s="158"/>
      <c r="C180" s="158"/>
      <c r="D180" s="150" t="s">
        <v>175</v>
      </c>
      <c r="E180" s="150"/>
      <c r="F180" s="58">
        <f>IF(((F177/F178)/7)&lt;3,3,(F177/F178)/7)</f>
        <v>3</v>
      </c>
    </row>
    <row r="181" spans="1:23" ht="15" customHeight="1" x14ac:dyDescent="0.25">
      <c r="A181" s="157"/>
      <c r="B181" s="158"/>
      <c r="C181" s="158"/>
      <c r="D181" s="150" t="s">
        <v>176</v>
      </c>
      <c r="E181" s="150"/>
      <c r="F181" s="57">
        <f>Date+(F182*7)</f>
        <v>46106</v>
      </c>
    </row>
    <row r="182" spans="1:23" ht="15" customHeight="1" thickBot="1" x14ac:dyDescent="0.3">
      <c r="A182" s="159"/>
      <c r="B182" s="160"/>
      <c r="C182" s="160"/>
      <c r="D182" s="154" t="s">
        <v>177</v>
      </c>
      <c r="E182" s="154"/>
      <c r="F182" s="59">
        <f>F180+1</f>
        <v>4</v>
      </c>
    </row>
    <row r="183" spans="1:23" ht="15" customHeight="1" x14ac:dyDescent="0.25">
      <c r="A183" s="155" t="s">
        <v>75</v>
      </c>
      <c r="B183" s="156"/>
      <c r="C183" s="156"/>
      <c r="D183" s="161" t="s">
        <v>171</v>
      </c>
      <c r="E183" s="161"/>
      <c r="F183" s="60">
        <f>P64</f>
        <v>17084020</v>
      </c>
      <c r="V183" s="54"/>
      <c r="W183" s="55"/>
    </row>
    <row r="184" spans="1:23" ht="15" customHeight="1" x14ac:dyDescent="0.25">
      <c r="A184" s="157"/>
      <c r="B184" s="158"/>
      <c r="C184" s="158"/>
      <c r="D184" s="150" t="s">
        <v>172</v>
      </c>
      <c r="E184" s="150"/>
      <c r="F184" s="56">
        <v>900000</v>
      </c>
      <c r="G184" s="29" t="s">
        <v>475</v>
      </c>
      <c r="V184" s="54"/>
      <c r="W184" s="55"/>
    </row>
    <row r="185" spans="1:23" ht="15" customHeight="1" x14ac:dyDescent="0.25">
      <c r="A185" s="157"/>
      <c r="B185" s="158"/>
      <c r="C185" s="158"/>
      <c r="D185" s="150" t="s">
        <v>174</v>
      </c>
      <c r="E185" s="150"/>
      <c r="F185" s="57">
        <f>Date+(F186*7)</f>
        <v>46099</v>
      </c>
    </row>
    <row r="186" spans="1:23" ht="15" customHeight="1" x14ac:dyDescent="0.25">
      <c r="A186" s="157"/>
      <c r="B186" s="158"/>
      <c r="C186" s="158"/>
      <c r="D186" s="150" t="s">
        <v>175</v>
      </c>
      <c r="E186" s="150"/>
      <c r="F186" s="58">
        <f>IF(((F183/F184)/7)&lt;3,3,(F183/F184)/7)</f>
        <v>3</v>
      </c>
    </row>
    <row r="187" spans="1:23" ht="15" customHeight="1" x14ac:dyDescent="0.25">
      <c r="A187" s="157"/>
      <c r="B187" s="158"/>
      <c r="C187" s="158"/>
      <c r="D187" s="150" t="s">
        <v>176</v>
      </c>
      <c r="E187" s="150"/>
      <c r="F187" s="57">
        <f>Date+(F188*7)</f>
        <v>46106</v>
      </c>
    </row>
    <row r="188" spans="1:23" ht="15" customHeight="1" thickBot="1" x14ac:dyDescent="0.3">
      <c r="A188" s="159"/>
      <c r="B188" s="160"/>
      <c r="C188" s="160"/>
      <c r="D188" s="154" t="s">
        <v>177</v>
      </c>
      <c r="E188" s="154"/>
      <c r="F188" s="61">
        <f>F186+1</f>
        <v>4</v>
      </c>
    </row>
    <row r="189" spans="1:23" ht="15" customHeight="1" x14ac:dyDescent="0.25">
      <c r="A189" s="155" t="s">
        <v>102</v>
      </c>
      <c r="B189" s="156"/>
      <c r="C189" s="156"/>
      <c r="D189" s="161" t="s">
        <v>171</v>
      </c>
      <c r="E189" s="161"/>
      <c r="F189" s="62">
        <f>P143</f>
        <v>8376000</v>
      </c>
      <c r="V189" s="54"/>
      <c r="W189" s="55"/>
    </row>
    <row r="190" spans="1:23" ht="15" customHeight="1" x14ac:dyDescent="0.25">
      <c r="A190" s="157"/>
      <c r="B190" s="158"/>
      <c r="C190" s="158"/>
      <c r="D190" s="150" t="s">
        <v>172</v>
      </c>
      <c r="E190" s="150"/>
      <c r="F190" s="63">
        <v>400000</v>
      </c>
      <c r="G190" t="s">
        <v>178</v>
      </c>
      <c r="V190" s="54"/>
      <c r="W190" s="55"/>
    </row>
    <row r="191" spans="1:23" ht="15" customHeight="1" x14ac:dyDescent="0.25">
      <c r="A191" s="157"/>
      <c r="B191" s="158"/>
      <c r="C191" s="158"/>
      <c r="D191" s="150" t="s">
        <v>174</v>
      </c>
      <c r="E191" s="150"/>
      <c r="F191" s="64">
        <f>Date+(F192*7)</f>
        <v>46099</v>
      </c>
    </row>
    <row r="192" spans="1:23" ht="15" customHeight="1" x14ac:dyDescent="0.25">
      <c r="A192" s="157"/>
      <c r="B192" s="158"/>
      <c r="C192" s="158"/>
      <c r="D192" s="150" t="s">
        <v>175</v>
      </c>
      <c r="E192" s="150"/>
      <c r="F192" s="65">
        <f>IF(((F189/F190)/7)&lt;3,3,(F189/F190)/7)</f>
        <v>3</v>
      </c>
    </row>
    <row r="193" spans="1:14" ht="15" customHeight="1" x14ac:dyDescent="0.25">
      <c r="A193" s="157"/>
      <c r="B193" s="158"/>
      <c r="C193" s="158"/>
      <c r="D193" s="150" t="s">
        <v>176</v>
      </c>
      <c r="E193" s="150"/>
      <c r="F193" s="64">
        <f>Date+(F194*7)</f>
        <v>46106</v>
      </c>
    </row>
    <row r="194" spans="1:14" ht="15" customHeight="1" thickBot="1" x14ac:dyDescent="0.3">
      <c r="A194" s="159"/>
      <c r="B194" s="160"/>
      <c r="C194" s="160"/>
      <c r="D194" s="154" t="s">
        <v>177</v>
      </c>
      <c r="E194" s="154"/>
      <c r="F194" s="66">
        <f>F192+1</f>
        <v>4</v>
      </c>
    </row>
    <row r="195" spans="1:14" ht="15" customHeight="1" x14ac:dyDescent="0.25">
      <c r="A195" s="155" t="s">
        <v>132</v>
      </c>
      <c r="B195" s="156"/>
      <c r="C195" s="156"/>
      <c r="D195" s="161" t="s">
        <v>171</v>
      </c>
      <c r="E195" s="161"/>
      <c r="F195" s="62">
        <f>P167</f>
        <v>3573000</v>
      </c>
    </row>
    <row r="196" spans="1:14" ht="15" customHeight="1" x14ac:dyDescent="0.25">
      <c r="A196" s="157"/>
      <c r="B196" s="158"/>
      <c r="C196" s="158"/>
      <c r="D196" s="150" t="s">
        <v>172</v>
      </c>
      <c r="E196" s="150"/>
      <c r="F196" s="63">
        <v>400000</v>
      </c>
      <c r="G196" t="s">
        <v>179</v>
      </c>
    </row>
    <row r="197" spans="1:14" ht="15" customHeight="1" x14ac:dyDescent="0.25">
      <c r="A197" s="157"/>
      <c r="B197" s="158"/>
      <c r="C197" s="158"/>
      <c r="D197" s="150" t="s">
        <v>174</v>
      </c>
      <c r="E197" s="150"/>
      <c r="F197" s="64">
        <f>Date+(F198*7)</f>
        <v>46099</v>
      </c>
    </row>
    <row r="198" spans="1:14" ht="15" customHeight="1" x14ac:dyDescent="0.25">
      <c r="A198" s="157"/>
      <c r="B198" s="158"/>
      <c r="C198" s="158"/>
      <c r="D198" s="150" t="s">
        <v>175</v>
      </c>
      <c r="E198" s="150"/>
      <c r="F198" s="65">
        <f>IF(((F195/F196)/7)&lt;3,3,(F195/F196)/7)</f>
        <v>3</v>
      </c>
      <c r="M198" s="47"/>
      <c r="N198" s="67"/>
    </row>
    <row r="199" spans="1:14" ht="15" customHeight="1" x14ac:dyDescent="0.25">
      <c r="A199" s="157"/>
      <c r="B199" s="158"/>
      <c r="C199" s="158"/>
      <c r="D199" s="150" t="s">
        <v>176</v>
      </c>
      <c r="E199" s="150"/>
      <c r="F199" s="64">
        <f>Date+(F200*7)</f>
        <v>46106</v>
      </c>
      <c r="M199" s="47"/>
      <c r="N199" s="68"/>
    </row>
    <row r="200" spans="1:14" ht="15" customHeight="1" thickBot="1" x14ac:dyDescent="0.3">
      <c r="A200" s="159"/>
      <c r="B200" s="160"/>
      <c r="C200" s="160"/>
      <c r="D200" s="154" t="s">
        <v>177</v>
      </c>
      <c r="E200" s="154"/>
      <c r="F200" s="66">
        <f>F198+1</f>
        <v>4</v>
      </c>
    </row>
  </sheetData>
  <autoFilter ref="D4:I200" xr:uid="{00000000-0001-0000-0000-000000000000}"/>
  <mergeCells count="50">
    <mergeCell ref="A195:C200"/>
    <mergeCell ref="D195:E195"/>
    <mergeCell ref="D196:E196"/>
    <mergeCell ref="D197:E197"/>
    <mergeCell ref="D198:E198"/>
    <mergeCell ref="D199:E199"/>
    <mergeCell ref="D200:E200"/>
    <mergeCell ref="A189:C194"/>
    <mergeCell ref="D189:E189"/>
    <mergeCell ref="D190:E190"/>
    <mergeCell ref="D191:E191"/>
    <mergeCell ref="D192:E192"/>
    <mergeCell ref="D193:E193"/>
    <mergeCell ref="D194:E194"/>
    <mergeCell ref="D181:E181"/>
    <mergeCell ref="D182:E182"/>
    <mergeCell ref="A183:C188"/>
    <mergeCell ref="D183:E183"/>
    <mergeCell ref="D184:E184"/>
    <mergeCell ref="D185:E185"/>
    <mergeCell ref="D186:E186"/>
    <mergeCell ref="D187:E187"/>
    <mergeCell ref="D188:E188"/>
    <mergeCell ref="A177:C182"/>
    <mergeCell ref="D177:E177"/>
    <mergeCell ref="D178:E178"/>
    <mergeCell ref="D179:E179"/>
    <mergeCell ref="D180:E180"/>
    <mergeCell ref="A172:E172"/>
    <mergeCell ref="A173:E173"/>
    <mergeCell ref="A174:E174"/>
    <mergeCell ref="A175:E175"/>
    <mergeCell ref="A176:E176"/>
    <mergeCell ref="A171:F171"/>
    <mergeCell ref="B3:C3"/>
    <mergeCell ref="J3:K3"/>
    <mergeCell ref="A5:F5"/>
    <mergeCell ref="G5:AA5"/>
    <mergeCell ref="A23:F23"/>
    <mergeCell ref="G23:AA23"/>
    <mergeCell ref="A65:F65"/>
    <mergeCell ref="G65:AA65"/>
    <mergeCell ref="A144:F144"/>
    <mergeCell ref="G144:AA144"/>
    <mergeCell ref="A168:F170"/>
    <mergeCell ref="B1:E1"/>
    <mergeCell ref="F1:AA1"/>
    <mergeCell ref="B2:C2"/>
    <mergeCell ref="J2:K2"/>
    <mergeCell ref="S2:T2"/>
  </mergeCells>
  <phoneticPr fontId="9" type="noConversion"/>
  <pageMargins left="0.25" right="0.25" top="0.75" bottom="0.75" header="0.3" footer="0.3"/>
  <pageSetup scale="32" fitToHeight="0" orientation="landscape" verticalDpi="597"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E27CF-98F1-4C80-9606-9F5DB92B48DD}">
  <dimension ref="A1:AG1324"/>
  <sheetViews>
    <sheetView zoomScale="90" zoomScaleNormal="90" workbookViewId="0">
      <pane xSplit="6" ySplit="4" topLeftCell="G1301" activePane="bottomRight" state="frozen"/>
      <selection pane="topRight"/>
      <selection pane="bottomLeft"/>
      <selection pane="bottomRight"/>
    </sheetView>
  </sheetViews>
  <sheetFormatPr baseColWidth="10" defaultColWidth="11.42578125" defaultRowHeight="15" customHeight="1" x14ac:dyDescent="0.25"/>
  <cols>
    <col min="1" max="1" width="7.5703125" bestFit="1" customWidth="1"/>
    <col min="2" max="3" width="11.28515625" bestFit="1" customWidth="1"/>
    <col min="4" max="4" width="8.5703125" bestFit="1" customWidth="1"/>
    <col min="5" max="5" width="21.7109375" bestFit="1" customWidth="1"/>
    <col min="6" max="6" width="43.7109375" bestFit="1" customWidth="1"/>
    <col min="7" max="7" width="20.140625" bestFit="1" customWidth="1"/>
    <col min="8" max="8" width="23" bestFit="1" customWidth="1"/>
    <col min="9" max="9" width="16.28515625" bestFit="1" customWidth="1"/>
    <col min="10" max="11" width="11.28515625" bestFit="1" customWidth="1"/>
    <col min="12" max="17" width="11.140625" bestFit="1" customWidth="1"/>
    <col min="18" max="18" width="9.5703125" bestFit="1" customWidth="1"/>
    <col min="19" max="19" width="11" bestFit="1" customWidth="1"/>
    <col min="20" max="20" width="9.42578125" bestFit="1" customWidth="1"/>
    <col min="21" max="21" width="23" bestFit="1" customWidth="1"/>
    <col min="22" max="22" width="11.7109375" bestFit="1" customWidth="1"/>
    <col min="23" max="23" width="14.5703125" bestFit="1" customWidth="1"/>
    <col min="24" max="24" width="45" bestFit="1" customWidth="1"/>
    <col min="25" max="25" width="10.42578125" bestFit="1" customWidth="1"/>
    <col min="26" max="26" width="12.5703125" bestFit="1" customWidth="1"/>
    <col min="27" max="27" width="6.5703125" bestFit="1" customWidth="1"/>
    <col min="28" max="28" width="15" style="29" bestFit="1" customWidth="1"/>
    <col min="29" max="29" width="8.5703125" style="81" bestFit="1" customWidth="1"/>
    <col min="30" max="30" width="11.140625" style="82" bestFit="1" customWidth="1"/>
    <col min="31" max="31" width="2.140625" style="81" bestFit="1" customWidth="1"/>
    <col min="32" max="32" width="8" style="82" bestFit="1" customWidth="1"/>
    <col min="33" max="33" width="11.140625" style="82" bestFit="1" customWidth="1"/>
  </cols>
  <sheetData>
    <row r="1" spans="1:33" ht="15" customHeight="1" x14ac:dyDescent="0.25">
      <c r="A1" s="69" t="s">
        <v>0</v>
      </c>
      <c r="B1" s="164">
        <f>Date</f>
        <v>46078</v>
      </c>
      <c r="C1" s="164"/>
      <c r="D1" s="164"/>
      <c r="E1" s="164"/>
      <c r="F1" s="126" t="s">
        <v>453</v>
      </c>
      <c r="G1" s="126"/>
      <c r="H1" s="126"/>
      <c r="I1" s="127"/>
      <c r="J1" s="126"/>
      <c r="K1" s="126"/>
      <c r="L1" s="126"/>
      <c r="M1" s="126"/>
      <c r="N1" s="126"/>
      <c r="O1" s="126"/>
      <c r="P1" s="126"/>
      <c r="Q1" s="127"/>
      <c r="R1" s="126"/>
      <c r="S1" s="126"/>
      <c r="T1" s="126"/>
      <c r="U1" s="126"/>
      <c r="V1" s="126"/>
      <c r="W1" s="126"/>
      <c r="X1" s="126"/>
      <c r="Y1" s="126"/>
      <c r="Z1" s="126"/>
      <c r="AA1" s="126"/>
      <c r="AB1" s="165" t="s">
        <v>180</v>
      </c>
      <c r="AC1" s="165"/>
      <c r="AD1" s="165"/>
      <c r="AE1" s="165"/>
      <c r="AF1" s="165"/>
      <c r="AG1" s="165"/>
    </row>
    <row r="2" spans="1:33" ht="15" customHeight="1" x14ac:dyDescent="0.25">
      <c r="A2" s="3"/>
      <c r="B2" s="128" t="s">
        <v>1</v>
      </c>
      <c r="C2" s="130"/>
      <c r="D2" s="3"/>
      <c r="E2" s="3"/>
      <c r="F2" s="7"/>
      <c r="G2" s="3"/>
      <c r="H2" s="11" t="s">
        <v>2</v>
      </c>
      <c r="I2" s="3"/>
      <c r="J2" s="166" t="s">
        <v>1</v>
      </c>
      <c r="K2" s="167"/>
      <c r="L2" s="10" t="s">
        <v>3</v>
      </c>
      <c r="M2" s="10"/>
      <c r="N2" s="7" t="s">
        <v>3</v>
      </c>
      <c r="O2" s="7" t="s">
        <v>3</v>
      </c>
      <c r="P2" s="112" t="s">
        <v>3</v>
      </c>
      <c r="Q2" s="3" t="s">
        <v>3</v>
      </c>
      <c r="R2" s="10" t="s">
        <v>4</v>
      </c>
      <c r="S2" s="128" t="s">
        <v>1149</v>
      </c>
      <c r="T2" s="130"/>
      <c r="U2" s="10" t="s">
        <v>5</v>
      </c>
      <c r="V2" s="7"/>
      <c r="W2" s="7" t="s">
        <v>1</v>
      </c>
      <c r="X2" s="7"/>
      <c r="Y2" s="5" t="s">
        <v>6</v>
      </c>
      <c r="Z2" s="3" t="s">
        <v>7</v>
      </c>
      <c r="AA2" s="7"/>
      <c r="AB2" s="71"/>
      <c r="AC2" s="168" t="s">
        <v>181</v>
      </c>
      <c r="AD2" s="169"/>
      <c r="AE2" s="168" t="s">
        <v>182</v>
      </c>
      <c r="AF2" s="169"/>
      <c r="AG2" s="72" t="s">
        <v>183</v>
      </c>
    </row>
    <row r="3" spans="1:33" ht="15" customHeight="1" x14ac:dyDescent="0.25">
      <c r="A3" s="7"/>
      <c r="B3" s="134" t="s">
        <v>8</v>
      </c>
      <c r="C3" s="136"/>
      <c r="D3" s="7" t="s">
        <v>9</v>
      </c>
      <c r="E3" s="7" t="s">
        <v>10</v>
      </c>
      <c r="F3" s="7" t="s">
        <v>11</v>
      </c>
      <c r="G3" s="7" t="s">
        <v>11</v>
      </c>
      <c r="H3" s="11" t="s">
        <v>12</v>
      </c>
      <c r="I3" s="7"/>
      <c r="J3" s="135" t="s">
        <v>13</v>
      </c>
      <c r="K3" s="136"/>
      <c r="L3" s="10" t="s">
        <v>14</v>
      </c>
      <c r="M3" s="10" t="s">
        <v>3</v>
      </c>
      <c r="N3" s="7" t="s">
        <v>15</v>
      </c>
      <c r="O3" s="7" t="s">
        <v>16</v>
      </c>
      <c r="P3" s="112" t="s">
        <v>1147</v>
      </c>
      <c r="Q3" s="7" t="s">
        <v>1148</v>
      </c>
      <c r="R3" s="11" t="s">
        <v>18</v>
      </c>
      <c r="S3" s="111" t="s">
        <v>1147</v>
      </c>
      <c r="T3" s="3" t="s">
        <v>1148</v>
      </c>
      <c r="U3" s="10" t="s">
        <v>19</v>
      </c>
      <c r="V3" s="7" t="s">
        <v>20</v>
      </c>
      <c r="W3" s="7" t="s">
        <v>21</v>
      </c>
      <c r="X3" s="7"/>
      <c r="Y3" s="10" t="s">
        <v>22</v>
      </c>
      <c r="Z3" s="7" t="s">
        <v>23</v>
      </c>
      <c r="AA3" s="7" t="s">
        <v>24</v>
      </c>
      <c r="AB3" s="73" t="s">
        <v>180</v>
      </c>
      <c r="AC3" s="162" t="s">
        <v>184</v>
      </c>
      <c r="AD3" s="163"/>
      <c r="AE3" s="162" t="s">
        <v>185</v>
      </c>
      <c r="AF3" s="163"/>
      <c r="AG3" s="74" t="s">
        <v>186</v>
      </c>
    </row>
    <row r="4" spans="1:33" ht="15" customHeight="1" x14ac:dyDescent="0.25">
      <c r="A4" s="13" t="s">
        <v>25</v>
      </c>
      <c r="B4" s="2" t="s">
        <v>5</v>
      </c>
      <c r="C4" s="2" t="s">
        <v>26</v>
      </c>
      <c r="D4" s="13" t="s">
        <v>2</v>
      </c>
      <c r="E4" s="13" t="s">
        <v>27</v>
      </c>
      <c r="F4" s="13" t="s">
        <v>28</v>
      </c>
      <c r="G4" s="13" t="s">
        <v>29</v>
      </c>
      <c r="H4" s="9" t="s">
        <v>30</v>
      </c>
      <c r="I4" s="13" t="s">
        <v>10</v>
      </c>
      <c r="J4" s="12" t="s">
        <v>31</v>
      </c>
      <c r="K4" s="8" t="s">
        <v>32</v>
      </c>
      <c r="L4" s="13" t="s">
        <v>33</v>
      </c>
      <c r="M4" s="12" t="s">
        <v>34</v>
      </c>
      <c r="N4" s="13" t="s">
        <v>35</v>
      </c>
      <c r="O4" s="13" t="s">
        <v>17</v>
      </c>
      <c r="P4" s="8" t="s">
        <v>1146</v>
      </c>
      <c r="Q4" s="13" t="s">
        <v>1146</v>
      </c>
      <c r="R4" s="9" t="s">
        <v>36</v>
      </c>
      <c r="S4" s="8" t="s">
        <v>1146</v>
      </c>
      <c r="T4" s="13" t="s">
        <v>1146</v>
      </c>
      <c r="U4" s="12" t="s">
        <v>37</v>
      </c>
      <c r="V4" s="13" t="s">
        <v>38</v>
      </c>
      <c r="W4" s="13" t="s">
        <v>39</v>
      </c>
      <c r="X4" s="13" t="s">
        <v>40</v>
      </c>
      <c r="Y4" s="12" t="s">
        <v>41</v>
      </c>
      <c r="Z4" s="13" t="s">
        <v>42</v>
      </c>
      <c r="AA4" s="13" t="s">
        <v>43</v>
      </c>
      <c r="AB4" s="75" t="s">
        <v>187</v>
      </c>
      <c r="AC4" s="70" t="s">
        <v>188</v>
      </c>
      <c r="AD4" s="76" t="s">
        <v>189</v>
      </c>
      <c r="AE4" s="70" t="s">
        <v>188</v>
      </c>
      <c r="AF4" s="76" t="s">
        <v>189</v>
      </c>
      <c r="AG4" s="77" t="s">
        <v>189</v>
      </c>
    </row>
    <row r="5" spans="1:33" s="29" customFormat="1" ht="15" customHeight="1" x14ac:dyDescent="0.25">
      <c r="A5" s="14">
        <v>3</v>
      </c>
      <c r="B5" s="15">
        <v>45706</v>
      </c>
      <c r="C5" s="15">
        <f t="shared" ref="C5:C10" si="0">B5+8</f>
        <v>45714</v>
      </c>
      <c r="D5" s="14">
        <v>12157</v>
      </c>
      <c r="E5" s="16" t="s">
        <v>316</v>
      </c>
      <c r="F5" s="17" t="s">
        <v>412</v>
      </c>
      <c r="G5" s="17" t="s">
        <v>132</v>
      </c>
      <c r="H5" s="18" t="s">
        <v>133</v>
      </c>
      <c r="I5" s="19" t="s">
        <v>198</v>
      </c>
      <c r="J5" s="20">
        <v>45629</v>
      </c>
      <c r="K5" s="20">
        <v>45670</v>
      </c>
      <c r="L5" s="21">
        <v>2000000</v>
      </c>
      <c r="M5" s="22">
        <f t="shared" ref="M5:M10" si="1">SUM(N5:O5)</f>
        <v>1890698</v>
      </c>
      <c r="N5" s="23">
        <v>1823270</v>
      </c>
      <c r="O5" s="23">
        <v>67428</v>
      </c>
      <c r="P5" s="24">
        <f t="shared" ref="P5:P10" si="2">L5-N5</f>
        <v>176730</v>
      </c>
      <c r="Q5" s="25">
        <v>67420</v>
      </c>
      <c r="R5" s="26">
        <v>128000</v>
      </c>
      <c r="S5" s="91">
        <f t="shared" ref="S5:S12" si="3">IF(P5&gt;0,P5/$R5,0)</f>
        <v>1.3807031249999999</v>
      </c>
      <c r="T5" s="91">
        <f t="shared" ref="T5:T12" si="4">IF(Q5&gt;0,Q5/$R5,0)</f>
        <v>0.52671875000000001</v>
      </c>
      <c r="U5" s="27" t="s">
        <v>56</v>
      </c>
      <c r="V5" s="30" t="s">
        <v>59</v>
      </c>
      <c r="W5" s="31">
        <v>45668</v>
      </c>
      <c r="X5" s="22"/>
      <c r="Y5" s="19" t="s">
        <v>52</v>
      </c>
      <c r="Z5" s="19" t="s">
        <v>52</v>
      </c>
      <c r="AA5" s="19" t="s">
        <v>52</v>
      </c>
      <c r="AB5" s="28"/>
    </row>
    <row r="6" spans="1:33" s="29" customFormat="1" ht="15" customHeight="1" x14ac:dyDescent="0.25">
      <c r="A6" s="14">
        <v>14</v>
      </c>
      <c r="B6" s="15">
        <v>45706</v>
      </c>
      <c r="C6" s="15">
        <f t="shared" si="0"/>
        <v>45714</v>
      </c>
      <c r="D6" s="14">
        <v>12287</v>
      </c>
      <c r="E6" s="84" t="s">
        <v>95</v>
      </c>
      <c r="F6" s="87" t="s">
        <v>96</v>
      </c>
      <c r="G6" s="87" t="s">
        <v>75</v>
      </c>
      <c r="H6" s="88" t="s">
        <v>54</v>
      </c>
      <c r="I6" s="19" t="s">
        <v>86</v>
      </c>
      <c r="J6" s="20">
        <v>45645</v>
      </c>
      <c r="K6" s="20">
        <v>45680</v>
      </c>
      <c r="L6" s="21">
        <v>2000000</v>
      </c>
      <c r="M6" s="22">
        <f t="shared" si="1"/>
        <v>126000</v>
      </c>
      <c r="N6" s="23">
        <v>0</v>
      </c>
      <c r="O6" s="23">
        <v>126000</v>
      </c>
      <c r="P6" s="24">
        <f t="shared" si="2"/>
        <v>2000000</v>
      </c>
      <c r="Q6" s="25">
        <v>90000</v>
      </c>
      <c r="R6" s="26">
        <v>126000</v>
      </c>
      <c r="S6" s="91">
        <f t="shared" si="3"/>
        <v>15.873015873015873</v>
      </c>
      <c r="T6" s="91">
        <f t="shared" si="4"/>
        <v>0.7142857142857143</v>
      </c>
      <c r="U6" s="27" t="s">
        <v>56</v>
      </c>
      <c r="V6" s="30" t="s">
        <v>59</v>
      </c>
      <c r="W6" s="31">
        <v>45703</v>
      </c>
      <c r="X6" s="22"/>
      <c r="Y6" s="19" t="s">
        <v>52</v>
      </c>
      <c r="Z6" s="19" t="s">
        <v>52</v>
      </c>
      <c r="AA6" s="19" t="s">
        <v>52</v>
      </c>
      <c r="AB6" s="28"/>
      <c r="AC6" s="90"/>
    </row>
    <row r="7" spans="1:33" s="29" customFormat="1" ht="15" customHeight="1" x14ac:dyDescent="0.25">
      <c r="A7" s="14">
        <v>13</v>
      </c>
      <c r="B7" s="15">
        <v>45706</v>
      </c>
      <c r="C7" s="15">
        <f t="shared" si="0"/>
        <v>45714</v>
      </c>
      <c r="D7" s="14">
        <v>12177</v>
      </c>
      <c r="E7" s="84" t="s">
        <v>367</v>
      </c>
      <c r="F7" s="86" t="s">
        <v>368</v>
      </c>
      <c r="G7" s="87" t="s">
        <v>75</v>
      </c>
      <c r="H7" s="88" t="s">
        <v>133</v>
      </c>
      <c r="I7" s="19" t="s">
        <v>198</v>
      </c>
      <c r="J7" s="20">
        <v>45631</v>
      </c>
      <c r="K7" s="20">
        <v>45672</v>
      </c>
      <c r="L7" s="21">
        <v>100000</v>
      </c>
      <c r="M7" s="22">
        <f t="shared" si="1"/>
        <v>40000</v>
      </c>
      <c r="N7" s="23">
        <v>0</v>
      </c>
      <c r="O7" s="23">
        <v>40000</v>
      </c>
      <c r="P7" s="24">
        <f t="shared" si="2"/>
        <v>100000</v>
      </c>
      <c r="Q7" s="25">
        <v>40000</v>
      </c>
      <c r="R7" s="26">
        <v>60000</v>
      </c>
      <c r="S7" s="91">
        <f t="shared" si="3"/>
        <v>1.6666666666666667</v>
      </c>
      <c r="T7" s="91">
        <f t="shared" si="4"/>
        <v>0.66666666666666663</v>
      </c>
      <c r="U7" s="27" t="s">
        <v>56</v>
      </c>
      <c r="V7" s="19" t="s">
        <v>51</v>
      </c>
      <c r="W7" s="20">
        <v>45682</v>
      </c>
      <c r="X7" s="22"/>
      <c r="Y7" s="19" t="s">
        <v>52</v>
      </c>
      <c r="Z7" s="19" t="s">
        <v>52</v>
      </c>
      <c r="AA7" s="19" t="s">
        <v>52</v>
      </c>
      <c r="AB7" s="28"/>
      <c r="AC7" s="90"/>
    </row>
    <row r="8" spans="1:33" s="29" customFormat="1" ht="15" customHeight="1" x14ac:dyDescent="0.25">
      <c r="A8" s="14">
        <v>16</v>
      </c>
      <c r="B8" s="15">
        <v>45706</v>
      </c>
      <c r="C8" s="15">
        <f t="shared" si="0"/>
        <v>45714</v>
      </c>
      <c r="D8" s="14">
        <v>12322</v>
      </c>
      <c r="E8" s="16" t="s">
        <v>443</v>
      </c>
      <c r="F8" s="40" t="s">
        <v>444</v>
      </c>
      <c r="G8" s="17" t="s">
        <v>75</v>
      </c>
      <c r="H8" s="18" t="s">
        <v>162</v>
      </c>
      <c r="I8" s="19" t="s">
        <v>421</v>
      </c>
      <c r="J8" s="20">
        <v>45653</v>
      </c>
      <c r="K8" s="20">
        <v>45689</v>
      </c>
      <c r="L8" s="21">
        <v>250000</v>
      </c>
      <c r="M8" s="22">
        <f t="shared" si="1"/>
        <v>242000</v>
      </c>
      <c r="N8" s="23">
        <v>200000</v>
      </c>
      <c r="O8" s="23">
        <v>42000</v>
      </c>
      <c r="P8" s="24">
        <f t="shared" si="2"/>
        <v>50000</v>
      </c>
      <c r="Q8" s="25">
        <v>42000</v>
      </c>
      <c r="R8" s="26">
        <v>84000</v>
      </c>
      <c r="S8" s="91">
        <f t="shared" si="3"/>
        <v>0.59523809523809523</v>
      </c>
      <c r="T8" s="91">
        <f t="shared" si="4"/>
        <v>0.5</v>
      </c>
      <c r="U8" s="27" t="s">
        <v>56</v>
      </c>
      <c r="V8" s="30" t="s">
        <v>59</v>
      </c>
      <c r="W8" s="31">
        <v>45709</v>
      </c>
      <c r="X8" s="22"/>
      <c r="Y8" s="19" t="s">
        <v>52</v>
      </c>
      <c r="Z8" s="19" t="s">
        <v>52</v>
      </c>
      <c r="AA8" s="19" t="s">
        <v>52</v>
      </c>
      <c r="AB8" s="28"/>
    </row>
    <row r="9" spans="1:33" s="29" customFormat="1" ht="15" customHeight="1" x14ac:dyDescent="0.25">
      <c r="A9" s="14">
        <v>24</v>
      </c>
      <c r="B9" s="15">
        <v>45706</v>
      </c>
      <c r="C9" s="15">
        <f t="shared" si="0"/>
        <v>45714</v>
      </c>
      <c r="D9" s="14">
        <v>12261</v>
      </c>
      <c r="E9" s="16" t="s">
        <v>363</v>
      </c>
      <c r="F9" s="40" t="s">
        <v>364</v>
      </c>
      <c r="G9" s="17" t="s">
        <v>75</v>
      </c>
      <c r="H9" s="18" t="s">
        <v>133</v>
      </c>
      <c r="I9" s="19" t="s">
        <v>198</v>
      </c>
      <c r="J9" s="20">
        <v>45644</v>
      </c>
      <c r="K9" s="20">
        <v>45693</v>
      </c>
      <c r="L9" s="21">
        <v>100000</v>
      </c>
      <c r="M9" s="22">
        <f t="shared" si="1"/>
        <v>116000</v>
      </c>
      <c r="N9" s="23">
        <v>0</v>
      </c>
      <c r="O9" s="23">
        <v>116000</v>
      </c>
      <c r="P9" s="24">
        <f t="shared" si="2"/>
        <v>100000</v>
      </c>
      <c r="Q9" s="25">
        <v>116000</v>
      </c>
      <c r="R9" s="26">
        <v>60000</v>
      </c>
      <c r="S9" s="91">
        <f t="shared" si="3"/>
        <v>1.6666666666666667</v>
      </c>
      <c r="T9" s="91">
        <f t="shared" si="4"/>
        <v>1.9333333333333333</v>
      </c>
      <c r="U9" s="27" t="s">
        <v>56</v>
      </c>
      <c r="V9" s="30" t="s">
        <v>59</v>
      </c>
      <c r="W9" s="31">
        <v>45710</v>
      </c>
      <c r="X9" s="22"/>
      <c r="Y9" s="19" t="s">
        <v>52</v>
      </c>
      <c r="Z9" s="19" t="s">
        <v>52</v>
      </c>
      <c r="AA9" s="19" t="s">
        <v>52</v>
      </c>
      <c r="AB9" s="28"/>
      <c r="AC9" s="90"/>
    </row>
    <row r="10" spans="1:33" s="29" customFormat="1" ht="15" customHeight="1" x14ac:dyDescent="0.25">
      <c r="A10" s="14">
        <v>11</v>
      </c>
      <c r="B10" s="15">
        <v>45706</v>
      </c>
      <c r="C10" s="15">
        <f t="shared" si="0"/>
        <v>45714</v>
      </c>
      <c r="D10" s="14">
        <v>12398</v>
      </c>
      <c r="E10" s="16" t="s">
        <v>143</v>
      </c>
      <c r="F10" s="17" t="s">
        <v>144</v>
      </c>
      <c r="G10" s="17" t="s">
        <v>132</v>
      </c>
      <c r="H10" s="18" t="s">
        <v>54</v>
      </c>
      <c r="I10" s="19" t="s">
        <v>135</v>
      </c>
      <c r="J10" s="20">
        <v>45672</v>
      </c>
      <c r="K10" s="20">
        <v>45716</v>
      </c>
      <c r="L10" s="21">
        <v>132000</v>
      </c>
      <c r="M10" s="22">
        <f t="shared" si="1"/>
        <v>171686</v>
      </c>
      <c r="N10" s="23">
        <v>0</v>
      </c>
      <c r="O10" s="23">
        <v>171686</v>
      </c>
      <c r="P10" s="24">
        <f t="shared" si="2"/>
        <v>132000</v>
      </c>
      <c r="Q10" s="25">
        <v>171680</v>
      </c>
      <c r="R10" s="26">
        <v>175500</v>
      </c>
      <c r="S10" s="91">
        <f t="shared" si="3"/>
        <v>0.75213675213675213</v>
      </c>
      <c r="T10" s="91">
        <f t="shared" si="4"/>
        <v>0.97823361823361821</v>
      </c>
      <c r="U10" s="27" t="s">
        <v>56</v>
      </c>
      <c r="V10" s="30" t="s">
        <v>59</v>
      </c>
      <c r="W10" s="31">
        <v>45692</v>
      </c>
      <c r="X10" s="22"/>
      <c r="Y10" s="19" t="s">
        <v>52</v>
      </c>
      <c r="Z10" s="19" t="s">
        <v>52</v>
      </c>
      <c r="AA10" s="19" t="s">
        <v>52</v>
      </c>
      <c r="AB10" s="28"/>
    </row>
    <row r="11" spans="1:33" s="29" customFormat="1" ht="15" customHeight="1" x14ac:dyDescent="0.25">
      <c r="A11" s="14">
        <v>7</v>
      </c>
      <c r="B11" s="15">
        <v>45706</v>
      </c>
      <c r="C11" s="15">
        <f t="shared" ref="C11:C12" si="5">B11+8</f>
        <v>45714</v>
      </c>
      <c r="D11" s="14">
        <v>12442</v>
      </c>
      <c r="E11" s="16" t="s">
        <v>459</v>
      </c>
      <c r="F11" s="40" t="s">
        <v>460</v>
      </c>
      <c r="G11" s="17" t="s">
        <v>75</v>
      </c>
      <c r="H11" s="18" t="s">
        <v>78</v>
      </c>
      <c r="I11" s="19" t="s">
        <v>79</v>
      </c>
      <c r="J11" s="20">
        <v>45678</v>
      </c>
      <c r="K11" s="20">
        <v>45713</v>
      </c>
      <c r="L11" s="21">
        <v>450000</v>
      </c>
      <c r="M11" s="22">
        <f t="shared" ref="M11:M12" si="6">SUM(N11:O11)</f>
        <v>96000</v>
      </c>
      <c r="N11" s="23">
        <v>0</v>
      </c>
      <c r="O11" s="23">
        <v>96000</v>
      </c>
      <c r="P11" s="24">
        <f t="shared" ref="P11:P12" si="7">L11-N11</f>
        <v>450000</v>
      </c>
      <c r="Q11" s="25">
        <v>63000</v>
      </c>
      <c r="R11" s="26">
        <v>96000</v>
      </c>
      <c r="S11" s="91">
        <f t="shared" si="3"/>
        <v>4.6875</v>
      </c>
      <c r="T11" s="91">
        <f t="shared" si="4"/>
        <v>0.65625</v>
      </c>
      <c r="U11" s="27" t="s">
        <v>56</v>
      </c>
      <c r="V11" s="30" t="s">
        <v>59</v>
      </c>
      <c r="W11" s="31">
        <v>45699</v>
      </c>
      <c r="X11" s="22"/>
      <c r="Y11" s="19" t="s">
        <v>52</v>
      </c>
      <c r="Z11" s="19" t="s">
        <v>52</v>
      </c>
      <c r="AA11" s="19" t="s">
        <v>52</v>
      </c>
      <c r="AB11" s="28"/>
      <c r="AC11" s="90"/>
    </row>
    <row r="12" spans="1:33" s="29" customFormat="1" ht="15" customHeight="1" x14ac:dyDescent="0.25">
      <c r="A12" s="14">
        <v>11</v>
      </c>
      <c r="B12" s="15">
        <v>45706</v>
      </c>
      <c r="C12" s="15">
        <f t="shared" si="5"/>
        <v>45714</v>
      </c>
      <c r="D12" s="14">
        <v>12321</v>
      </c>
      <c r="E12" s="84" t="s">
        <v>441</v>
      </c>
      <c r="F12" s="86" t="s">
        <v>442</v>
      </c>
      <c r="G12" s="87" t="s">
        <v>75</v>
      </c>
      <c r="H12" s="88" t="s">
        <v>162</v>
      </c>
      <c r="I12" s="19" t="s">
        <v>86</v>
      </c>
      <c r="J12" s="20">
        <v>45652</v>
      </c>
      <c r="K12" s="20">
        <v>45675</v>
      </c>
      <c r="L12" s="21">
        <v>3000000</v>
      </c>
      <c r="M12" s="22">
        <f t="shared" si="6"/>
        <v>1620000</v>
      </c>
      <c r="N12" s="23">
        <v>1200000</v>
      </c>
      <c r="O12" s="23">
        <v>420000</v>
      </c>
      <c r="P12" s="24">
        <f t="shared" si="7"/>
        <v>1800000</v>
      </c>
      <c r="Q12" s="25">
        <v>420000</v>
      </c>
      <c r="R12" s="26">
        <v>160000</v>
      </c>
      <c r="S12" s="91">
        <f t="shared" si="3"/>
        <v>11.25</v>
      </c>
      <c r="T12" s="91">
        <f t="shared" si="4"/>
        <v>2.625</v>
      </c>
      <c r="U12" s="27" t="s">
        <v>56</v>
      </c>
      <c r="V12" s="19" t="s">
        <v>51</v>
      </c>
      <c r="W12" s="20">
        <v>45691</v>
      </c>
      <c r="X12" s="22"/>
      <c r="Y12" s="19" t="s">
        <v>52</v>
      </c>
      <c r="Z12" s="19" t="s">
        <v>52</v>
      </c>
      <c r="AA12" s="19" t="s">
        <v>52</v>
      </c>
      <c r="AB12" s="28"/>
      <c r="AC12" s="90"/>
    </row>
    <row r="13" spans="1:33" ht="15" customHeight="1" x14ac:dyDescent="0.25">
      <c r="A13" s="33" t="s">
        <v>71</v>
      </c>
      <c r="B13" s="34"/>
      <c r="C13" s="34"/>
      <c r="D13" s="34"/>
      <c r="E13" s="34"/>
      <c r="F13" s="35"/>
      <c r="G13" s="35"/>
      <c r="H13" s="34"/>
      <c r="I13" s="34"/>
      <c r="J13" s="34"/>
      <c r="K13" s="34"/>
      <c r="L13" s="36"/>
      <c r="M13" s="36"/>
      <c r="N13" s="36"/>
      <c r="O13" s="36"/>
      <c r="P13" s="36"/>
      <c r="Q13" s="36">
        <f>SUM(Q5:Q12)</f>
        <v>1010100</v>
      </c>
      <c r="R13" s="36"/>
      <c r="S13" s="92"/>
      <c r="T13" s="93">
        <f>SUM(T5:T12)</f>
        <v>8.6004880825193339</v>
      </c>
      <c r="U13" s="37"/>
      <c r="V13" s="38"/>
      <c r="W13" s="38"/>
      <c r="X13" s="38"/>
      <c r="Y13" s="34"/>
      <c r="Z13" s="34"/>
      <c r="AA13" s="39"/>
      <c r="AB13" s="29" t="s">
        <v>484</v>
      </c>
      <c r="AC13" s="81" t="s">
        <v>545</v>
      </c>
      <c r="AD13" s="83">
        <v>2291.67</v>
      </c>
      <c r="AF13" s="83">
        <v>0</v>
      </c>
      <c r="AG13" s="83">
        <f>SUM(AD13,AF13)</f>
        <v>2291.67</v>
      </c>
    </row>
    <row r="14" spans="1:33" s="29" customFormat="1" ht="15" customHeight="1" x14ac:dyDescent="0.25">
      <c r="A14" s="14">
        <v>20</v>
      </c>
      <c r="B14" s="15">
        <v>45707</v>
      </c>
      <c r="C14" s="15">
        <f t="shared" ref="C14:C16" si="8">B14+8</f>
        <v>45715</v>
      </c>
      <c r="D14" s="14">
        <v>12120</v>
      </c>
      <c r="E14" s="16" t="s">
        <v>270</v>
      </c>
      <c r="F14" s="40" t="s">
        <v>271</v>
      </c>
      <c r="G14" s="17" t="s">
        <v>75</v>
      </c>
      <c r="H14" s="18" t="s">
        <v>257</v>
      </c>
      <c r="I14" s="19" t="s">
        <v>104</v>
      </c>
      <c r="J14" s="20">
        <v>45617</v>
      </c>
      <c r="K14" s="20">
        <v>45652</v>
      </c>
      <c r="L14" s="21">
        <v>150000</v>
      </c>
      <c r="M14" s="22">
        <f t="shared" ref="M14:M22" si="9">SUM(N14:O14)</f>
        <v>135000</v>
      </c>
      <c r="N14" s="23">
        <v>0</v>
      </c>
      <c r="O14" s="23">
        <v>135000</v>
      </c>
      <c r="P14" s="24">
        <f t="shared" ref="P14:P22" si="10">L14-N14</f>
        <v>150000</v>
      </c>
      <c r="Q14" s="25">
        <v>135000</v>
      </c>
      <c r="R14" s="26">
        <v>150000</v>
      </c>
      <c r="S14" s="91">
        <f t="shared" ref="S14:S22" si="11">IF(P14&gt;0,P14/$R14,0)</f>
        <v>1</v>
      </c>
      <c r="T14" s="91">
        <f t="shared" ref="T14:T22" si="12">IF(Q14&gt;0,Q14/$R14,0)</f>
        <v>0.9</v>
      </c>
      <c r="U14" s="27" t="s">
        <v>192</v>
      </c>
      <c r="V14" s="19" t="s">
        <v>51</v>
      </c>
      <c r="W14" s="20">
        <v>45679</v>
      </c>
      <c r="X14" s="22"/>
      <c r="Y14" s="19" t="s">
        <v>52</v>
      </c>
      <c r="Z14" s="19" t="s">
        <v>52</v>
      </c>
      <c r="AA14" s="19" t="s">
        <v>52</v>
      </c>
      <c r="AB14" s="28"/>
      <c r="AC14" s="90"/>
    </row>
    <row r="15" spans="1:33" s="29" customFormat="1" ht="15" customHeight="1" x14ac:dyDescent="0.25">
      <c r="A15" s="14">
        <v>23</v>
      </c>
      <c r="B15" s="15">
        <v>45707</v>
      </c>
      <c r="C15" s="15">
        <f t="shared" si="8"/>
        <v>45715</v>
      </c>
      <c r="D15" s="14">
        <v>12303</v>
      </c>
      <c r="E15" s="16" t="s">
        <v>342</v>
      </c>
      <c r="F15" s="40" t="s">
        <v>343</v>
      </c>
      <c r="G15" s="17" t="s">
        <v>75</v>
      </c>
      <c r="H15" s="18" t="s">
        <v>57</v>
      </c>
      <c r="I15" s="19" t="s">
        <v>64</v>
      </c>
      <c r="J15" s="20">
        <v>45649</v>
      </c>
      <c r="K15" s="20">
        <v>45687</v>
      </c>
      <c r="L15" s="21">
        <v>600000</v>
      </c>
      <c r="M15" s="22">
        <f t="shared" si="9"/>
        <v>150000</v>
      </c>
      <c r="N15" s="23">
        <v>0</v>
      </c>
      <c r="O15" s="23">
        <v>150000</v>
      </c>
      <c r="P15" s="24">
        <f t="shared" si="10"/>
        <v>600000</v>
      </c>
      <c r="Q15" s="25">
        <v>150000</v>
      </c>
      <c r="R15" s="26">
        <v>150000</v>
      </c>
      <c r="S15" s="91">
        <f t="shared" si="11"/>
        <v>4</v>
      </c>
      <c r="T15" s="91">
        <f t="shared" si="12"/>
        <v>1</v>
      </c>
      <c r="U15" s="27" t="s">
        <v>192</v>
      </c>
      <c r="V15" s="19" t="s">
        <v>51</v>
      </c>
      <c r="W15" s="20">
        <v>45675</v>
      </c>
      <c r="X15" s="22"/>
      <c r="Y15" s="19" t="s">
        <v>52</v>
      </c>
      <c r="Z15" s="19" t="s">
        <v>52</v>
      </c>
      <c r="AA15" s="19" t="s">
        <v>52</v>
      </c>
      <c r="AB15" s="28"/>
      <c r="AC15" s="90"/>
    </row>
    <row r="16" spans="1:33" s="29" customFormat="1" ht="15" customHeight="1" x14ac:dyDescent="0.25">
      <c r="A16" s="14">
        <v>26</v>
      </c>
      <c r="B16" s="15">
        <v>45707</v>
      </c>
      <c r="C16" s="15">
        <f t="shared" si="8"/>
        <v>45715</v>
      </c>
      <c r="D16" s="14">
        <v>12358</v>
      </c>
      <c r="E16" s="16" t="s">
        <v>293</v>
      </c>
      <c r="F16" s="40" t="s">
        <v>294</v>
      </c>
      <c r="G16" s="17" t="s">
        <v>75</v>
      </c>
      <c r="H16" s="18" t="s">
        <v>62</v>
      </c>
      <c r="I16" s="19" t="s">
        <v>63</v>
      </c>
      <c r="J16" s="20">
        <v>45663</v>
      </c>
      <c r="K16" s="20">
        <v>45693</v>
      </c>
      <c r="L16" s="21">
        <v>1500000</v>
      </c>
      <c r="M16" s="22">
        <f t="shared" si="9"/>
        <v>1083000</v>
      </c>
      <c r="N16" s="23">
        <v>933000</v>
      </c>
      <c r="O16" s="23">
        <v>150000</v>
      </c>
      <c r="P16" s="24">
        <f t="shared" si="10"/>
        <v>567000</v>
      </c>
      <c r="Q16" s="25">
        <v>150000</v>
      </c>
      <c r="R16" s="26">
        <v>150000</v>
      </c>
      <c r="S16" s="91">
        <f t="shared" si="11"/>
        <v>3.78</v>
      </c>
      <c r="T16" s="91">
        <f t="shared" si="12"/>
        <v>1</v>
      </c>
      <c r="U16" s="27" t="s">
        <v>192</v>
      </c>
      <c r="V16" s="19" t="s">
        <v>51</v>
      </c>
      <c r="W16" s="20">
        <v>45679</v>
      </c>
      <c r="X16" s="22"/>
      <c r="Y16" s="19" t="s">
        <v>52</v>
      </c>
      <c r="Z16" s="19" t="s">
        <v>52</v>
      </c>
      <c r="AA16" s="19" t="s">
        <v>52</v>
      </c>
      <c r="AB16" s="28"/>
      <c r="AC16" s="90"/>
    </row>
    <row r="17" spans="1:33" s="29" customFormat="1" ht="15" customHeight="1" x14ac:dyDescent="0.25">
      <c r="A17" s="14">
        <v>7</v>
      </c>
      <c r="B17" s="15">
        <v>45707</v>
      </c>
      <c r="C17" s="15">
        <f>B17+8</f>
        <v>45715</v>
      </c>
      <c r="D17" s="14">
        <v>12432</v>
      </c>
      <c r="E17" s="16" t="s">
        <v>114</v>
      </c>
      <c r="F17" s="17" t="s">
        <v>115</v>
      </c>
      <c r="G17" s="17" t="s">
        <v>102</v>
      </c>
      <c r="H17" s="18" t="s">
        <v>257</v>
      </c>
      <c r="I17" s="19" t="s">
        <v>104</v>
      </c>
      <c r="J17" s="20">
        <v>45674</v>
      </c>
      <c r="K17" s="20">
        <v>45695</v>
      </c>
      <c r="L17" s="21">
        <v>1000000</v>
      </c>
      <c r="M17" s="22">
        <f>SUM(N17:O17)</f>
        <v>378000</v>
      </c>
      <c r="N17" s="23">
        <v>0</v>
      </c>
      <c r="O17" s="23">
        <v>378000</v>
      </c>
      <c r="P17" s="24">
        <f>L17-N17</f>
        <v>1000000</v>
      </c>
      <c r="Q17" s="25">
        <v>415000</v>
      </c>
      <c r="R17" s="26">
        <v>63000</v>
      </c>
      <c r="S17" s="91">
        <f t="shared" si="11"/>
        <v>15.873015873015873</v>
      </c>
      <c r="T17" s="91">
        <f t="shared" si="12"/>
        <v>6.587301587301587</v>
      </c>
      <c r="U17" s="27" t="s">
        <v>192</v>
      </c>
      <c r="V17" s="30" t="s">
        <v>59</v>
      </c>
      <c r="W17" s="31">
        <v>45685</v>
      </c>
      <c r="X17" s="22"/>
      <c r="Y17" s="19" t="s">
        <v>52</v>
      </c>
      <c r="Z17" s="19" t="s">
        <v>52</v>
      </c>
      <c r="AA17" s="19" t="s">
        <v>52</v>
      </c>
      <c r="AB17" s="28"/>
    </row>
    <row r="18" spans="1:33" s="29" customFormat="1" ht="15" customHeight="1" x14ac:dyDescent="0.25">
      <c r="A18" s="14">
        <v>44</v>
      </c>
      <c r="B18" s="15">
        <v>45707</v>
      </c>
      <c r="C18" s="15">
        <f>B18+8</f>
        <v>45715</v>
      </c>
      <c r="D18" s="14">
        <v>12414</v>
      </c>
      <c r="E18" s="16" t="s">
        <v>206</v>
      </c>
      <c r="F18" s="40" t="s">
        <v>207</v>
      </c>
      <c r="G18" s="17" t="s">
        <v>75</v>
      </c>
      <c r="H18" s="18" t="s">
        <v>374</v>
      </c>
      <c r="I18" s="19" t="s">
        <v>49</v>
      </c>
      <c r="J18" s="20">
        <v>45672</v>
      </c>
      <c r="K18" s="20">
        <v>45709</v>
      </c>
      <c r="L18" s="21">
        <v>500000</v>
      </c>
      <c r="M18" s="22">
        <f>SUM(N18:O18)</f>
        <v>141000</v>
      </c>
      <c r="N18" s="23">
        <v>0</v>
      </c>
      <c r="O18" s="23">
        <v>141000</v>
      </c>
      <c r="P18" s="24">
        <f>L18-N18</f>
        <v>500000</v>
      </c>
      <c r="Q18" s="25">
        <v>141000</v>
      </c>
      <c r="R18" s="26">
        <v>150000</v>
      </c>
      <c r="S18" s="91">
        <f t="shared" si="11"/>
        <v>3.3333333333333335</v>
      </c>
      <c r="T18" s="91">
        <f t="shared" si="12"/>
        <v>0.94</v>
      </c>
      <c r="U18" s="27" t="s">
        <v>192</v>
      </c>
      <c r="V18" s="19" t="s">
        <v>51</v>
      </c>
      <c r="W18" s="20">
        <v>45687</v>
      </c>
      <c r="X18" s="22"/>
      <c r="Y18" s="19" t="s">
        <v>52</v>
      </c>
      <c r="Z18" s="19" t="s">
        <v>52</v>
      </c>
      <c r="AA18" s="19" t="s">
        <v>52</v>
      </c>
      <c r="AB18" s="28"/>
      <c r="AC18" s="90"/>
    </row>
    <row r="19" spans="1:33" s="29" customFormat="1" ht="15" customHeight="1" x14ac:dyDescent="0.25">
      <c r="A19" s="14">
        <v>2</v>
      </c>
      <c r="B19" s="15">
        <v>45707</v>
      </c>
      <c r="C19" s="15">
        <f>B19+8</f>
        <v>45715</v>
      </c>
      <c r="D19" s="14">
        <v>12440</v>
      </c>
      <c r="E19" s="16" t="s">
        <v>372</v>
      </c>
      <c r="F19" s="17" t="s">
        <v>461</v>
      </c>
      <c r="G19" s="17" t="s">
        <v>102</v>
      </c>
      <c r="H19" s="18" t="s">
        <v>57</v>
      </c>
      <c r="I19" s="19" t="s">
        <v>58</v>
      </c>
      <c r="J19" s="20">
        <v>45679</v>
      </c>
      <c r="K19" s="20">
        <v>45706</v>
      </c>
      <c r="L19" s="21">
        <v>1000000</v>
      </c>
      <c r="M19" s="22">
        <f>SUM(N19:O19)</f>
        <v>216000</v>
      </c>
      <c r="N19" s="23">
        <v>144000</v>
      </c>
      <c r="O19" s="23">
        <v>72000</v>
      </c>
      <c r="P19" s="24">
        <f>L19-N19</f>
        <v>856000</v>
      </c>
      <c r="Q19" s="25">
        <v>72000</v>
      </c>
      <c r="R19" s="26">
        <v>48000</v>
      </c>
      <c r="S19" s="91">
        <f t="shared" si="11"/>
        <v>17.833333333333332</v>
      </c>
      <c r="T19" s="91">
        <f t="shared" si="12"/>
        <v>1.5</v>
      </c>
      <c r="U19" s="27" t="s">
        <v>192</v>
      </c>
      <c r="V19" s="30" t="s">
        <v>59</v>
      </c>
      <c r="W19" s="31">
        <v>45696</v>
      </c>
      <c r="X19" s="22"/>
      <c r="Y19" s="19" t="s">
        <v>52</v>
      </c>
      <c r="Z19" s="19" t="s">
        <v>52</v>
      </c>
      <c r="AA19" s="19" t="s">
        <v>52</v>
      </c>
      <c r="AB19" s="28"/>
    </row>
    <row r="20" spans="1:33" s="29" customFormat="1" ht="15" customHeight="1" x14ac:dyDescent="0.25">
      <c r="A20" s="14">
        <v>19</v>
      </c>
      <c r="B20" s="15">
        <v>45707</v>
      </c>
      <c r="C20" s="15">
        <f>B20+8</f>
        <v>45715</v>
      </c>
      <c r="D20" s="14">
        <v>11884</v>
      </c>
      <c r="E20" s="16" t="s">
        <v>382</v>
      </c>
      <c r="F20" s="17" t="s">
        <v>383</v>
      </c>
      <c r="G20" s="17" t="s">
        <v>102</v>
      </c>
      <c r="H20" s="18" t="s">
        <v>62</v>
      </c>
      <c r="I20" s="19" t="s">
        <v>70</v>
      </c>
      <c r="J20" s="20">
        <v>45583</v>
      </c>
      <c r="K20" s="20">
        <v>45597</v>
      </c>
      <c r="L20" s="21">
        <v>3150000</v>
      </c>
      <c r="M20" s="22">
        <f>SUM(N20:O20)</f>
        <v>3276000</v>
      </c>
      <c r="N20" s="23">
        <v>3226000</v>
      </c>
      <c r="O20" s="23">
        <v>50000</v>
      </c>
      <c r="P20" s="24">
        <f>L20-N20</f>
        <v>-76000</v>
      </c>
      <c r="Q20" s="25">
        <v>50000</v>
      </c>
      <c r="R20" s="26">
        <v>50000</v>
      </c>
      <c r="S20" s="91">
        <f t="shared" si="11"/>
        <v>0</v>
      </c>
      <c r="T20" s="91">
        <f t="shared" si="12"/>
        <v>1</v>
      </c>
      <c r="U20" s="27" t="s">
        <v>192</v>
      </c>
      <c r="V20" s="19" t="s">
        <v>51</v>
      </c>
      <c r="W20" s="20">
        <v>45592</v>
      </c>
      <c r="X20" s="22"/>
      <c r="Y20" s="19" t="s">
        <v>52</v>
      </c>
      <c r="Z20" s="19" t="s">
        <v>52</v>
      </c>
      <c r="AA20" s="19" t="s">
        <v>52</v>
      </c>
      <c r="AB20" s="28"/>
    </row>
    <row r="21" spans="1:33" s="29" customFormat="1" ht="15" customHeight="1" x14ac:dyDescent="0.25">
      <c r="A21" s="14">
        <v>12</v>
      </c>
      <c r="B21" s="15">
        <v>45707</v>
      </c>
      <c r="C21" s="15">
        <f>B21+8</f>
        <v>45715</v>
      </c>
      <c r="D21" s="14">
        <v>12458</v>
      </c>
      <c r="E21" s="16" t="s">
        <v>466</v>
      </c>
      <c r="F21" s="17" t="s">
        <v>467</v>
      </c>
      <c r="G21" s="17" t="s">
        <v>102</v>
      </c>
      <c r="H21" s="18" t="s">
        <v>57</v>
      </c>
      <c r="I21" s="19" t="s">
        <v>58</v>
      </c>
      <c r="J21" s="20">
        <v>45685</v>
      </c>
      <c r="K21" s="20">
        <v>45702</v>
      </c>
      <c r="L21" s="21">
        <v>500000</v>
      </c>
      <c r="M21" s="22">
        <f>SUM(N21:O21)</f>
        <v>200000</v>
      </c>
      <c r="N21" s="23">
        <v>0</v>
      </c>
      <c r="O21" s="23">
        <v>200000</v>
      </c>
      <c r="P21" s="24">
        <f>L21-N21</f>
        <v>500000</v>
      </c>
      <c r="Q21" s="25">
        <v>200000</v>
      </c>
      <c r="R21" s="26">
        <v>50000</v>
      </c>
      <c r="S21" s="91">
        <f t="shared" si="11"/>
        <v>10</v>
      </c>
      <c r="T21" s="91">
        <f t="shared" si="12"/>
        <v>4</v>
      </c>
      <c r="U21" s="27" t="s">
        <v>193</v>
      </c>
      <c r="V21" s="30" t="s">
        <v>59</v>
      </c>
      <c r="W21" s="31">
        <v>45696</v>
      </c>
      <c r="X21" s="22"/>
      <c r="Y21" s="19" t="s">
        <v>52</v>
      </c>
      <c r="Z21" s="19" t="s">
        <v>52</v>
      </c>
      <c r="AA21" s="19" t="s">
        <v>52</v>
      </c>
      <c r="AB21" s="28"/>
    </row>
    <row r="22" spans="1:33" s="29" customFormat="1" ht="15" customHeight="1" x14ac:dyDescent="0.25">
      <c r="A22" s="14">
        <v>9</v>
      </c>
      <c r="B22" s="15">
        <v>45707</v>
      </c>
      <c r="C22" s="15">
        <f t="shared" ref="C22" si="13">B22+8</f>
        <v>45715</v>
      </c>
      <c r="D22" s="14">
        <v>12464</v>
      </c>
      <c r="E22" s="16" t="s">
        <v>244</v>
      </c>
      <c r="F22" s="17" t="s">
        <v>243</v>
      </c>
      <c r="G22" s="17" t="s">
        <v>102</v>
      </c>
      <c r="H22" s="18" t="s">
        <v>62</v>
      </c>
      <c r="I22" s="19" t="s">
        <v>63</v>
      </c>
      <c r="J22" s="20">
        <v>45681</v>
      </c>
      <c r="K22" s="20">
        <v>45709</v>
      </c>
      <c r="L22" s="21">
        <v>672000</v>
      </c>
      <c r="M22" s="22">
        <f t="shared" si="9"/>
        <v>504000</v>
      </c>
      <c r="N22" s="23">
        <v>0</v>
      </c>
      <c r="O22" s="23">
        <v>504000</v>
      </c>
      <c r="P22" s="24">
        <f t="shared" si="10"/>
        <v>672000</v>
      </c>
      <c r="Q22" s="25">
        <v>504000</v>
      </c>
      <c r="R22" s="26">
        <v>84000</v>
      </c>
      <c r="S22" s="91">
        <f t="shared" si="11"/>
        <v>8</v>
      </c>
      <c r="T22" s="91">
        <f t="shared" si="12"/>
        <v>6</v>
      </c>
      <c r="U22" s="27" t="s">
        <v>193</v>
      </c>
      <c r="V22" s="30" t="s">
        <v>59</v>
      </c>
      <c r="W22" s="31">
        <v>45696</v>
      </c>
      <c r="X22" s="22"/>
      <c r="Y22" s="19" t="s">
        <v>52</v>
      </c>
      <c r="Z22" s="19" t="s">
        <v>52</v>
      </c>
      <c r="AA22" s="19" t="s">
        <v>52</v>
      </c>
      <c r="AB22" s="28"/>
    </row>
    <row r="23" spans="1:33" ht="15" customHeight="1" x14ac:dyDescent="0.25">
      <c r="A23" s="33" t="s">
        <v>71</v>
      </c>
      <c r="B23" s="34"/>
      <c r="C23" s="34"/>
      <c r="D23" s="34"/>
      <c r="E23" s="34"/>
      <c r="F23" s="35"/>
      <c r="G23" s="35"/>
      <c r="H23" s="34"/>
      <c r="I23" s="34"/>
      <c r="J23" s="34"/>
      <c r="K23" s="34"/>
      <c r="L23" s="36"/>
      <c r="M23" s="36"/>
      <c r="N23" s="36"/>
      <c r="O23" s="36"/>
      <c r="P23" s="36"/>
      <c r="Q23" s="36">
        <f>SUM(Q14:Q22)</f>
        <v>1817000</v>
      </c>
      <c r="R23" s="36"/>
      <c r="S23" s="92"/>
      <c r="T23" s="93">
        <f>SUM(T14:T22)</f>
        <v>22.927301587301585</v>
      </c>
      <c r="U23" s="37"/>
      <c r="V23" s="38"/>
      <c r="W23" s="38"/>
      <c r="X23" s="38"/>
      <c r="Y23" s="34"/>
      <c r="Z23" s="34"/>
      <c r="AA23" s="39"/>
      <c r="AB23" s="29" t="s">
        <v>487</v>
      </c>
      <c r="AC23" s="81" t="s">
        <v>499</v>
      </c>
      <c r="AD23" s="83">
        <v>5000</v>
      </c>
      <c r="AF23" s="83">
        <v>0</v>
      </c>
      <c r="AG23" s="83">
        <f>SUM(AD23,AF23)</f>
        <v>5000</v>
      </c>
    </row>
    <row r="24" spans="1:33" s="29" customFormat="1" ht="15" customHeight="1" x14ac:dyDescent="0.25">
      <c r="A24" s="14">
        <v>21</v>
      </c>
      <c r="B24" s="15">
        <v>45710</v>
      </c>
      <c r="C24" s="15">
        <f>B24+8</f>
        <v>45718</v>
      </c>
      <c r="D24" s="14">
        <v>12303</v>
      </c>
      <c r="E24" s="16" t="s">
        <v>342</v>
      </c>
      <c r="F24" s="40" t="s">
        <v>343</v>
      </c>
      <c r="G24" s="17" t="s">
        <v>75</v>
      </c>
      <c r="H24" s="18" t="s">
        <v>57</v>
      </c>
      <c r="I24" s="19" t="s">
        <v>64</v>
      </c>
      <c r="J24" s="20">
        <v>45649</v>
      </c>
      <c r="K24" s="20">
        <v>45687</v>
      </c>
      <c r="L24" s="21">
        <v>600000</v>
      </c>
      <c r="M24" s="22">
        <f t="shared" ref="M24:M34" si="14">SUM(N24:O24)</f>
        <v>246000</v>
      </c>
      <c r="N24" s="23">
        <v>0</v>
      </c>
      <c r="O24" s="23">
        <v>246000</v>
      </c>
      <c r="P24" s="24">
        <f>L24-N24</f>
        <v>600000</v>
      </c>
      <c r="Q24" s="25">
        <v>246000</v>
      </c>
      <c r="R24" s="26">
        <v>150000</v>
      </c>
      <c r="S24" s="91">
        <f t="shared" ref="S24:S36" si="15">IF(P24&gt;0,P24/$R24,0)</f>
        <v>4</v>
      </c>
      <c r="T24" s="91">
        <f t="shared" ref="T24:T36" si="16">IF(Q24&gt;0,Q24/$R24,0)</f>
        <v>1.64</v>
      </c>
      <c r="U24" s="27" t="s">
        <v>193</v>
      </c>
      <c r="V24" s="19" t="s">
        <v>51</v>
      </c>
      <c r="W24" s="20">
        <v>45675</v>
      </c>
      <c r="X24" s="22"/>
      <c r="Y24" s="19" t="s">
        <v>52</v>
      </c>
      <c r="Z24" s="19" t="s">
        <v>52</v>
      </c>
      <c r="AA24" s="19" t="s">
        <v>52</v>
      </c>
      <c r="AB24" s="28"/>
      <c r="AC24" s="90"/>
    </row>
    <row r="25" spans="1:33" s="29" customFormat="1" ht="15" customHeight="1" x14ac:dyDescent="0.25">
      <c r="A25" s="14">
        <v>12</v>
      </c>
      <c r="B25" s="15">
        <v>45710</v>
      </c>
      <c r="C25" s="15">
        <f>B25+8</f>
        <v>45718</v>
      </c>
      <c r="D25" s="14">
        <v>12458</v>
      </c>
      <c r="E25" s="16" t="s">
        <v>466</v>
      </c>
      <c r="F25" s="17" t="s">
        <v>467</v>
      </c>
      <c r="G25" s="17" t="s">
        <v>102</v>
      </c>
      <c r="H25" s="18" t="s">
        <v>57</v>
      </c>
      <c r="I25" s="19" t="s">
        <v>58</v>
      </c>
      <c r="J25" s="20">
        <v>45685</v>
      </c>
      <c r="K25" s="20">
        <v>45702</v>
      </c>
      <c r="L25" s="21">
        <v>500000</v>
      </c>
      <c r="M25" s="22">
        <f t="shared" si="14"/>
        <v>350000</v>
      </c>
      <c r="N25" s="23">
        <v>200000</v>
      </c>
      <c r="O25" s="23">
        <v>150000</v>
      </c>
      <c r="P25" s="24">
        <f>L25-N25</f>
        <v>300000</v>
      </c>
      <c r="Q25" s="25">
        <v>150000</v>
      </c>
      <c r="R25" s="26">
        <v>50000</v>
      </c>
      <c r="S25" s="91">
        <f t="shared" si="15"/>
        <v>6</v>
      </c>
      <c r="T25" s="91">
        <f t="shared" si="16"/>
        <v>3</v>
      </c>
      <c r="U25" s="27" t="s">
        <v>193</v>
      </c>
      <c r="V25" s="19" t="s">
        <v>51</v>
      </c>
      <c r="W25" s="20">
        <v>45696</v>
      </c>
      <c r="X25" s="22"/>
      <c r="Y25" s="19" t="s">
        <v>52</v>
      </c>
      <c r="Z25" s="19" t="s">
        <v>52</v>
      </c>
      <c r="AA25" s="19" t="s">
        <v>52</v>
      </c>
      <c r="AB25" s="28"/>
    </row>
    <row r="26" spans="1:33" s="29" customFormat="1" ht="15" customHeight="1" x14ac:dyDescent="0.25">
      <c r="A26" s="14">
        <v>10</v>
      </c>
      <c r="B26" s="15">
        <v>45710</v>
      </c>
      <c r="C26" s="15">
        <f t="shared" ref="C26" si="17">B26+8</f>
        <v>45718</v>
      </c>
      <c r="D26" s="14">
        <v>12511</v>
      </c>
      <c r="E26" s="16" t="s">
        <v>297</v>
      </c>
      <c r="F26" s="17" t="s">
        <v>298</v>
      </c>
      <c r="G26" s="17" t="s">
        <v>102</v>
      </c>
      <c r="H26" s="18" t="s">
        <v>57</v>
      </c>
      <c r="I26" s="19" t="s">
        <v>94</v>
      </c>
      <c r="J26" s="20">
        <v>45688</v>
      </c>
      <c r="K26" s="20">
        <v>45723</v>
      </c>
      <c r="L26" s="21">
        <v>800000</v>
      </c>
      <c r="M26" s="22">
        <f t="shared" si="14"/>
        <v>300000</v>
      </c>
      <c r="N26" s="23">
        <v>0</v>
      </c>
      <c r="O26" s="23">
        <v>300000</v>
      </c>
      <c r="P26" s="24">
        <f t="shared" ref="P26" si="18">L26-N26</f>
        <v>800000</v>
      </c>
      <c r="Q26" s="25">
        <v>240000</v>
      </c>
      <c r="R26" s="26">
        <v>30000</v>
      </c>
      <c r="S26" s="91">
        <f t="shared" si="15"/>
        <v>26.666666666666668</v>
      </c>
      <c r="T26" s="91">
        <f t="shared" si="16"/>
        <v>8</v>
      </c>
      <c r="U26" s="27" t="s">
        <v>193</v>
      </c>
      <c r="V26" s="19" t="s">
        <v>51</v>
      </c>
      <c r="W26" s="20">
        <v>45705</v>
      </c>
      <c r="X26" s="22"/>
      <c r="Y26" s="19" t="s">
        <v>52</v>
      </c>
      <c r="Z26" s="19" t="s">
        <v>52</v>
      </c>
      <c r="AA26" s="19" t="s">
        <v>52</v>
      </c>
      <c r="AB26" s="28"/>
    </row>
    <row r="27" spans="1:33" s="29" customFormat="1" ht="15" customHeight="1" x14ac:dyDescent="0.25">
      <c r="A27" s="14">
        <v>28</v>
      </c>
      <c r="B27" s="15">
        <v>45710</v>
      </c>
      <c r="C27" s="15">
        <f t="shared" ref="C27:C32" si="19">B27+8</f>
        <v>45718</v>
      </c>
      <c r="D27" s="14">
        <v>12302</v>
      </c>
      <c r="E27" s="16" t="s">
        <v>436</v>
      </c>
      <c r="F27" s="40" t="s">
        <v>437</v>
      </c>
      <c r="G27" s="17" t="s">
        <v>75</v>
      </c>
      <c r="H27" s="18" t="s">
        <v>57</v>
      </c>
      <c r="I27" s="19" t="s">
        <v>64</v>
      </c>
      <c r="J27" s="20">
        <v>45649</v>
      </c>
      <c r="K27" s="20">
        <v>45660</v>
      </c>
      <c r="L27" s="21">
        <v>450000</v>
      </c>
      <c r="M27" s="22">
        <f t="shared" si="14"/>
        <v>435000</v>
      </c>
      <c r="N27" s="23">
        <v>0</v>
      </c>
      <c r="O27" s="23">
        <v>435000</v>
      </c>
      <c r="P27" s="24">
        <f>L27-N27</f>
        <v>450000</v>
      </c>
      <c r="Q27" s="25">
        <v>150000</v>
      </c>
      <c r="R27" s="26">
        <v>150000</v>
      </c>
      <c r="S27" s="91">
        <f t="shared" si="15"/>
        <v>3</v>
      </c>
      <c r="T27" s="91">
        <f t="shared" si="16"/>
        <v>1</v>
      </c>
      <c r="U27" s="27" t="s">
        <v>193</v>
      </c>
      <c r="V27" s="19" t="s">
        <v>51</v>
      </c>
      <c r="W27" s="20">
        <v>45672</v>
      </c>
      <c r="X27" s="22"/>
      <c r="Y27" s="19" t="s">
        <v>52</v>
      </c>
      <c r="Z27" s="19" t="s">
        <v>52</v>
      </c>
      <c r="AA27" s="19" t="s">
        <v>52</v>
      </c>
      <c r="AB27" s="28"/>
      <c r="AC27" s="90"/>
    </row>
    <row r="28" spans="1:33" s="29" customFormat="1" ht="15" customHeight="1" x14ac:dyDescent="0.25">
      <c r="A28" s="14">
        <v>7</v>
      </c>
      <c r="B28" s="15">
        <v>45710</v>
      </c>
      <c r="C28" s="15">
        <f t="shared" si="19"/>
        <v>45718</v>
      </c>
      <c r="D28" s="14">
        <v>12319</v>
      </c>
      <c r="E28" s="84" t="s">
        <v>303</v>
      </c>
      <c r="F28" s="86" t="s">
        <v>304</v>
      </c>
      <c r="G28" s="87" t="s">
        <v>75</v>
      </c>
      <c r="H28" s="88" t="s">
        <v>440</v>
      </c>
      <c r="I28" s="19" t="s">
        <v>64</v>
      </c>
      <c r="J28" s="20">
        <v>45653</v>
      </c>
      <c r="K28" s="20">
        <v>45680</v>
      </c>
      <c r="L28" s="21">
        <v>1000000</v>
      </c>
      <c r="M28" s="22">
        <f t="shared" si="14"/>
        <v>495000</v>
      </c>
      <c r="N28" s="23">
        <v>300000</v>
      </c>
      <c r="O28" s="23">
        <v>195000</v>
      </c>
      <c r="P28" s="24">
        <f>L28-N28</f>
        <v>700000</v>
      </c>
      <c r="Q28" s="25">
        <v>50000</v>
      </c>
      <c r="R28" s="26">
        <v>48000</v>
      </c>
      <c r="S28" s="91">
        <f t="shared" si="15"/>
        <v>14.583333333333334</v>
      </c>
      <c r="T28" s="91">
        <f t="shared" si="16"/>
        <v>1.0416666666666667</v>
      </c>
      <c r="U28" s="27" t="s">
        <v>193</v>
      </c>
      <c r="V28" s="19" t="s">
        <v>51</v>
      </c>
      <c r="W28" s="20">
        <v>45680</v>
      </c>
      <c r="X28" s="22"/>
      <c r="Y28" s="19" t="s">
        <v>52</v>
      </c>
      <c r="Z28" s="19" t="s">
        <v>52</v>
      </c>
      <c r="AA28" s="19" t="s">
        <v>52</v>
      </c>
      <c r="AB28" s="28"/>
      <c r="AC28" s="90"/>
    </row>
    <row r="29" spans="1:33" s="29" customFormat="1" ht="15" customHeight="1" x14ac:dyDescent="0.25">
      <c r="A29" s="14">
        <v>3</v>
      </c>
      <c r="B29" s="15">
        <v>45710</v>
      </c>
      <c r="C29" s="15">
        <f t="shared" si="19"/>
        <v>45718</v>
      </c>
      <c r="D29" s="14">
        <v>12114</v>
      </c>
      <c r="E29" s="16" t="s">
        <v>287</v>
      </c>
      <c r="F29" s="40" t="s">
        <v>288</v>
      </c>
      <c r="G29" s="17" t="s">
        <v>102</v>
      </c>
      <c r="H29" s="18" t="s">
        <v>62</v>
      </c>
      <c r="I29" s="19" t="s">
        <v>63</v>
      </c>
      <c r="J29" s="20">
        <v>45617</v>
      </c>
      <c r="K29" s="20">
        <v>45646</v>
      </c>
      <c r="L29" s="21">
        <v>1000000</v>
      </c>
      <c r="M29" s="22">
        <f t="shared" si="14"/>
        <v>840000</v>
      </c>
      <c r="N29" s="23">
        <v>756000</v>
      </c>
      <c r="O29" s="23">
        <v>84000</v>
      </c>
      <c r="P29" s="78">
        <f>L29-N29</f>
        <v>244000</v>
      </c>
      <c r="Q29" s="25">
        <v>84000</v>
      </c>
      <c r="R29" s="79">
        <v>84000</v>
      </c>
      <c r="S29" s="91">
        <f t="shared" si="15"/>
        <v>2.9047619047619047</v>
      </c>
      <c r="T29" s="91">
        <f t="shared" si="16"/>
        <v>1</v>
      </c>
      <c r="U29" s="80" t="s">
        <v>192</v>
      </c>
      <c r="V29" s="19" t="s">
        <v>51</v>
      </c>
      <c r="W29" s="20">
        <v>45638</v>
      </c>
      <c r="X29" s="22"/>
      <c r="Y29" s="19" t="s">
        <v>52</v>
      </c>
      <c r="Z29" s="19" t="s">
        <v>52</v>
      </c>
      <c r="AA29" s="19" t="s">
        <v>52</v>
      </c>
      <c r="AB29" s="28"/>
    </row>
    <row r="30" spans="1:33" s="29" customFormat="1" ht="15" customHeight="1" x14ac:dyDescent="0.25">
      <c r="A30" s="14">
        <v>1</v>
      </c>
      <c r="B30" s="15">
        <v>45710</v>
      </c>
      <c r="C30" s="15">
        <f t="shared" si="19"/>
        <v>45718</v>
      </c>
      <c r="D30" s="14">
        <v>12213</v>
      </c>
      <c r="E30" s="84" t="s">
        <v>238</v>
      </c>
      <c r="F30" s="86" t="s">
        <v>239</v>
      </c>
      <c r="G30" s="87" t="s">
        <v>75</v>
      </c>
      <c r="H30" s="88" t="s">
        <v>57</v>
      </c>
      <c r="I30" s="19" t="s">
        <v>94</v>
      </c>
      <c r="J30" s="20">
        <v>45637</v>
      </c>
      <c r="K30" s="20">
        <v>45665</v>
      </c>
      <c r="L30" s="21">
        <v>300000</v>
      </c>
      <c r="M30" s="22">
        <f t="shared" si="14"/>
        <v>363000</v>
      </c>
      <c r="N30" s="23">
        <v>213000</v>
      </c>
      <c r="O30" s="23">
        <v>150000</v>
      </c>
      <c r="P30" s="78">
        <f>L30-N30</f>
        <v>87000</v>
      </c>
      <c r="Q30" s="25">
        <v>183000</v>
      </c>
      <c r="R30" s="79">
        <v>150000</v>
      </c>
      <c r="S30" s="91">
        <f t="shared" si="15"/>
        <v>0.57999999999999996</v>
      </c>
      <c r="T30" s="91">
        <f t="shared" si="16"/>
        <v>1.22</v>
      </c>
      <c r="U30" s="80" t="s">
        <v>192</v>
      </c>
      <c r="V30" s="19" t="s">
        <v>51</v>
      </c>
      <c r="W30" s="20">
        <v>45393</v>
      </c>
      <c r="X30" s="22"/>
      <c r="Y30" s="19" t="s">
        <v>52</v>
      </c>
      <c r="Z30" s="19" t="s">
        <v>52</v>
      </c>
      <c r="AA30" s="19" t="s">
        <v>52</v>
      </c>
      <c r="AB30" s="28"/>
      <c r="AC30" s="90"/>
    </row>
    <row r="31" spans="1:33" s="29" customFormat="1" ht="15" customHeight="1" x14ac:dyDescent="0.25">
      <c r="A31" s="14">
        <v>1</v>
      </c>
      <c r="B31" s="15">
        <v>45710</v>
      </c>
      <c r="C31" s="15">
        <f t="shared" si="19"/>
        <v>45718</v>
      </c>
      <c r="D31" s="14">
        <v>12211</v>
      </c>
      <c r="E31" s="16" t="s">
        <v>389</v>
      </c>
      <c r="F31" s="17" t="s">
        <v>267</v>
      </c>
      <c r="G31" s="17" t="s">
        <v>102</v>
      </c>
      <c r="H31" s="18" t="s">
        <v>57</v>
      </c>
      <c r="I31" s="19" t="s">
        <v>94</v>
      </c>
      <c r="J31" s="20">
        <v>45638</v>
      </c>
      <c r="K31" s="20">
        <v>45679</v>
      </c>
      <c r="L31" s="21">
        <v>200000</v>
      </c>
      <c r="M31" s="22">
        <f t="shared" si="14"/>
        <v>133000</v>
      </c>
      <c r="N31" s="23">
        <v>100000</v>
      </c>
      <c r="O31" s="23">
        <v>33000</v>
      </c>
      <c r="P31" s="24">
        <f>L31-N31</f>
        <v>100000</v>
      </c>
      <c r="Q31" s="25">
        <v>33000</v>
      </c>
      <c r="R31" s="26">
        <v>50000</v>
      </c>
      <c r="S31" s="91">
        <f t="shared" si="15"/>
        <v>2</v>
      </c>
      <c r="T31" s="91">
        <f t="shared" si="16"/>
        <v>0.66</v>
      </c>
      <c r="U31" s="27" t="s">
        <v>192</v>
      </c>
      <c r="V31" s="19" t="s">
        <v>51</v>
      </c>
      <c r="W31" s="20">
        <v>45673</v>
      </c>
      <c r="X31" s="22"/>
      <c r="Y31" s="19" t="s">
        <v>52</v>
      </c>
      <c r="Z31" s="19" t="s">
        <v>52</v>
      </c>
      <c r="AA31" s="19" t="s">
        <v>52</v>
      </c>
      <c r="AB31" s="28"/>
    </row>
    <row r="32" spans="1:33" s="29" customFormat="1" ht="15" customHeight="1" x14ac:dyDescent="0.25">
      <c r="A32" s="14">
        <v>28</v>
      </c>
      <c r="B32" s="15">
        <v>45710</v>
      </c>
      <c r="C32" s="15">
        <f t="shared" si="19"/>
        <v>45718</v>
      </c>
      <c r="D32" s="14">
        <v>12302</v>
      </c>
      <c r="E32" s="16" t="s">
        <v>436</v>
      </c>
      <c r="F32" s="40" t="s">
        <v>437</v>
      </c>
      <c r="G32" s="17" t="s">
        <v>75</v>
      </c>
      <c r="H32" s="18" t="s">
        <v>57</v>
      </c>
      <c r="I32" s="19" t="s">
        <v>64</v>
      </c>
      <c r="J32" s="20">
        <v>45649</v>
      </c>
      <c r="K32" s="20">
        <v>45660</v>
      </c>
      <c r="L32" s="21">
        <v>450000</v>
      </c>
      <c r="M32" s="22">
        <f t="shared" si="14"/>
        <v>435000</v>
      </c>
      <c r="N32" s="23">
        <v>0</v>
      </c>
      <c r="O32" s="23">
        <v>435000</v>
      </c>
      <c r="P32" s="24">
        <f t="shared" ref="P32" si="20">L32-N32</f>
        <v>450000</v>
      </c>
      <c r="Q32" s="25">
        <v>285000</v>
      </c>
      <c r="R32" s="26">
        <v>150000</v>
      </c>
      <c r="S32" s="91">
        <f t="shared" si="15"/>
        <v>3</v>
      </c>
      <c r="T32" s="91">
        <f t="shared" si="16"/>
        <v>1.9</v>
      </c>
      <c r="U32" s="27" t="s">
        <v>192</v>
      </c>
      <c r="V32" s="19" t="s">
        <v>51</v>
      </c>
      <c r="W32" s="20">
        <v>45672</v>
      </c>
      <c r="X32" s="22"/>
      <c r="Y32" s="19" t="s">
        <v>52</v>
      </c>
      <c r="Z32" s="19" t="s">
        <v>52</v>
      </c>
      <c r="AA32" s="19" t="s">
        <v>52</v>
      </c>
      <c r="AB32" s="28"/>
      <c r="AC32" s="90"/>
    </row>
    <row r="33" spans="1:33" s="29" customFormat="1" ht="15" customHeight="1" x14ac:dyDescent="0.25">
      <c r="A33" s="14">
        <v>7</v>
      </c>
      <c r="B33" s="15">
        <v>45710</v>
      </c>
      <c r="C33" s="15">
        <f t="shared" ref="C33" si="21">B33+8</f>
        <v>45718</v>
      </c>
      <c r="D33" s="14">
        <v>12319</v>
      </c>
      <c r="E33" s="84" t="s">
        <v>303</v>
      </c>
      <c r="F33" s="86" t="s">
        <v>304</v>
      </c>
      <c r="G33" s="87" t="s">
        <v>75</v>
      </c>
      <c r="H33" s="88" t="s">
        <v>440</v>
      </c>
      <c r="I33" s="19" t="s">
        <v>64</v>
      </c>
      <c r="J33" s="20">
        <v>45653</v>
      </c>
      <c r="K33" s="20">
        <v>45680</v>
      </c>
      <c r="L33" s="21">
        <v>1000000</v>
      </c>
      <c r="M33" s="22">
        <f t="shared" si="14"/>
        <v>495000</v>
      </c>
      <c r="N33" s="23">
        <v>300000</v>
      </c>
      <c r="O33" s="23">
        <v>195000</v>
      </c>
      <c r="P33" s="24">
        <f t="shared" ref="P33" si="22">L33-N33</f>
        <v>700000</v>
      </c>
      <c r="Q33" s="25">
        <v>145000</v>
      </c>
      <c r="R33" s="26">
        <v>48000</v>
      </c>
      <c r="S33" s="91">
        <f t="shared" si="15"/>
        <v>14.583333333333334</v>
      </c>
      <c r="T33" s="91">
        <f t="shared" si="16"/>
        <v>3.0208333333333335</v>
      </c>
      <c r="U33" s="27" t="s">
        <v>192</v>
      </c>
      <c r="V33" s="19" t="s">
        <v>51</v>
      </c>
      <c r="W33" s="20">
        <v>45680</v>
      </c>
      <c r="X33" s="22"/>
      <c r="Y33" s="19" t="s">
        <v>52</v>
      </c>
      <c r="Z33" s="19" t="s">
        <v>52</v>
      </c>
      <c r="AA33" s="19" t="s">
        <v>52</v>
      </c>
      <c r="AB33" s="28"/>
      <c r="AC33" s="90"/>
    </row>
    <row r="34" spans="1:33" s="29" customFormat="1" ht="15" customHeight="1" x14ac:dyDescent="0.25">
      <c r="A34" s="14">
        <v>20</v>
      </c>
      <c r="B34" s="15">
        <v>45710</v>
      </c>
      <c r="C34" s="15">
        <f t="shared" ref="C34" si="23">B34+8</f>
        <v>45718</v>
      </c>
      <c r="D34" s="14">
        <v>12284</v>
      </c>
      <c r="E34" s="84" t="s">
        <v>432</v>
      </c>
      <c r="F34" s="86" t="s">
        <v>433</v>
      </c>
      <c r="G34" s="87" t="s">
        <v>75</v>
      </c>
      <c r="H34" s="88" t="s">
        <v>113</v>
      </c>
      <c r="I34" s="19" t="s">
        <v>362</v>
      </c>
      <c r="J34" s="20">
        <v>45644</v>
      </c>
      <c r="K34" s="20">
        <v>45674</v>
      </c>
      <c r="L34" s="21">
        <v>102000</v>
      </c>
      <c r="M34" s="22">
        <f t="shared" si="14"/>
        <v>102000</v>
      </c>
      <c r="N34" s="23">
        <v>66000</v>
      </c>
      <c r="O34" s="23">
        <v>36000</v>
      </c>
      <c r="P34" s="24">
        <f>L34-N34</f>
        <v>36000</v>
      </c>
      <c r="Q34" s="25">
        <v>36000</v>
      </c>
      <c r="R34" s="26">
        <v>144000</v>
      </c>
      <c r="S34" s="91">
        <f t="shared" si="15"/>
        <v>0.25</v>
      </c>
      <c r="T34" s="91">
        <f t="shared" si="16"/>
        <v>0.25</v>
      </c>
      <c r="U34" s="27" t="s">
        <v>192</v>
      </c>
      <c r="V34" s="19" t="s">
        <v>51</v>
      </c>
      <c r="W34" s="20">
        <v>45705</v>
      </c>
      <c r="X34" s="22"/>
      <c r="Y34" s="19" t="s">
        <v>52</v>
      </c>
      <c r="Z34" s="19" t="s">
        <v>52</v>
      </c>
      <c r="AA34" s="19" t="s">
        <v>52</v>
      </c>
      <c r="AB34" s="28"/>
      <c r="AC34" s="90"/>
    </row>
    <row r="35" spans="1:33" s="29" customFormat="1" ht="15" customHeight="1" x14ac:dyDescent="0.25">
      <c r="A35" s="14">
        <v>2</v>
      </c>
      <c r="B35" s="15">
        <v>45710</v>
      </c>
      <c r="C35" s="15">
        <f t="shared" ref="C35" si="24">B35+8</f>
        <v>45718</v>
      </c>
      <c r="D35" s="14">
        <v>12440</v>
      </c>
      <c r="E35" s="16" t="s">
        <v>372</v>
      </c>
      <c r="F35" s="17" t="s">
        <v>461</v>
      </c>
      <c r="G35" s="17" t="s">
        <v>102</v>
      </c>
      <c r="H35" s="18" t="s">
        <v>57</v>
      </c>
      <c r="I35" s="19" t="s">
        <v>58</v>
      </c>
      <c r="J35" s="20">
        <v>45679</v>
      </c>
      <c r="K35" s="20">
        <v>45706</v>
      </c>
      <c r="L35" s="21">
        <v>1000000</v>
      </c>
      <c r="M35" s="22">
        <f t="shared" ref="M35" si="25">SUM(N35:O35)</f>
        <v>216000</v>
      </c>
      <c r="N35" s="23">
        <v>144000</v>
      </c>
      <c r="O35" s="23">
        <v>72000</v>
      </c>
      <c r="P35" s="78">
        <f t="shared" ref="P35" si="26">L35-N35</f>
        <v>856000</v>
      </c>
      <c r="Q35" s="25">
        <v>72000</v>
      </c>
      <c r="R35" s="79">
        <v>48000</v>
      </c>
      <c r="S35" s="91">
        <f t="shared" si="15"/>
        <v>17.833333333333332</v>
      </c>
      <c r="T35" s="91">
        <f t="shared" si="16"/>
        <v>1.5</v>
      </c>
      <c r="U35" s="80" t="s">
        <v>192</v>
      </c>
      <c r="V35" s="19" t="s">
        <v>51</v>
      </c>
      <c r="W35" s="20">
        <v>45696</v>
      </c>
      <c r="X35" s="22"/>
      <c r="Y35" s="19" t="s">
        <v>52</v>
      </c>
      <c r="Z35" s="19" t="s">
        <v>52</v>
      </c>
      <c r="AA35" s="19" t="s">
        <v>52</v>
      </c>
      <c r="AB35" s="28"/>
    </row>
    <row r="36" spans="1:33" s="29" customFormat="1" ht="15" customHeight="1" x14ac:dyDescent="0.25">
      <c r="A36" s="14">
        <v>10</v>
      </c>
      <c r="B36" s="15">
        <v>45710</v>
      </c>
      <c r="C36" s="15">
        <f t="shared" ref="C36" si="27">B36+8</f>
        <v>45718</v>
      </c>
      <c r="D36" s="14">
        <v>12511</v>
      </c>
      <c r="E36" s="16" t="s">
        <v>297</v>
      </c>
      <c r="F36" s="17" t="s">
        <v>298</v>
      </c>
      <c r="G36" s="17" t="s">
        <v>102</v>
      </c>
      <c r="H36" s="18" t="s">
        <v>57</v>
      </c>
      <c r="I36" s="19" t="s">
        <v>94</v>
      </c>
      <c r="J36" s="20">
        <v>45688</v>
      </c>
      <c r="K36" s="20">
        <v>45723</v>
      </c>
      <c r="L36" s="21">
        <v>800000</v>
      </c>
      <c r="M36" s="22">
        <f t="shared" ref="M36" si="28">SUM(N36:O36)</f>
        <v>300000</v>
      </c>
      <c r="N36" s="23">
        <v>0</v>
      </c>
      <c r="O36" s="23">
        <v>300000</v>
      </c>
      <c r="P36" s="24">
        <f>L36-N36</f>
        <v>800000</v>
      </c>
      <c r="Q36" s="25">
        <v>60000</v>
      </c>
      <c r="R36" s="26">
        <v>30000</v>
      </c>
      <c r="S36" s="91">
        <f t="shared" si="15"/>
        <v>26.666666666666668</v>
      </c>
      <c r="T36" s="91">
        <f t="shared" si="16"/>
        <v>2</v>
      </c>
      <c r="U36" s="27" t="s">
        <v>192</v>
      </c>
      <c r="V36" s="19" t="s">
        <v>51</v>
      </c>
      <c r="W36" s="20">
        <v>45705</v>
      </c>
      <c r="X36" s="22"/>
      <c r="Y36" s="19" t="s">
        <v>52</v>
      </c>
      <c r="Z36" s="19" t="s">
        <v>52</v>
      </c>
      <c r="AA36" s="19" t="s">
        <v>52</v>
      </c>
      <c r="AB36" s="28"/>
    </row>
    <row r="37" spans="1:33" ht="15" customHeight="1" x14ac:dyDescent="0.25">
      <c r="A37" s="33" t="s">
        <v>71</v>
      </c>
      <c r="B37" s="34"/>
      <c r="C37" s="34"/>
      <c r="D37" s="34"/>
      <c r="E37" s="34"/>
      <c r="F37" s="35"/>
      <c r="G37" s="35"/>
      <c r="H37" s="34"/>
      <c r="I37" s="34"/>
      <c r="J37" s="34"/>
      <c r="K37" s="34"/>
      <c r="L37" s="36"/>
      <c r="M37" s="36"/>
      <c r="N37" s="36"/>
      <c r="O37" s="36"/>
      <c r="P37" s="36"/>
      <c r="Q37" s="36">
        <f>SUM(Q24:Q36)</f>
        <v>1734000</v>
      </c>
      <c r="R37" s="36"/>
      <c r="S37" s="92"/>
      <c r="T37" s="93">
        <f>SUM(T24:T36)</f>
        <v>26.232499999999998</v>
      </c>
      <c r="U37" s="37"/>
      <c r="V37" s="38"/>
      <c r="W37" s="38"/>
      <c r="X37" s="38"/>
      <c r="Y37" s="34"/>
      <c r="Z37" s="34"/>
      <c r="AA37" s="39"/>
      <c r="AB37" s="29" t="s">
        <v>488</v>
      </c>
      <c r="AC37" s="81" t="s">
        <v>500</v>
      </c>
      <c r="AD37" s="83">
        <v>5000</v>
      </c>
      <c r="AF37" s="83">
        <v>0</v>
      </c>
      <c r="AG37" s="83">
        <f>SUM(AD37,AF37)</f>
        <v>5000</v>
      </c>
    </row>
    <row r="38" spans="1:33" s="29" customFormat="1" ht="15" customHeight="1" x14ac:dyDescent="0.25">
      <c r="A38" s="14">
        <v>18</v>
      </c>
      <c r="B38" s="15">
        <v>45710</v>
      </c>
      <c r="C38" s="15">
        <f t="shared" ref="C38:C44" si="29">B38+8</f>
        <v>45718</v>
      </c>
      <c r="D38" s="14">
        <v>11605</v>
      </c>
      <c r="E38" s="16" t="s">
        <v>355</v>
      </c>
      <c r="F38" s="17" t="s">
        <v>356</v>
      </c>
      <c r="G38" s="17" t="s">
        <v>132</v>
      </c>
      <c r="H38" s="18" t="s">
        <v>78</v>
      </c>
      <c r="I38" s="19" t="s">
        <v>79</v>
      </c>
      <c r="J38" s="20">
        <v>45534</v>
      </c>
      <c r="K38" s="20">
        <v>45568</v>
      </c>
      <c r="L38" s="21">
        <v>35000</v>
      </c>
      <c r="M38" s="22">
        <f>SUM(N38:O38)</f>
        <v>42230</v>
      </c>
      <c r="N38" s="23">
        <v>0</v>
      </c>
      <c r="O38" s="23">
        <v>42230</v>
      </c>
      <c r="P38" s="24">
        <f t="shared" ref="P38:P43" si="30">L38-N38</f>
        <v>35000</v>
      </c>
      <c r="Q38" s="25">
        <v>34430</v>
      </c>
      <c r="R38" s="26">
        <v>232443</v>
      </c>
      <c r="S38" s="91">
        <f t="shared" ref="S38:S44" si="31">IF(P38&gt;0,P38/$R38,0)</f>
        <v>0.15057454945943738</v>
      </c>
      <c r="T38" s="91">
        <f t="shared" ref="T38:T44" si="32">IF(Q38&gt;0,Q38/$R38,0)</f>
        <v>0.14812233536824082</v>
      </c>
      <c r="U38" s="27" t="s">
        <v>56</v>
      </c>
      <c r="V38" s="19" t="s">
        <v>51</v>
      </c>
      <c r="W38" s="20">
        <v>45675</v>
      </c>
      <c r="X38" s="22"/>
      <c r="Y38" s="19" t="s">
        <v>52</v>
      </c>
      <c r="Z38" s="19" t="s">
        <v>52</v>
      </c>
      <c r="AA38" s="19" t="s">
        <v>52</v>
      </c>
      <c r="AB38" s="28"/>
    </row>
    <row r="39" spans="1:33" s="29" customFormat="1" ht="15" customHeight="1" x14ac:dyDescent="0.25">
      <c r="A39" s="14">
        <v>12</v>
      </c>
      <c r="B39" s="15">
        <v>45710</v>
      </c>
      <c r="C39" s="15">
        <f t="shared" si="29"/>
        <v>45718</v>
      </c>
      <c r="D39" s="14">
        <v>12287</v>
      </c>
      <c r="E39" s="84" t="s">
        <v>95</v>
      </c>
      <c r="F39" s="87" t="s">
        <v>96</v>
      </c>
      <c r="G39" s="87" t="s">
        <v>75</v>
      </c>
      <c r="H39" s="88" t="s">
        <v>54</v>
      </c>
      <c r="I39" s="19" t="s">
        <v>86</v>
      </c>
      <c r="J39" s="20">
        <v>45645</v>
      </c>
      <c r="K39" s="20">
        <v>45680</v>
      </c>
      <c r="L39" s="21">
        <v>2000000</v>
      </c>
      <c r="M39" s="22">
        <f>SUM(N39:O39)</f>
        <v>360000</v>
      </c>
      <c r="N39" s="23">
        <v>0</v>
      </c>
      <c r="O39" s="23">
        <v>360000</v>
      </c>
      <c r="P39" s="24">
        <f t="shared" si="30"/>
        <v>2000000</v>
      </c>
      <c r="Q39" s="25">
        <v>360000</v>
      </c>
      <c r="R39" s="26">
        <v>126000</v>
      </c>
      <c r="S39" s="91">
        <f t="shared" si="31"/>
        <v>15.873015873015873</v>
      </c>
      <c r="T39" s="91">
        <f t="shared" si="32"/>
        <v>2.8571428571428572</v>
      </c>
      <c r="U39" s="27" t="s">
        <v>56</v>
      </c>
      <c r="V39" s="19" t="s">
        <v>51</v>
      </c>
      <c r="W39" s="20">
        <v>45700</v>
      </c>
      <c r="X39" s="22"/>
      <c r="Y39" s="19" t="s">
        <v>52</v>
      </c>
      <c r="Z39" s="19" t="s">
        <v>52</v>
      </c>
      <c r="AA39" s="19" t="s">
        <v>52</v>
      </c>
      <c r="AB39" s="28"/>
      <c r="AC39" s="90"/>
    </row>
    <row r="40" spans="1:33" s="29" customFormat="1" ht="15" customHeight="1" x14ac:dyDescent="0.25">
      <c r="A40" s="14">
        <v>10</v>
      </c>
      <c r="B40" s="15">
        <v>45710</v>
      </c>
      <c r="C40" s="15">
        <f t="shared" si="29"/>
        <v>45718</v>
      </c>
      <c r="D40" s="14">
        <v>12361</v>
      </c>
      <c r="E40" s="16" t="s">
        <v>320</v>
      </c>
      <c r="F40" s="40" t="s">
        <v>321</v>
      </c>
      <c r="G40" s="17" t="s">
        <v>75</v>
      </c>
      <c r="H40" s="18" t="s">
        <v>133</v>
      </c>
      <c r="I40" s="19" t="s">
        <v>198</v>
      </c>
      <c r="J40" s="20">
        <v>45664</v>
      </c>
      <c r="K40" s="20">
        <v>45691</v>
      </c>
      <c r="L40" s="21">
        <v>125000</v>
      </c>
      <c r="M40" s="22">
        <f>SUM(N40:O40)</f>
        <v>142000</v>
      </c>
      <c r="N40" s="23">
        <v>72000</v>
      </c>
      <c r="O40" s="23">
        <v>70000</v>
      </c>
      <c r="P40" s="24">
        <f t="shared" si="30"/>
        <v>53000</v>
      </c>
      <c r="Q40" s="25">
        <v>70000</v>
      </c>
      <c r="R40" s="26">
        <v>72000</v>
      </c>
      <c r="S40" s="91">
        <f t="shared" si="31"/>
        <v>0.73611111111111116</v>
      </c>
      <c r="T40" s="91">
        <f t="shared" si="32"/>
        <v>0.97222222222222221</v>
      </c>
      <c r="U40" s="27" t="s">
        <v>56</v>
      </c>
      <c r="V40" s="19" t="s">
        <v>51</v>
      </c>
      <c r="W40" s="20">
        <v>45702</v>
      </c>
      <c r="X40" s="22"/>
      <c r="Y40" s="19" t="s">
        <v>52</v>
      </c>
      <c r="Z40" s="19" t="s">
        <v>52</v>
      </c>
      <c r="AA40" s="19" t="s">
        <v>52</v>
      </c>
      <c r="AB40" s="28"/>
      <c r="AC40" s="90"/>
    </row>
    <row r="41" spans="1:33" s="29" customFormat="1" ht="15" customHeight="1" x14ac:dyDescent="0.25">
      <c r="A41" s="14">
        <v>5</v>
      </c>
      <c r="B41" s="15">
        <v>45710</v>
      </c>
      <c r="C41" s="15">
        <f t="shared" si="29"/>
        <v>45718</v>
      </c>
      <c r="D41" s="14">
        <v>12442</v>
      </c>
      <c r="E41" s="16" t="s">
        <v>459</v>
      </c>
      <c r="F41" s="40" t="s">
        <v>460</v>
      </c>
      <c r="G41" s="17" t="s">
        <v>75</v>
      </c>
      <c r="H41" s="18" t="s">
        <v>78</v>
      </c>
      <c r="I41" s="19" t="s">
        <v>79</v>
      </c>
      <c r="J41" s="20">
        <v>45678</v>
      </c>
      <c r="K41" s="20">
        <v>45713</v>
      </c>
      <c r="L41" s="21">
        <v>450000</v>
      </c>
      <c r="M41" s="22">
        <f>SUM(N41:O41)</f>
        <v>291000</v>
      </c>
      <c r="N41" s="23">
        <v>171000</v>
      </c>
      <c r="O41" s="23">
        <v>120000</v>
      </c>
      <c r="P41" s="24">
        <f t="shared" si="30"/>
        <v>279000</v>
      </c>
      <c r="Q41" s="25">
        <v>120000</v>
      </c>
      <c r="R41" s="26">
        <v>96000</v>
      </c>
      <c r="S41" s="91">
        <f t="shared" si="31"/>
        <v>2.90625</v>
      </c>
      <c r="T41" s="91">
        <f t="shared" si="32"/>
        <v>1.25</v>
      </c>
      <c r="U41" s="27" t="s">
        <v>56</v>
      </c>
      <c r="V41" s="19" t="s">
        <v>51</v>
      </c>
      <c r="W41" s="20">
        <v>45699</v>
      </c>
      <c r="X41" s="22"/>
      <c r="Y41" s="19" t="s">
        <v>52</v>
      </c>
      <c r="Z41" s="19" t="s">
        <v>52</v>
      </c>
      <c r="AA41" s="19" t="s">
        <v>52</v>
      </c>
      <c r="AB41" s="28"/>
      <c r="AC41" s="90"/>
    </row>
    <row r="42" spans="1:33" s="29" customFormat="1" ht="15" customHeight="1" x14ac:dyDescent="0.25">
      <c r="A42" s="14">
        <v>4</v>
      </c>
      <c r="B42" s="15">
        <v>45710</v>
      </c>
      <c r="C42" s="15">
        <f t="shared" si="29"/>
        <v>45718</v>
      </c>
      <c r="D42" s="14">
        <v>12499</v>
      </c>
      <c r="E42" s="16" t="s">
        <v>380</v>
      </c>
      <c r="F42" s="40" t="s">
        <v>381</v>
      </c>
      <c r="G42" s="17" t="s">
        <v>75</v>
      </c>
      <c r="H42" s="18" t="s">
        <v>78</v>
      </c>
      <c r="I42" s="19" t="s">
        <v>79</v>
      </c>
      <c r="J42" s="20">
        <v>45687</v>
      </c>
      <c r="K42" s="20">
        <v>45708</v>
      </c>
      <c r="L42" s="21">
        <v>2000000</v>
      </c>
      <c r="M42" s="22">
        <f>SUM(N42:O42)</f>
        <v>360000</v>
      </c>
      <c r="N42" s="23">
        <v>0</v>
      </c>
      <c r="O42" s="23">
        <v>360000</v>
      </c>
      <c r="P42" s="24">
        <f t="shared" si="30"/>
        <v>2000000</v>
      </c>
      <c r="Q42" s="25">
        <v>360000</v>
      </c>
      <c r="R42" s="26">
        <v>105000</v>
      </c>
      <c r="S42" s="91">
        <f t="shared" si="31"/>
        <v>19.047619047619047</v>
      </c>
      <c r="T42" s="91">
        <f t="shared" si="32"/>
        <v>3.4285714285714284</v>
      </c>
      <c r="U42" s="27" t="s">
        <v>56</v>
      </c>
      <c r="V42" s="19" t="s">
        <v>51</v>
      </c>
      <c r="W42" s="20">
        <v>45705</v>
      </c>
      <c r="X42" s="22"/>
      <c r="Y42" s="19" t="s">
        <v>52</v>
      </c>
      <c r="Z42" s="19" t="s">
        <v>52</v>
      </c>
      <c r="AA42" s="19" t="s">
        <v>52</v>
      </c>
      <c r="AB42" s="28"/>
      <c r="AC42" s="90"/>
    </row>
    <row r="43" spans="1:33" s="29" customFormat="1" ht="15" customHeight="1" x14ac:dyDescent="0.25">
      <c r="A43" s="14">
        <v>46</v>
      </c>
      <c r="B43" s="15">
        <v>45710</v>
      </c>
      <c r="C43" s="15">
        <f t="shared" si="29"/>
        <v>45718</v>
      </c>
      <c r="D43" s="14">
        <v>12496</v>
      </c>
      <c r="E43" s="16" t="s">
        <v>422</v>
      </c>
      <c r="F43" s="40" t="s">
        <v>476</v>
      </c>
      <c r="G43" s="17" t="s">
        <v>75</v>
      </c>
      <c r="H43" s="18" t="s">
        <v>78</v>
      </c>
      <c r="I43" s="19" t="s">
        <v>79</v>
      </c>
      <c r="J43" s="20">
        <v>45691</v>
      </c>
      <c r="K43" s="20">
        <v>45736</v>
      </c>
      <c r="L43" s="21">
        <v>750000</v>
      </c>
      <c r="M43" s="22">
        <f t="shared" ref="M43" si="33">SUM(N43:O43)</f>
        <v>150000</v>
      </c>
      <c r="N43" s="23">
        <v>0</v>
      </c>
      <c r="O43" s="23">
        <v>150000</v>
      </c>
      <c r="P43" s="24">
        <f t="shared" si="30"/>
        <v>750000</v>
      </c>
      <c r="Q43" s="25">
        <v>150000</v>
      </c>
      <c r="R43" s="26">
        <v>210000</v>
      </c>
      <c r="S43" s="91">
        <f t="shared" si="31"/>
        <v>3.5714285714285716</v>
      </c>
      <c r="T43" s="91">
        <f t="shared" si="32"/>
        <v>0.7142857142857143</v>
      </c>
      <c r="U43" s="27" t="s">
        <v>56</v>
      </c>
      <c r="V43" s="19" t="s">
        <v>51</v>
      </c>
      <c r="W43" s="20">
        <v>45704</v>
      </c>
      <c r="X43" s="22"/>
      <c r="Y43" s="19" t="s">
        <v>52</v>
      </c>
      <c r="Z43" s="19" t="s">
        <v>52</v>
      </c>
      <c r="AA43" s="19" t="s">
        <v>52</v>
      </c>
      <c r="AB43" s="28"/>
      <c r="AC43" s="90"/>
    </row>
    <row r="44" spans="1:33" s="29" customFormat="1" ht="15" customHeight="1" x14ac:dyDescent="0.25">
      <c r="A44" s="14">
        <v>19</v>
      </c>
      <c r="B44" s="15">
        <v>45710</v>
      </c>
      <c r="C44" s="15">
        <f t="shared" si="29"/>
        <v>45718</v>
      </c>
      <c r="D44" s="14">
        <v>12472</v>
      </c>
      <c r="E44" s="16" t="s">
        <v>299</v>
      </c>
      <c r="F44" s="17" t="s">
        <v>373</v>
      </c>
      <c r="G44" s="17" t="s">
        <v>132</v>
      </c>
      <c r="H44" s="18" t="s">
        <v>133</v>
      </c>
      <c r="I44" s="19" t="s">
        <v>198</v>
      </c>
      <c r="J44" s="20">
        <v>45686</v>
      </c>
      <c r="K44" s="20">
        <v>45740</v>
      </c>
      <c r="L44" s="21">
        <v>200000</v>
      </c>
      <c r="M44" s="22">
        <f>SUM(N44:O44)</f>
        <v>204000</v>
      </c>
      <c r="N44" s="23">
        <v>0</v>
      </c>
      <c r="O44" s="23">
        <v>204000</v>
      </c>
      <c r="P44" s="24">
        <f t="shared" ref="P44" si="34">L44-N44</f>
        <v>200000</v>
      </c>
      <c r="Q44" s="25">
        <v>204000</v>
      </c>
      <c r="R44" s="26">
        <v>128000</v>
      </c>
      <c r="S44" s="91">
        <f t="shared" si="31"/>
        <v>1.5625</v>
      </c>
      <c r="T44" s="91">
        <f t="shared" si="32"/>
        <v>1.59375</v>
      </c>
      <c r="U44" s="27" t="s">
        <v>56</v>
      </c>
      <c r="V44" s="19" t="s">
        <v>51</v>
      </c>
      <c r="W44" s="20">
        <v>45705</v>
      </c>
      <c r="X44" s="22"/>
      <c r="Y44" s="19" t="s">
        <v>52</v>
      </c>
      <c r="Z44" s="19" t="s">
        <v>52</v>
      </c>
      <c r="AA44" s="19" t="s">
        <v>52</v>
      </c>
      <c r="AB44" s="28"/>
    </row>
    <row r="45" spans="1:33" ht="15" customHeight="1" x14ac:dyDescent="0.25">
      <c r="A45" s="33" t="s">
        <v>71</v>
      </c>
      <c r="B45" s="34"/>
      <c r="C45" s="34"/>
      <c r="D45" s="34"/>
      <c r="E45" s="34"/>
      <c r="F45" s="35"/>
      <c r="G45" s="35"/>
      <c r="H45" s="34"/>
      <c r="I45" s="34"/>
      <c r="J45" s="34"/>
      <c r="K45" s="34"/>
      <c r="L45" s="36"/>
      <c r="M45" s="36"/>
      <c r="N45" s="36"/>
      <c r="O45" s="36"/>
      <c r="P45" s="36"/>
      <c r="Q45" s="36">
        <f>SUM(Q38:Q44)</f>
        <v>1298430</v>
      </c>
      <c r="R45" s="36"/>
      <c r="S45" s="92"/>
      <c r="T45" s="93">
        <f>SUM(T38:T44)</f>
        <v>10.964094557590462</v>
      </c>
      <c r="U45" s="37"/>
      <c r="V45" s="38"/>
      <c r="W45" s="38"/>
      <c r="X45" s="38"/>
      <c r="Y45" s="34"/>
      <c r="Z45" s="34"/>
      <c r="AA45" s="39"/>
      <c r="AB45" s="29" t="s">
        <v>489</v>
      </c>
      <c r="AC45" s="81" t="s">
        <v>546</v>
      </c>
      <c r="AD45" s="83">
        <v>2916.67</v>
      </c>
      <c r="AF45" s="83">
        <v>0</v>
      </c>
      <c r="AG45" s="83">
        <f>SUM(AD45,AF45)</f>
        <v>2916.67</v>
      </c>
    </row>
    <row r="46" spans="1:33" s="29" customFormat="1" ht="15" customHeight="1" x14ac:dyDescent="0.25">
      <c r="A46" s="14">
        <v>16</v>
      </c>
      <c r="B46" s="15">
        <v>45713</v>
      </c>
      <c r="C46" s="15">
        <f t="shared" ref="C46:C50" si="35">B46+8</f>
        <v>45721</v>
      </c>
      <c r="D46" s="14">
        <v>12265</v>
      </c>
      <c r="E46" s="16" t="s">
        <v>430</v>
      </c>
      <c r="F46" s="40" t="s">
        <v>431</v>
      </c>
      <c r="G46" s="17" t="s">
        <v>75</v>
      </c>
      <c r="H46" s="18" t="s">
        <v>257</v>
      </c>
      <c r="I46" s="19" t="s">
        <v>70</v>
      </c>
      <c r="J46" s="20">
        <v>45643</v>
      </c>
      <c r="K46" s="20">
        <v>45670</v>
      </c>
      <c r="L46" s="21">
        <v>2000000</v>
      </c>
      <c r="M46" s="22">
        <f t="shared" ref="M46:M50" si="36">SUM(N46:O46)</f>
        <v>477000</v>
      </c>
      <c r="N46" s="23">
        <v>27000</v>
      </c>
      <c r="O46" s="23">
        <v>450000</v>
      </c>
      <c r="P46" s="24">
        <f t="shared" ref="P46:P50" si="37">L46-N46</f>
        <v>1973000</v>
      </c>
      <c r="Q46" s="25">
        <v>450000</v>
      </c>
      <c r="R46" s="26">
        <v>150000</v>
      </c>
      <c r="S46" s="91">
        <f t="shared" ref="S46:S50" si="38">IF(P46&gt;0,P46/$R46,0)</f>
        <v>13.153333333333334</v>
      </c>
      <c r="T46" s="91">
        <f t="shared" ref="T46:T50" si="39">IF(Q46&gt;0,Q46/$R46,0)</f>
        <v>3</v>
      </c>
      <c r="U46" s="27" t="s">
        <v>192</v>
      </c>
      <c r="V46" s="19" t="s">
        <v>51</v>
      </c>
      <c r="W46" s="20">
        <v>45684</v>
      </c>
      <c r="X46" s="22"/>
      <c r="Y46" s="19" t="s">
        <v>52</v>
      </c>
      <c r="Z46" s="19" t="s">
        <v>52</v>
      </c>
      <c r="AA46" s="19" t="s">
        <v>52</v>
      </c>
      <c r="AB46" s="28"/>
      <c r="AC46" s="90"/>
    </row>
    <row r="47" spans="1:33" s="29" customFormat="1" ht="15" customHeight="1" x14ac:dyDescent="0.25">
      <c r="A47" s="14">
        <v>2</v>
      </c>
      <c r="B47" s="15">
        <v>45713</v>
      </c>
      <c r="C47" s="15">
        <f>B47+8</f>
        <v>45721</v>
      </c>
      <c r="D47" s="14">
        <v>12440</v>
      </c>
      <c r="E47" s="16" t="s">
        <v>372</v>
      </c>
      <c r="F47" s="17" t="s">
        <v>461</v>
      </c>
      <c r="G47" s="17" t="s">
        <v>102</v>
      </c>
      <c r="H47" s="18" t="s">
        <v>57</v>
      </c>
      <c r="I47" s="19" t="s">
        <v>58</v>
      </c>
      <c r="J47" s="20">
        <v>45679</v>
      </c>
      <c r="K47" s="20">
        <v>45706</v>
      </c>
      <c r="L47" s="21">
        <v>1000000</v>
      </c>
      <c r="M47" s="22">
        <f>SUM(N47:O47)</f>
        <v>396000</v>
      </c>
      <c r="N47" s="23">
        <v>288000</v>
      </c>
      <c r="O47" s="23">
        <v>108000</v>
      </c>
      <c r="P47" s="24">
        <f>L47-N47</f>
        <v>712000</v>
      </c>
      <c r="Q47" s="25">
        <v>108000</v>
      </c>
      <c r="R47" s="26">
        <v>48000</v>
      </c>
      <c r="S47" s="91">
        <f t="shared" si="38"/>
        <v>14.833333333333334</v>
      </c>
      <c r="T47" s="91">
        <f t="shared" si="39"/>
        <v>2.25</v>
      </c>
      <c r="U47" s="27" t="s">
        <v>192</v>
      </c>
      <c r="V47" s="19" t="s">
        <v>51</v>
      </c>
      <c r="W47" s="20">
        <v>45696</v>
      </c>
      <c r="X47" s="22"/>
      <c r="Y47" s="19" t="s">
        <v>52</v>
      </c>
      <c r="Z47" s="19" t="s">
        <v>52</v>
      </c>
      <c r="AA47" s="19" t="s">
        <v>52</v>
      </c>
      <c r="AB47" s="28"/>
    </row>
    <row r="48" spans="1:33" s="29" customFormat="1" ht="15" customHeight="1" x14ac:dyDescent="0.25">
      <c r="A48" s="14">
        <v>3</v>
      </c>
      <c r="B48" s="15">
        <v>45713</v>
      </c>
      <c r="C48" s="15">
        <f>B48+8</f>
        <v>45721</v>
      </c>
      <c r="D48" s="14">
        <v>12114</v>
      </c>
      <c r="E48" s="16" t="s">
        <v>287</v>
      </c>
      <c r="F48" s="40" t="s">
        <v>288</v>
      </c>
      <c r="G48" s="17" t="s">
        <v>102</v>
      </c>
      <c r="H48" s="18" t="s">
        <v>62</v>
      </c>
      <c r="I48" s="19" t="s">
        <v>63</v>
      </c>
      <c r="J48" s="20">
        <v>45617</v>
      </c>
      <c r="K48" s="20">
        <v>45646</v>
      </c>
      <c r="L48" s="21">
        <v>1000000</v>
      </c>
      <c r="M48" s="22">
        <f>SUM(N48:O48)</f>
        <v>956000</v>
      </c>
      <c r="N48" s="23">
        <v>840000</v>
      </c>
      <c r="O48" s="23">
        <v>116000</v>
      </c>
      <c r="P48" s="24">
        <f>L48-N48</f>
        <v>160000</v>
      </c>
      <c r="Q48" s="25">
        <v>116000</v>
      </c>
      <c r="R48" s="26">
        <v>84000</v>
      </c>
      <c r="S48" s="91">
        <f t="shared" si="38"/>
        <v>1.9047619047619047</v>
      </c>
      <c r="T48" s="91">
        <f t="shared" si="39"/>
        <v>1.3809523809523809</v>
      </c>
      <c r="U48" s="27" t="s">
        <v>193</v>
      </c>
      <c r="V48" s="19" t="s">
        <v>51</v>
      </c>
      <c r="W48" s="20">
        <v>45638</v>
      </c>
      <c r="X48" s="22"/>
      <c r="Y48" s="19" t="s">
        <v>52</v>
      </c>
      <c r="Z48" s="19" t="s">
        <v>52</v>
      </c>
      <c r="AA48" s="19" t="s">
        <v>52</v>
      </c>
      <c r="AB48" s="28"/>
    </row>
    <row r="49" spans="1:33" s="29" customFormat="1" ht="15" customHeight="1" x14ac:dyDescent="0.25">
      <c r="A49" s="14">
        <v>12</v>
      </c>
      <c r="B49" s="15">
        <v>45713</v>
      </c>
      <c r="C49" s="15">
        <f t="shared" si="35"/>
        <v>45721</v>
      </c>
      <c r="D49" s="14">
        <v>12458</v>
      </c>
      <c r="E49" s="16" t="s">
        <v>466</v>
      </c>
      <c r="F49" s="17" t="s">
        <v>467</v>
      </c>
      <c r="G49" s="17" t="s">
        <v>102</v>
      </c>
      <c r="H49" s="18" t="s">
        <v>57</v>
      </c>
      <c r="I49" s="19" t="s">
        <v>58</v>
      </c>
      <c r="J49" s="20">
        <v>45685</v>
      </c>
      <c r="K49" s="20">
        <v>45702</v>
      </c>
      <c r="L49" s="21">
        <v>500000</v>
      </c>
      <c r="M49" s="22">
        <f t="shared" si="36"/>
        <v>485000</v>
      </c>
      <c r="N49" s="23">
        <v>350000</v>
      </c>
      <c r="O49" s="23">
        <v>135000</v>
      </c>
      <c r="P49" s="24">
        <f t="shared" si="37"/>
        <v>150000</v>
      </c>
      <c r="Q49" s="25">
        <v>135000</v>
      </c>
      <c r="R49" s="26">
        <v>50000</v>
      </c>
      <c r="S49" s="91">
        <f t="shared" si="38"/>
        <v>3</v>
      </c>
      <c r="T49" s="91">
        <f t="shared" si="39"/>
        <v>2.7</v>
      </c>
      <c r="U49" s="27" t="s">
        <v>193</v>
      </c>
      <c r="V49" s="19" t="s">
        <v>51</v>
      </c>
      <c r="W49" s="20">
        <v>45696</v>
      </c>
      <c r="X49" s="22"/>
      <c r="Y49" s="19" t="s">
        <v>52</v>
      </c>
      <c r="Z49" s="19" t="s">
        <v>52</v>
      </c>
      <c r="AA49" s="19" t="s">
        <v>52</v>
      </c>
      <c r="AB49" s="28"/>
    </row>
    <row r="50" spans="1:33" s="29" customFormat="1" ht="15" customHeight="1" x14ac:dyDescent="0.25">
      <c r="A50" s="14">
        <v>9</v>
      </c>
      <c r="B50" s="15">
        <v>45713</v>
      </c>
      <c r="C50" s="15">
        <f t="shared" si="35"/>
        <v>45721</v>
      </c>
      <c r="D50" s="14">
        <v>12464</v>
      </c>
      <c r="E50" s="16" t="s">
        <v>244</v>
      </c>
      <c r="F50" s="17" t="s">
        <v>243</v>
      </c>
      <c r="G50" s="17" t="s">
        <v>102</v>
      </c>
      <c r="H50" s="18" t="s">
        <v>62</v>
      </c>
      <c r="I50" s="19" t="s">
        <v>63</v>
      </c>
      <c r="J50" s="20">
        <v>45681</v>
      </c>
      <c r="K50" s="20">
        <v>45709</v>
      </c>
      <c r="L50" s="21">
        <v>672000</v>
      </c>
      <c r="M50" s="22">
        <f t="shared" si="36"/>
        <v>588000</v>
      </c>
      <c r="N50" s="23">
        <v>504000</v>
      </c>
      <c r="O50" s="23">
        <v>84000</v>
      </c>
      <c r="P50" s="24">
        <f t="shared" si="37"/>
        <v>168000</v>
      </c>
      <c r="Q50" s="25">
        <v>84000</v>
      </c>
      <c r="R50" s="26">
        <v>84000</v>
      </c>
      <c r="S50" s="91">
        <f t="shared" si="38"/>
        <v>2</v>
      </c>
      <c r="T50" s="91">
        <f t="shared" si="39"/>
        <v>1</v>
      </c>
      <c r="U50" s="27" t="s">
        <v>193</v>
      </c>
      <c r="V50" s="19" t="s">
        <v>51</v>
      </c>
      <c r="W50" s="20">
        <v>45696</v>
      </c>
      <c r="X50" s="22"/>
      <c r="Y50" s="19" t="s">
        <v>52</v>
      </c>
      <c r="Z50" s="19" t="s">
        <v>52</v>
      </c>
      <c r="AA50" s="19" t="s">
        <v>52</v>
      </c>
      <c r="AB50" s="28"/>
    </row>
    <row r="51" spans="1:33" ht="15" customHeight="1" x14ac:dyDescent="0.25">
      <c r="A51" s="33" t="s">
        <v>71</v>
      </c>
      <c r="B51" s="34"/>
      <c r="C51" s="34"/>
      <c r="D51" s="34"/>
      <c r="E51" s="34"/>
      <c r="F51" s="35"/>
      <c r="G51" s="35"/>
      <c r="H51" s="34"/>
      <c r="I51" s="34"/>
      <c r="J51" s="34"/>
      <c r="K51" s="34"/>
      <c r="L51" s="36"/>
      <c r="M51" s="36"/>
      <c r="N51" s="36"/>
      <c r="O51" s="36"/>
      <c r="P51" s="36"/>
      <c r="Q51" s="36">
        <f>SUM(Q46:Q50)</f>
        <v>893000</v>
      </c>
      <c r="R51" s="36"/>
      <c r="S51" s="92"/>
      <c r="T51" s="93">
        <f>SUM(T46:T50)</f>
        <v>10.330952380952382</v>
      </c>
      <c r="U51" s="37"/>
      <c r="V51" s="38"/>
      <c r="W51" s="38"/>
      <c r="X51" s="38"/>
      <c r="Y51" s="34"/>
      <c r="Z51" s="34"/>
      <c r="AA51" s="39"/>
      <c r="AB51" s="29" t="s">
        <v>490</v>
      </c>
      <c r="AC51" s="81" t="s">
        <v>512</v>
      </c>
      <c r="AD51" s="83">
        <v>2500</v>
      </c>
      <c r="AF51" s="83">
        <v>0</v>
      </c>
      <c r="AG51" s="83">
        <f>SUM(AD51,AF51)</f>
        <v>2500</v>
      </c>
    </row>
    <row r="52" spans="1:33" s="29" customFormat="1" ht="15" customHeight="1" x14ac:dyDescent="0.25">
      <c r="A52" s="14">
        <v>12</v>
      </c>
      <c r="B52" s="15">
        <v>45713</v>
      </c>
      <c r="C52" s="15">
        <f t="shared" ref="C52:C58" si="40">B52+8</f>
        <v>45721</v>
      </c>
      <c r="D52" s="14">
        <v>12287</v>
      </c>
      <c r="E52" s="84" t="s">
        <v>95</v>
      </c>
      <c r="F52" s="87" t="s">
        <v>96</v>
      </c>
      <c r="G52" s="87" t="s">
        <v>75</v>
      </c>
      <c r="H52" s="88" t="s">
        <v>54</v>
      </c>
      <c r="I52" s="19" t="s">
        <v>86</v>
      </c>
      <c r="J52" s="20">
        <v>45645</v>
      </c>
      <c r="K52" s="20">
        <v>45680</v>
      </c>
      <c r="L52" s="21">
        <v>2000000</v>
      </c>
      <c r="M52" s="22">
        <f t="shared" ref="M52:M58" si="41">SUM(N52:O52)</f>
        <v>774000</v>
      </c>
      <c r="N52" s="23">
        <v>504000</v>
      </c>
      <c r="O52" s="23">
        <v>270000</v>
      </c>
      <c r="P52" s="24">
        <f t="shared" ref="P52:P58" si="42">L52-N52</f>
        <v>1496000</v>
      </c>
      <c r="Q52" s="25">
        <v>270000</v>
      </c>
      <c r="R52" s="26">
        <v>126000</v>
      </c>
      <c r="S52" s="91">
        <f t="shared" ref="S52:S58" si="43">IF(P52&gt;0,P52/$R52,0)</f>
        <v>11.873015873015873</v>
      </c>
      <c r="T52" s="91">
        <f t="shared" ref="T52:T58" si="44">IF(Q52&gt;0,Q52/$R52,0)</f>
        <v>2.1428571428571428</v>
      </c>
      <c r="U52" s="27" t="s">
        <v>56</v>
      </c>
      <c r="V52" s="19" t="s">
        <v>51</v>
      </c>
      <c r="W52" s="20">
        <v>45700</v>
      </c>
      <c r="X52" s="22"/>
      <c r="Y52" s="19" t="s">
        <v>52</v>
      </c>
      <c r="Z52" s="19" t="s">
        <v>52</v>
      </c>
      <c r="AA52" s="19" t="s">
        <v>52</v>
      </c>
      <c r="AB52" s="28"/>
      <c r="AC52" s="90"/>
    </row>
    <row r="53" spans="1:33" s="29" customFormat="1" ht="15" customHeight="1" x14ac:dyDescent="0.25">
      <c r="A53" s="14">
        <v>43</v>
      </c>
      <c r="B53" s="15">
        <v>45713</v>
      </c>
      <c r="C53" s="15">
        <f t="shared" si="40"/>
        <v>45721</v>
      </c>
      <c r="D53" s="14">
        <v>12362</v>
      </c>
      <c r="E53" s="16" t="s">
        <v>199</v>
      </c>
      <c r="F53" s="40" t="s">
        <v>200</v>
      </c>
      <c r="G53" s="17" t="s">
        <v>75</v>
      </c>
      <c r="H53" s="18" t="s">
        <v>133</v>
      </c>
      <c r="I53" s="19" t="s">
        <v>198</v>
      </c>
      <c r="J53" s="20">
        <v>45664</v>
      </c>
      <c r="K53" s="20">
        <v>45726</v>
      </c>
      <c r="L53" s="21">
        <v>150000</v>
      </c>
      <c r="M53" s="22">
        <f t="shared" si="41"/>
        <v>144000</v>
      </c>
      <c r="N53" s="23">
        <v>0</v>
      </c>
      <c r="O53" s="23">
        <v>144000</v>
      </c>
      <c r="P53" s="24">
        <f t="shared" si="42"/>
        <v>150000</v>
      </c>
      <c r="Q53" s="25">
        <v>144000</v>
      </c>
      <c r="R53" s="26">
        <v>60000</v>
      </c>
      <c r="S53" s="91">
        <f t="shared" si="43"/>
        <v>2.5</v>
      </c>
      <c r="T53" s="91">
        <f t="shared" si="44"/>
        <v>2.4</v>
      </c>
      <c r="U53" s="27" t="s">
        <v>56</v>
      </c>
      <c r="V53" s="30" t="s">
        <v>59</v>
      </c>
      <c r="W53" s="31">
        <v>45712</v>
      </c>
      <c r="X53" s="22"/>
      <c r="Y53" s="19" t="s">
        <v>52</v>
      </c>
      <c r="Z53" s="19" t="s">
        <v>52</v>
      </c>
      <c r="AA53" s="19" t="s">
        <v>52</v>
      </c>
      <c r="AB53" s="28"/>
      <c r="AC53" s="90"/>
    </row>
    <row r="54" spans="1:33" s="29" customFormat="1" ht="15" customHeight="1" x14ac:dyDescent="0.25">
      <c r="A54" s="14">
        <v>7</v>
      </c>
      <c r="B54" s="15">
        <v>45713</v>
      </c>
      <c r="C54" s="15">
        <f t="shared" si="40"/>
        <v>45721</v>
      </c>
      <c r="D54" s="14">
        <v>12401</v>
      </c>
      <c r="E54" s="16" t="s">
        <v>158</v>
      </c>
      <c r="F54" s="17" t="s">
        <v>457</v>
      </c>
      <c r="G54" s="17" t="s">
        <v>132</v>
      </c>
      <c r="H54" s="18" t="s">
        <v>54</v>
      </c>
      <c r="I54" s="19" t="s">
        <v>135</v>
      </c>
      <c r="J54" s="20">
        <v>45672</v>
      </c>
      <c r="K54" s="20">
        <v>45716</v>
      </c>
      <c r="L54" s="21">
        <v>283000</v>
      </c>
      <c r="M54" s="22">
        <f t="shared" si="41"/>
        <v>229020</v>
      </c>
      <c r="N54" s="23">
        <v>0</v>
      </c>
      <c r="O54" s="23">
        <v>229020</v>
      </c>
      <c r="P54" s="24">
        <f t="shared" si="42"/>
        <v>283000</v>
      </c>
      <c r="Q54" s="25">
        <v>229020</v>
      </c>
      <c r="R54" s="26">
        <v>57330</v>
      </c>
      <c r="S54" s="91">
        <f t="shared" si="43"/>
        <v>4.9363335077620789</v>
      </c>
      <c r="T54" s="91">
        <f t="shared" si="44"/>
        <v>3.9947671376242804</v>
      </c>
      <c r="U54" s="27" t="s">
        <v>56</v>
      </c>
      <c r="V54" s="19" t="s">
        <v>51</v>
      </c>
      <c r="W54" s="20">
        <v>45699</v>
      </c>
      <c r="X54" s="22"/>
      <c r="Y54" s="19" t="s">
        <v>52</v>
      </c>
      <c r="Z54" s="19" t="s">
        <v>52</v>
      </c>
      <c r="AA54" s="19" t="s">
        <v>52</v>
      </c>
      <c r="AB54" s="28"/>
    </row>
    <row r="55" spans="1:33" s="29" customFormat="1" ht="15" customHeight="1" x14ac:dyDescent="0.25">
      <c r="A55" s="14">
        <v>11</v>
      </c>
      <c r="B55" s="15">
        <v>45713</v>
      </c>
      <c r="C55" s="15">
        <f t="shared" si="40"/>
        <v>45721</v>
      </c>
      <c r="D55" s="14">
        <v>12397</v>
      </c>
      <c r="E55" s="16" t="s">
        <v>147</v>
      </c>
      <c r="F55" s="17" t="s">
        <v>260</v>
      </c>
      <c r="G55" s="17" t="s">
        <v>132</v>
      </c>
      <c r="H55" s="18" t="s">
        <v>54</v>
      </c>
      <c r="I55" s="19" t="s">
        <v>135</v>
      </c>
      <c r="J55" s="20">
        <v>45672</v>
      </c>
      <c r="K55" s="20">
        <v>45716</v>
      </c>
      <c r="L55" s="21">
        <v>75000</v>
      </c>
      <c r="M55" s="22">
        <f t="shared" si="41"/>
        <v>78300</v>
      </c>
      <c r="N55" s="23">
        <v>0</v>
      </c>
      <c r="O55" s="23">
        <v>78300</v>
      </c>
      <c r="P55" s="24">
        <f t="shared" si="42"/>
        <v>75000</v>
      </c>
      <c r="Q55" s="25">
        <v>78290</v>
      </c>
      <c r="R55" s="26">
        <v>57330</v>
      </c>
      <c r="S55" s="91">
        <f t="shared" si="43"/>
        <v>1.3082155939298796</v>
      </c>
      <c r="T55" s="91">
        <f t="shared" si="44"/>
        <v>1.365602651316937</v>
      </c>
      <c r="U55" s="27" t="s">
        <v>56</v>
      </c>
      <c r="V55" s="19" t="s">
        <v>51</v>
      </c>
      <c r="W55" s="20">
        <v>45700</v>
      </c>
      <c r="X55" s="22"/>
      <c r="Y55" s="19" t="s">
        <v>52</v>
      </c>
      <c r="Z55" s="19" t="s">
        <v>52</v>
      </c>
      <c r="AA55" s="19" t="s">
        <v>52</v>
      </c>
      <c r="AB55" s="28"/>
    </row>
    <row r="56" spans="1:33" s="29" customFormat="1" ht="15" customHeight="1" x14ac:dyDescent="0.25">
      <c r="A56" s="14">
        <v>15</v>
      </c>
      <c r="B56" s="15">
        <v>45713</v>
      </c>
      <c r="C56" s="15">
        <f t="shared" si="40"/>
        <v>45721</v>
      </c>
      <c r="D56" s="14">
        <v>12441</v>
      </c>
      <c r="E56" s="16" t="s">
        <v>376</v>
      </c>
      <c r="F56" s="40" t="s">
        <v>371</v>
      </c>
      <c r="G56" s="17" t="s">
        <v>75</v>
      </c>
      <c r="H56" s="18" t="s">
        <v>78</v>
      </c>
      <c r="I56" s="19" t="s">
        <v>79</v>
      </c>
      <c r="J56" s="20">
        <v>45678</v>
      </c>
      <c r="K56" s="20">
        <v>45706</v>
      </c>
      <c r="L56" s="21">
        <v>650000</v>
      </c>
      <c r="M56" s="22">
        <f t="shared" si="41"/>
        <v>315000</v>
      </c>
      <c r="N56" s="23">
        <v>0</v>
      </c>
      <c r="O56" s="23">
        <v>315000</v>
      </c>
      <c r="P56" s="24">
        <f t="shared" si="42"/>
        <v>650000</v>
      </c>
      <c r="Q56" s="25">
        <v>315000</v>
      </c>
      <c r="R56" s="26">
        <v>96000</v>
      </c>
      <c r="S56" s="91">
        <f t="shared" si="43"/>
        <v>6.770833333333333</v>
      </c>
      <c r="T56" s="91">
        <f t="shared" si="44"/>
        <v>3.28125</v>
      </c>
      <c r="U56" s="27" t="s">
        <v>56</v>
      </c>
      <c r="V56" s="19" t="s">
        <v>51</v>
      </c>
      <c r="W56" s="20">
        <v>45704</v>
      </c>
      <c r="X56" s="22"/>
      <c r="Y56" s="19" t="s">
        <v>52</v>
      </c>
      <c r="Z56" s="19" t="s">
        <v>52</v>
      </c>
      <c r="AA56" s="19" t="s">
        <v>52</v>
      </c>
      <c r="AB56" s="42"/>
      <c r="AC56" s="90"/>
    </row>
    <row r="57" spans="1:33" s="29" customFormat="1" ht="15" customHeight="1" x14ac:dyDescent="0.25">
      <c r="A57" s="14">
        <v>4</v>
      </c>
      <c r="B57" s="15">
        <v>45713</v>
      </c>
      <c r="C57" s="15">
        <f t="shared" si="40"/>
        <v>45721</v>
      </c>
      <c r="D57" s="14">
        <v>12499</v>
      </c>
      <c r="E57" s="16" t="s">
        <v>380</v>
      </c>
      <c r="F57" s="40" t="s">
        <v>381</v>
      </c>
      <c r="G57" s="17" t="s">
        <v>75</v>
      </c>
      <c r="H57" s="18" t="s">
        <v>78</v>
      </c>
      <c r="I57" s="19" t="s">
        <v>79</v>
      </c>
      <c r="J57" s="20">
        <v>45687</v>
      </c>
      <c r="K57" s="20">
        <v>45708</v>
      </c>
      <c r="L57" s="21">
        <v>2000000</v>
      </c>
      <c r="M57" s="22">
        <f t="shared" si="41"/>
        <v>1080000</v>
      </c>
      <c r="N57" s="23">
        <v>360000</v>
      </c>
      <c r="O57" s="23">
        <v>720000</v>
      </c>
      <c r="P57" s="24">
        <f t="shared" si="42"/>
        <v>1640000</v>
      </c>
      <c r="Q57" s="25">
        <v>720000</v>
      </c>
      <c r="R57" s="26">
        <v>105000</v>
      </c>
      <c r="S57" s="91">
        <f t="shared" si="43"/>
        <v>15.619047619047619</v>
      </c>
      <c r="T57" s="91">
        <f t="shared" si="44"/>
        <v>6.8571428571428568</v>
      </c>
      <c r="U57" s="27" t="s">
        <v>56</v>
      </c>
      <c r="V57" s="19" t="s">
        <v>51</v>
      </c>
      <c r="W57" s="20">
        <v>45705</v>
      </c>
      <c r="X57" s="22"/>
      <c r="Y57" s="19" t="s">
        <v>52</v>
      </c>
      <c r="Z57" s="19" t="s">
        <v>52</v>
      </c>
      <c r="AA57" s="19" t="s">
        <v>52</v>
      </c>
      <c r="AB57" s="28"/>
      <c r="AC57" s="90"/>
    </row>
    <row r="58" spans="1:33" s="29" customFormat="1" ht="15" customHeight="1" x14ac:dyDescent="0.25">
      <c r="A58" s="14">
        <v>46</v>
      </c>
      <c r="B58" s="15">
        <v>45713</v>
      </c>
      <c r="C58" s="15">
        <f t="shared" si="40"/>
        <v>45721</v>
      </c>
      <c r="D58" s="14">
        <v>12496</v>
      </c>
      <c r="E58" s="16" t="s">
        <v>422</v>
      </c>
      <c r="F58" s="40" t="s">
        <v>476</v>
      </c>
      <c r="G58" s="17" t="s">
        <v>75</v>
      </c>
      <c r="H58" s="18" t="s">
        <v>78</v>
      </c>
      <c r="I58" s="19" t="s">
        <v>79</v>
      </c>
      <c r="J58" s="20">
        <v>45691</v>
      </c>
      <c r="K58" s="20">
        <v>45736</v>
      </c>
      <c r="L58" s="21">
        <v>750000</v>
      </c>
      <c r="M58" s="22">
        <f t="shared" si="41"/>
        <v>300000</v>
      </c>
      <c r="N58" s="23">
        <v>150000</v>
      </c>
      <c r="O58" s="23">
        <v>150000</v>
      </c>
      <c r="P58" s="24">
        <f t="shared" si="42"/>
        <v>600000</v>
      </c>
      <c r="Q58" s="25">
        <v>150000</v>
      </c>
      <c r="R58" s="26">
        <v>210000</v>
      </c>
      <c r="S58" s="91">
        <f t="shared" si="43"/>
        <v>2.8571428571428572</v>
      </c>
      <c r="T58" s="91">
        <f t="shared" si="44"/>
        <v>0.7142857142857143</v>
      </c>
      <c r="U58" s="27" t="s">
        <v>56</v>
      </c>
      <c r="V58" s="19" t="s">
        <v>51</v>
      </c>
      <c r="W58" s="20">
        <v>45704</v>
      </c>
      <c r="X58" s="22"/>
      <c r="Y58" s="19" t="s">
        <v>52</v>
      </c>
      <c r="Z58" s="19" t="s">
        <v>52</v>
      </c>
      <c r="AA58" s="19" t="s">
        <v>52</v>
      </c>
      <c r="AB58" s="28"/>
      <c r="AC58" s="90"/>
    </row>
    <row r="59" spans="1:33" ht="15" customHeight="1" x14ac:dyDescent="0.25">
      <c r="A59" s="33" t="s">
        <v>71</v>
      </c>
      <c r="B59" s="34"/>
      <c r="C59" s="34"/>
      <c r="D59" s="34"/>
      <c r="E59" s="34"/>
      <c r="F59" s="35"/>
      <c r="G59" s="35"/>
      <c r="H59" s="34"/>
      <c r="I59" s="34"/>
      <c r="J59" s="34"/>
      <c r="K59" s="34"/>
      <c r="L59" s="36"/>
      <c r="M59" s="36"/>
      <c r="N59" s="36"/>
      <c r="O59" s="36"/>
      <c r="P59" s="36"/>
      <c r="Q59" s="36">
        <f>SUM(Q52:Q58)</f>
        <v>1906310</v>
      </c>
      <c r="R59" s="36"/>
      <c r="S59" s="92"/>
      <c r="T59" s="93">
        <f>SUM(T52:T58)</f>
        <v>20.755905503226934</v>
      </c>
      <c r="U59" s="37"/>
      <c r="V59" s="38"/>
      <c r="W59" s="38"/>
      <c r="X59" s="38"/>
      <c r="Y59" s="34"/>
      <c r="Z59" s="34"/>
      <c r="AA59" s="39"/>
      <c r="AB59" s="29" t="s">
        <v>491</v>
      </c>
      <c r="AC59" s="81" t="s">
        <v>513</v>
      </c>
      <c r="AD59" s="83">
        <v>5000</v>
      </c>
      <c r="AF59" s="83">
        <v>0</v>
      </c>
      <c r="AG59" s="83">
        <f>SUM(AD59,AF59)</f>
        <v>5000</v>
      </c>
    </row>
    <row r="60" spans="1:33" s="29" customFormat="1" ht="15" customHeight="1" x14ac:dyDescent="0.25">
      <c r="A60" s="14">
        <v>1</v>
      </c>
      <c r="B60" s="15">
        <v>45715</v>
      </c>
      <c r="C60" s="15">
        <f>B60+8</f>
        <v>45723</v>
      </c>
      <c r="D60" s="14">
        <v>12211</v>
      </c>
      <c r="E60" s="16" t="s">
        <v>389</v>
      </c>
      <c r="F60" s="17" t="s">
        <v>267</v>
      </c>
      <c r="G60" s="17" t="s">
        <v>102</v>
      </c>
      <c r="H60" s="18" t="s">
        <v>57</v>
      </c>
      <c r="I60" s="19" t="s">
        <v>94</v>
      </c>
      <c r="J60" s="20">
        <v>45638</v>
      </c>
      <c r="K60" s="20">
        <v>45679</v>
      </c>
      <c r="L60" s="21">
        <v>200000</v>
      </c>
      <c r="M60" s="22">
        <f>SUM(N60:O60)</f>
        <v>183000</v>
      </c>
      <c r="N60" s="23">
        <v>133000</v>
      </c>
      <c r="O60" s="23">
        <v>50000</v>
      </c>
      <c r="P60" s="24">
        <f>L60-N60</f>
        <v>67000</v>
      </c>
      <c r="Q60" s="25">
        <v>50000</v>
      </c>
      <c r="R60" s="26">
        <v>50000</v>
      </c>
      <c r="S60" s="91">
        <f t="shared" ref="S60:S68" si="45">IF(P60&gt;0,P60/$R60,0)</f>
        <v>1.34</v>
      </c>
      <c r="T60" s="91">
        <f t="shared" ref="T60:T68" si="46">IF(Q60&gt;0,Q60/$R60,0)</f>
        <v>1</v>
      </c>
      <c r="U60" s="27" t="s">
        <v>192</v>
      </c>
      <c r="V60" s="19" t="s">
        <v>51</v>
      </c>
      <c r="W60" s="20">
        <v>45673</v>
      </c>
      <c r="X60" s="22"/>
      <c r="Y60" s="19" t="s">
        <v>52</v>
      </c>
      <c r="Z60" s="19" t="s">
        <v>52</v>
      </c>
      <c r="AA60" s="19" t="s">
        <v>52</v>
      </c>
      <c r="AB60" s="28"/>
    </row>
    <row r="61" spans="1:33" s="29" customFormat="1" ht="15" customHeight="1" x14ac:dyDescent="0.25">
      <c r="A61" s="14">
        <v>15</v>
      </c>
      <c r="B61" s="15">
        <v>45715</v>
      </c>
      <c r="C61" s="15">
        <f t="shared" ref="C61:C67" si="47">B61+8</f>
        <v>45723</v>
      </c>
      <c r="D61" s="14">
        <v>12385</v>
      </c>
      <c r="E61" s="16" t="s">
        <v>92</v>
      </c>
      <c r="F61" s="40" t="s">
        <v>93</v>
      </c>
      <c r="G61" s="17" t="s">
        <v>75</v>
      </c>
      <c r="H61" s="18" t="s">
        <v>57</v>
      </c>
      <c r="I61" s="19" t="s">
        <v>94</v>
      </c>
      <c r="J61" s="20">
        <v>45666</v>
      </c>
      <c r="K61" s="20">
        <v>45693</v>
      </c>
      <c r="L61" s="21">
        <v>750000</v>
      </c>
      <c r="M61" s="22">
        <f t="shared" ref="M61:M68" si="48">SUM(N61:O61)</f>
        <v>750000</v>
      </c>
      <c r="N61" s="23">
        <v>0</v>
      </c>
      <c r="O61" s="23">
        <v>750000</v>
      </c>
      <c r="P61" s="24">
        <f t="shared" ref="P61:P67" si="49">L61-N61</f>
        <v>750000</v>
      </c>
      <c r="Q61" s="25">
        <v>450000</v>
      </c>
      <c r="R61" s="26">
        <v>150000</v>
      </c>
      <c r="S61" s="91">
        <f t="shared" si="45"/>
        <v>5</v>
      </c>
      <c r="T61" s="91">
        <f t="shared" si="46"/>
        <v>3</v>
      </c>
      <c r="U61" s="27" t="s">
        <v>192</v>
      </c>
      <c r="V61" s="19" t="s">
        <v>51</v>
      </c>
      <c r="W61" s="20">
        <v>45707</v>
      </c>
      <c r="X61" s="22"/>
      <c r="Y61" s="19" t="s">
        <v>52</v>
      </c>
      <c r="Z61" s="19" t="s">
        <v>52</v>
      </c>
      <c r="AA61" s="19" t="s">
        <v>52</v>
      </c>
      <c r="AB61" s="28"/>
      <c r="AC61" s="90"/>
    </row>
    <row r="62" spans="1:33" s="29" customFormat="1" ht="15" customHeight="1" x14ac:dyDescent="0.25">
      <c r="A62" s="14">
        <v>7</v>
      </c>
      <c r="B62" s="15">
        <v>45715</v>
      </c>
      <c r="C62" s="15">
        <f>B62+8</f>
        <v>45723</v>
      </c>
      <c r="D62" s="14">
        <v>12508</v>
      </c>
      <c r="E62" s="16" t="s">
        <v>109</v>
      </c>
      <c r="F62" s="17" t="s">
        <v>110</v>
      </c>
      <c r="G62" s="17" t="s">
        <v>102</v>
      </c>
      <c r="H62" s="18" t="s">
        <v>57</v>
      </c>
      <c r="I62" s="19" t="s">
        <v>118</v>
      </c>
      <c r="J62" s="20">
        <v>45691</v>
      </c>
      <c r="K62" s="20">
        <v>45723</v>
      </c>
      <c r="L62" s="21">
        <v>600000</v>
      </c>
      <c r="M62" s="22">
        <f>SUM(N62:O62)</f>
        <v>50000</v>
      </c>
      <c r="N62" s="23">
        <v>0</v>
      </c>
      <c r="O62" s="23">
        <v>50000</v>
      </c>
      <c r="P62" s="24">
        <f>L62-N62</f>
        <v>600000</v>
      </c>
      <c r="Q62" s="25">
        <v>50000</v>
      </c>
      <c r="R62" s="26">
        <v>50000</v>
      </c>
      <c r="S62" s="91">
        <f t="shared" si="45"/>
        <v>12</v>
      </c>
      <c r="T62" s="91">
        <f t="shared" si="46"/>
        <v>1</v>
      </c>
      <c r="U62" s="27" t="s">
        <v>192</v>
      </c>
      <c r="V62" s="30" t="s">
        <v>59</v>
      </c>
      <c r="W62" s="31">
        <v>45717</v>
      </c>
      <c r="X62" s="22"/>
      <c r="Y62" s="19" t="s">
        <v>52</v>
      </c>
      <c r="Z62" s="19" t="s">
        <v>52</v>
      </c>
      <c r="AA62" s="19" t="s">
        <v>52</v>
      </c>
      <c r="AB62" s="28"/>
    </row>
    <row r="63" spans="1:33" s="29" customFormat="1" ht="15" customHeight="1" x14ac:dyDescent="0.25">
      <c r="A63" s="14">
        <v>15</v>
      </c>
      <c r="B63" s="15">
        <v>45715</v>
      </c>
      <c r="C63" s="15">
        <f>B63+8</f>
        <v>45723</v>
      </c>
      <c r="D63" s="14">
        <v>12571</v>
      </c>
      <c r="E63" s="16" t="s">
        <v>111</v>
      </c>
      <c r="F63" s="17" t="s">
        <v>481</v>
      </c>
      <c r="G63" s="17" t="s">
        <v>102</v>
      </c>
      <c r="H63" s="18" t="s">
        <v>57</v>
      </c>
      <c r="I63" s="19" t="s">
        <v>94</v>
      </c>
      <c r="J63" s="20">
        <v>45699</v>
      </c>
      <c r="K63" s="20">
        <v>45749</v>
      </c>
      <c r="L63" s="21">
        <v>120000</v>
      </c>
      <c r="M63" s="22">
        <f>SUM(N63:O63)</f>
        <v>137000</v>
      </c>
      <c r="N63" s="23">
        <v>0</v>
      </c>
      <c r="O63" s="23">
        <v>137000</v>
      </c>
      <c r="P63" s="24">
        <f>L63-N63</f>
        <v>120000</v>
      </c>
      <c r="Q63" s="25">
        <v>42000</v>
      </c>
      <c r="R63" s="26">
        <v>42000</v>
      </c>
      <c r="S63" s="91">
        <f t="shared" si="45"/>
        <v>2.8571428571428572</v>
      </c>
      <c r="T63" s="91">
        <f t="shared" si="46"/>
        <v>1</v>
      </c>
      <c r="U63" s="27" t="s">
        <v>192</v>
      </c>
      <c r="V63" s="30" t="s">
        <v>59</v>
      </c>
      <c r="W63" s="31">
        <v>45731</v>
      </c>
      <c r="X63" s="22"/>
      <c r="Y63" s="19" t="s">
        <v>52</v>
      </c>
      <c r="Z63" s="19" t="s">
        <v>52</v>
      </c>
      <c r="AA63" s="19" t="s">
        <v>52</v>
      </c>
      <c r="AB63" s="28"/>
    </row>
    <row r="64" spans="1:33" s="29" customFormat="1" ht="15" customHeight="1" x14ac:dyDescent="0.25">
      <c r="A64" s="14">
        <v>12</v>
      </c>
      <c r="B64" s="15">
        <v>45715</v>
      </c>
      <c r="C64" s="15">
        <f>B64+8</f>
        <v>45723</v>
      </c>
      <c r="D64" s="14">
        <v>12459</v>
      </c>
      <c r="E64" s="16" t="s">
        <v>462</v>
      </c>
      <c r="F64" s="40" t="s">
        <v>463</v>
      </c>
      <c r="G64" s="17" t="s">
        <v>75</v>
      </c>
      <c r="H64" s="18" t="s">
        <v>257</v>
      </c>
      <c r="I64" s="19" t="s">
        <v>49</v>
      </c>
      <c r="J64" s="20">
        <v>45681</v>
      </c>
      <c r="K64" s="20">
        <v>45699</v>
      </c>
      <c r="L64" s="21">
        <v>150000</v>
      </c>
      <c r="M64" s="22">
        <f>SUM(N64:O64)</f>
        <v>50000</v>
      </c>
      <c r="N64" s="23">
        <v>0</v>
      </c>
      <c r="O64" s="23">
        <v>50000</v>
      </c>
      <c r="P64" s="24">
        <f>L64-N64</f>
        <v>150000</v>
      </c>
      <c r="Q64" s="25">
        <v>50000</v>
      </c>
      <c r="R64" s="26">
        <v>150000</v>
      </c>
      <c r="S64" s="91">
        <f t="shared" si="45"/>
        <v>1</v>
      </c>
      <c r="T64" s="91">
        <f t="shared" si="46"/>
        <v>0.33333333333333331</v>
      </c>
      <c r="U64" s="27" t="s">
        <v>192</v>
      </c>
      <c r="V64" s="30" t="s">
        <v>59</v>
      </c>
      <c r="W64" s="31">
        <v>45709</v>
      </c>
      <c r="X64" s="22"/>
      <c r="Y64" s="19" t="s">
        <v>52</v>
      </c>
      <c r="Z64" s="19" t="s">
        <v>52</v>
      </c>
      <c r="AA64" s="19" t="s">
        <v>52</v>
      </c>
      <c r="AB64" s="28"/>
      <c r="AC64" s="90"/>
    </row>
    <row r="65" spans="1:33" s="29" customFormat="1" ht="15" customHeight="1" x14ac:dyDescent="0.25">
      <c r="A65" s="14">
        <v>35</v>
      </c>
      <c r="B65" s="15">
        <v>45715</v>
      </c>
      <c r="C65" s="15">
        <f>B65+8</f>
        <v>45723</v>
      </c>
      <c r="D65" s="14">
        <v>12493</v>
      </c>
      <c r="E65" s="16" t="s">
        <v>353</v>
      </c>
      <c r="F65" s="40" t="s">
        <v>354</v>
      </c>
      <c r="G65" s="17" t="s">
        <v>75</v>
      </c>
      <c r="H65" s="18" t="s">
        <v>78</v>
      </c>
      <c r="I65" s="19" t="s">
        <v>79</v>
      </c>
      <c r="J65" s="20">
        <v>45688</v>
      </c>
      <c r="K65" s="20">
        <v>45729</v>
      </c>
      <c r="L65" s="21">
        <v>2500000</v>
      </c>
      <c r="M65" s="22">
        <f>SUM(N65:O65)</f>
        <v>720000</v>
      </c>
      <c r="N65" s="23">
        <v>0</v>
      </c>
      <c r="O65" s="23">
        <v>720000</v>
      </c>
      <c r="P65" s="24">
        <f>L65-N65</f>
        <v>2500000</v>
      </c>
      <c r="Q65" s="25">
        <v>720000</v>
      </c>
      <c r="R65" s="26">
        <v>84000</v>
      </c>
      <c r="S65" s="91">
        <f t="shared" si="45"/>
        <v>29.761904761904763</v>
      </c>
      <c r="T65" s="91">
        <f t="shared" si="46"/>
        <v>8.5714285714285712</v>
      </c>
      <c r="U65" s="27" t="s">
        <v>56</v>
      </c>
      <c r="V65" s="19" t="s">
        <v>51</v>
      </c>
      <c r="W65" s="20">
        <v>45702</v>
      </c>
      <c r="X65" s="22"/>
      <c r="Y65" s="19" t="s">
        <v>52</v>
      </c>
      <c r="Z65" s="19" t="s">
        <v>52</v>
      </c>
      <c r="AA65" s="19" t="s">
        <v>52</v>
      </c>
      <c r="AB65" s="28"/>
      <c r="AC65" s="90"/>
    </row>
    <row r="66" spans="1:33" s="29" customFormat="1" ht="15" customHeight="1" x14ac:dyDescent="0.25">
      <c r="A66" s="14">
        <v>15</v>
      </c>
      <c r="B66" s="15">
        <v>45715</v>
      </c>
      <c r="C66" s="15">
        <f t="shared" ref="C66" si="50">B66+8</f>
        <v>45723</v>
      </c>
      <c r="D66" s="14">
        <v>12385</v>
      </c>
      <c r="E66" s="16" t="s">
        <v>92</v>
      </c>
      <c r="F66" s="40" t="s">
        <v>93</v>
      </c>
      <c r="G66" s="17" t="s">
        <v>75</v>
      </c>
      <c r="H66" s="18" t="s">
        <v>57</v>
      </c>
      <c r="I66" s="19" t="s">
        <v>94</v>
      </c>
      <c r="J66" s="20">
        <v>45666</v>
      </c>
      <c r="K66" s="20">
        <v>45693</v>
      </c>
      <c r="L66" s="21">
        <v>750000</v>
      </c>
      <c r="M66" s="22">
        <f t="shared" si="48"/>
        <v>750000</v>
      </c>
      <c r="N66" s="23">
        <v>0</v>
      </c>
      <c r="O66" s="23">
        <v>750000</v>
      </c>
      <c r="P66" s="24">
        <f t="shared" ref="P66" si="51">L66-N66</f>
        <v>750000</v>
      </c>
      <c r="Q66" s="25">
        <v>300000</v>
      </c>
      <c r="R66" s="26">
        <v>150000</v>
      </c>
      <c r="S66" s="91">
        <f t="shared" si="45"/>
        <v>5</v>
      </c>
      <c r="T66" s="91">
        <f t="shared" si="46"/>
        <v>2</v>
      </c>
      <c r="U66" s="27" t="s">
        <v>193</v>
      </c>
      <c r="V66" s="19" t="s">
        <v>51</v>
      </c>
      <c r="W66" s="20">
        <v>45707</v>
      </c>
      <c r="X66" s="22"/>
      <c r="Y66" s="19" t="s">
        <v>52</v>
      </c>
      <c r="Z66" s="19" t="s">
        <v>52</v>
      </c>
      <c r="AA66" s="19" t="s">
        <v>52</v>
      </c>
      <c r="AB66" s="28"/>
      <c r="AC66" s="90"/>
    </row>
    <row r="67" spans="1:33" s="29" customFormat="1" ht="15" customHeight="1" x14ac:dyDescent="0.25">
      <c r="A67" s="14">
        <v>6</v>
      </c>
      <c r="B67" s="15">
        <v>45715</v>
      </c>
      <c r="C67" s="15">
        <f t="shared" si="47"/>
        <v>45723</v>
      </c>
      <c r="D67" s="14">
        <v>12432</v>
      </c>
      <c r="E67" s="16" t="s">
        <v>114</v>
      </c>
      <c r="F67" s="17" t="s">
        <v>115</v>
      </c>
      <c r="G67" s="17" t="s">
        <v>102</v>
      </c>
      <c r="H67" s="18" t="s">
        <v>257</v>
      </c>
      <c r="I67" s="19" t="s">
        <v>104</v>
      </c>
      <c r="J67" s="20">
        <v>45674</v>
      </c>
      <c r="K67" s="20">
        <v>45695</v>
      </c>
      <c r="L67" s="21">
        <v>1000000</v>
      </c>
      <c r="M67" s="22">
        <f t="shared" si="48"/>
        <v>667000</v>
      </c>
      <c r="N67" s="23">
        <v>415000</v>
      </c>
      <c r="O67" s="23">
        <v>252000</v>
      </c>
      <c r="P67" s="24">
        <f t="shared" si="49"/>
        <v>585000</v>
      </c>
      <c r="Q67" s="25">
        <v>252000</v>
      </c>
      <c r="R67" s="26">
        <v>63000</v>
      </c>
      <c r="S67" s="91">
        <f t="shared" si="45"/>
        <v>9.2857142857142865</v>
      </c>
      <c r="T67" s="91">
        <f t="shared" si="46"/>
        <v>4</v>
      </c>
      <c r="U67" s="27" t="s">
        <v>193</v>
      </c>
      <c r="V67" s="19" t="s">
        <v>51</v>
      </c>
      <c r="W67" s="20">
        <v>45700</v>
      </c>
      <c r="X67" s="22"/>
      <c r="Y67" s="19" t="s">
        <v>52</v>
      </c>
      <c r="Z67" s="19" t="s">
        <v>52</v>
      </c>
      <c r="AA67" s="19" t="s">
        <v>52</v>
      </c>
      <c r="AB67" s="28"/>
    </row>
    <row r="68" spans="1:33" s="29" customFormat="1" ht="15" customHeight="1" x14ac:dyDescent="0.25">
      <c r="A68" s="14">
        <v>15</v>
      </c>
      <c r="B68" s="15">
        <v>45715</v>
      </c>
      <c r="C68" s="15">
        <f t="shared" ref="C68" si="52">B68+8</f>
        <v>45723</v>
      </c>
      <c r="D68" s="14">
        <v>12571</v>
      </c>
      <c r="E68" s="16" t="s">
        <v>111</v>
      </c>
      <c r="F68" s="17" t="s">
        <v>481</v>
      </c>
      <c r="G68" s="17" t="s">
        <v>102</v>
      </c>
      <c r="H68" s="18" t="s">
        <v>57</v>
      </c>
      <c r="I68" s="19" t="s">
        <v>94</v>
      </c>
      <c r="J68" s="20">
        <v>45699</v>
      </c>
      <c r="K68" s="20">
        <v>45749</v>
      </c>
      <c r="L68" s="21">
        <v>120000</v>
      </c>
      <c r="M68" s="22">
        <f t="shared" si="48"/>
        <v>137000</v>
      </c>
      <c r="N68" s="23">
        <v>0</v>
      </c>
      <c r="O68" s="23">
        <v>137000</v>
      </c>
      <c r="P68" s="24">
        <f t="shared" ref="P68" si="53">L68-N68</f>
        <v>120000</v>
      </c>
      <c r="Q68" s="25">
        <v>95000</v>
      </c>
      <c r="R68" s="26">
        <v>42000</v>
      </c>
      <c r="S68" s="91">
        <f t="shared" si="45"/>
        <v>2.8571428571428572</v>
      </c>
      <c r="T68" s="91">
        <f t="shared" si="46"/>
        <v>2.2619047619047619</v>
      </c>
      <c r="U68" s="27" t="s">
        <v>193</v>
      </c>
      <c r="V68" s="30" t="s">
        <v>59</v>
      </c>
      <c r="W68" s="31">
        <v>45731</v>
      </c>
      <c r="X68" s="22"/>
      <c r="Y68" s="19" t="s">
        <v>52</v>
      </c>
      <c r="Z68" s="19" t="s">
        <v>52</v>
      </c>
      <c r="AA68" s="19" t="s">
        <v>52</v>
      </c>
      <c r="AB68" s="28"/>
    </row>
    <row r="69" spans="1:33" ht="15" customHeight="1" x14ac:dyDescent="0.25">
      <c r="A69" s="33" t="s">
        <v>71</v>
      </c>
      <c r="B69" s="34"/>
      <c r="C69" s="34"/>
      <c r="D69" s="34"/>
      <c r="E69" s="34"/>
      <c r="F69" s="35"/>
      <c r="G69" s="35"/>
      <c r="H69" s="34"/>
      <c r="I69" s="34"/>
      <c r="J69" s="34"/>
      <c r="K69" s="34"/>
      <c r="L69" s="36"/>
      <c r="M69" s="36"/>
      <c r="N69" s="36"/>
      <c r="O69" s="36"/>
      <c r="P69" s="36"/>
      <c r="Q69" s="36">
        <f>SUM(Q60:Q68)</f>
        <v>2009000</v>
      </c>
      <c r="R69" s="36"/>
      <c r="S69" s="92"/>
      <c r="T69" s="93">
        <f>SUM(T60:T68)</f>
        <v>23.166666666666668</v>
      </c>
      <c r="U69" s="37"/>
      <c r="V69" s="38"/>
      <c r="W69" s="38"/>
      <c r="X69" s="38"/>
      <c r="Y69" s="34"/>
      <c r="Z69" s="34"/>
      <c r="AA69" s="39"/>
      <c r="AB69" s="29" t="s">
        <v>514</v>
      </c>
      <c r="AC69" s="81" t="s">
        <v>515</v>
      </c>
      <c r="AD69" s="83">
        <v>5000</v>
      </c>
      <c r="AF69" s="83">
        <v>0</v>
      </c>
      <c r="AG69" s="83">
        <f>SUM(AD69,AF69)</f>
        <v>5000</v>
      </c>
    </row>
    <row r="70" spans="1:33" s="29" customFormat="1" ht="15" customHeight="1" x14ac:dyDescent="0.25">
      <c r="A70" s="14">
        <v>2</v>
      </c>
      <c r="B70" s="15">
        <v>45715</v>
      </c>
      <c r="C70" s="15">
        <f t="shared" ref="C70:C71" si="54">B70+8</f>
        <v>45723</v>
      </c>
      <c r="D70" s="14">
        <v>12440</v>
      </c>
      <c r="E70" s="16" t="s">
        <v>372</v>
      </c>
      <c r="F70" s="17" t="s">
        <v>461</v>
      </c>
      <c r="G70" s="17" t="s">
        <v>102</v>
      </c>
      <c r="H70" s="18" t="s">
        <v>57</v>
      </c>
      <c r="I70" s="19" t="s">
        <v>58</v>
      </c>
      <c r="J70" s="20">
        <v>45679</v>
      </c>
      <c r="K70" s="20">
        <v>45706</v>
      </c>
      <c r="L70" s="21">
        <v>1000000</v>
      </c>
      <c r="M70" s="22">
        <f t="shared" ref="M70:M71" si="55">SUM(N70:O70)</f>
        <v>684000</v>
      </c>
      <c r="N70" s="23">
        <v>396000</v>
      </c>
      <c r="O70" s="23">
        <v>288000</v>
      </c>
      <c r="P70" s="24">
        <f t="shared" ref="P70:P71" si="56">L70-N70</f>
        <v>604000</v>
      </c>
      <c r="Q70" s="25">
        <v>288000</v>
      </c>
      <c r="R70" s="26">
        <v>48000</v>
      </c>
      <c r="S70" s="91">
        <f t="shared" ref="S70:S71" si="57">IF(P70&gt;0,P70/$R70,0)</f>
        <v>12.583333333333334</v>
      </c>
      <c r="T70" s="91">
        <f t="shared" ref="T70:T71" si="58">IF(Q70&gt;0,Q70/$R70,0)</f>
        <v>6</v>
      </c>
      <c r="U70" s="27" t="s">
        <v>192</v>
      </c>
      <c r="V70" s="19" t="s">
        <v>51</v>
      </c>
      <c r="W70" s="20">
        <v>45696</v>
      </c>
      <c r="X70" s="22"/>
      <c r="Y70" s="19" t="s">
        <v>52</v>
      </c>
      <c r="Z70" s="19" t="s">
        <v>52</v>
      </c>
      <c r="AA70" s="19" t="s">
        <v>52</v>
      </c>
      <c r="AB70" s="28"/>
    </row>
    <row r="71" spans="1:33" s="29" customFormat="1" ht="15" customHeight="1" x14ac:dyDescent="0.25">
      <c r="A71" s="14">
        <v>9</v>
      </c>
      <c r="B71" s="15">
        <v>45715</v>
      </c>
      <c r="C71" s="15">
        <f t="shared" si="54"/>
        <v>45723</v>
      </c>
      <c r="D71" s="14">
        <v>12511</v>
      </c>
      <c r="E71" s="16" t="s">
        <v>297</v>
      </c>
      <c r="F71" s="17" t="s">
        <v>298</v>
      </c>
      <c r="G71" s="17" t="s">
        <v>102</v>
      </c>
      <c r="H71" s="18" t="s">
        <v>57</v>
      </c>
      <c r="I71" s="19" t="s">
        <v>94</v>
      </c>
      <c r="J71" s="20">
        <v>45688</v>
      </c>
      <c r="K71" s="20">
        <v>45723</v>
      </c>
      <c r="L71" s="21">
        <v>800000</v>
      </c>
      <c r="M71" s="22">
        <f t="shared" si="55"/>
        <v>900000</v>
      </c>
      <c r="N71" s="23">
        <v>300000</v>
      </c>
      <c r="O71" s="23">
        <v>600000</v>
      </c>
      <c r="P71" s="24">
        <f t="shared" si="56"/>
        <v>500000</v>
      </c>
      <c r="Q71" s="25">
        <v>553000</v>
      </c>
      <c r="R71" s="26">
        <v>30000</v>
      </c>
      <c r="S71" s="91">
        <f t="shared" si="57"/>
        <v>16.666666666666668</v>
      </c>
      <c r="T71" s="91">
        <f t="shared" si="58"/>
        <v>18.433333333333334</v>
      </c>
      <c r="U71" s="27" t="s">
        <v>193</v>
      </c>
      <c r="V71" s="19" t="s">
        <v>51</v>
      </c>
      <c r="W71" s="20">
        <v>45705</v>
      </c>
      <c r="X71" s="22"/>
      <c r="Y71" s="19" t="s">
        <v>52</v>
      </c>
      <c r="Z71" s="19" t="s">
        <v>52</v>
      </c>
      <c r="AA71" s="19" t="s">
        <v>52</v>
      </c>
      <c r="AB71" s="28"/>
    </row>
    <row r="72" spans="1:33" ht="15" customHeight="1" x14ac:dyDescent="0.25">
      <c r="A72" s="33" t="s">
        <v>71</v>
      </c>
      <c r="B72" s="34"/>
      <c r="C72" s="34"/>
      <c r="D72" s="34"/>
      <c r="E72" s="34"/>
      <c r="F72" s="35"/>
      <c r="G72" s="35"/>
      <c r="H72" s="34"/>
      <c r="I72" s="34"/>
      <c r="J72" s="34"/>
      <c r="K72" s="34"/>
      <c r="L72" s="36"/>
      <c r="M72" s="36"/>
      <c r="N72" s="36"/>
      <c r="O72" s="36"/>
      <c r="P72" s="36"/>
      <c r="Q72" s="36">
        <f>SUM(Q70:Q71)</f>
        <v>841000</v>
      </c>
      <c r="R72" s="36"/>
      <c r="S72" s="92"/>
      <c r="T72" s="93">
        <f>SUM(T70:T71)</f>
        <v>24.433333333333334</v>
      </c>
      <c r="U72" s="37"/>
      <c r="V72" s="38"/>
      <c r="W72" s="38"/>
      <c r="X72" s="38"/>
      <c r="Y72" s="34"/>
      <c r="Z72" s="34"/>
      <c r="AA72" s="39"/>
      <c r="AB72" s="29" t="s">
        <v>494</v>
      </c>
      <c r="AC72" s="81" t="s">
        <v>516</v>
      </c>
      <c r="AD72" s="83">
        <v>5000</v>
      </c>
      <c r="AF72" s="83">
        <v>0</v>
      </c>
      <c r="AG72" s="83">
        <f>SUM(AD72,AF72)</f>
        <v>5000</v>
      </c>
    </row>
    <row r="73" spans="1:33" s="29" customFormat="1" ht="15" customHeight="1" x14ac:dyDescent="0.25">
      <c r="A73" s="14">
        <v>8</v>
      </c>
      <c r="B73" s="15">
        <v>45716</v>
      </c>
      <c r="C73" s="15">
        <f t="shared" ref="C73:C79" si="59">B73+8</f>
        <v>45724</v>
      </c>
      <c r="D73" s="14">
        <v>12287</v>
      </c>
      <c r="E73" s="84" t="s">
        <v>95</v>
      </c>
      <c r="F73" s="87" t="s">
        <v>96</v>
      </c>
      <c r="G73" s="87" t="s">
        <v>75</v>
      </c>
      <c r="H73" s="88" t="s">
        <v>54</v>
      </c>
      <c r="I73" s="19" t="s">
        <v>86</v>
      </c>
      <c r="J73" s="20">
        <v>45645</v>
      </c>
      <c r="K73" s="20">
        <v>45680</v>
      </c>
      <c r="L73" s="21">
        <v>2000000</v>
      </c>
      <c r="M73" s="22">
        <f t="shared" ref="M73:M79" si="60">SUM(N73:O73)</f>
        <v>1224000</v>
      </c>
      <c r="N73" s="23">
        <v>774000</v>
      </c>
      <c r="O73" s="23">
        <v>450000</v>
      </c>
      <c r="P73" s="24">
        <f t="shared" ref="P73:P79" si="61">L73-N73</f>
        <v>1226000</v>
      </c>
      <c r="Q73" s="25">
        <v>450000</v>
      </c>
      <c r="R73" s="26">
        <v>126000</v>
      </c>
      <c r="S73" s="91">
        <f t="shared" ref="S73:S82" si="62">IF(P73&gt;0,P73/$R73,0)</f>
        <v>9.7301587301587293</v>
      </c>
      <c r="T73" s="91">
        <f t="shared" ref="T73:T82" si="63">IF(Q73&gt;0,Q73/$R73,0)</f>
        <v>3.5714285714285716</v>
      </c>
      <c r="U73" s="27" t="s">
        <v>56</v>
      </c>
      <c r="V73" s="19" t="s">
        <v>51</v>
      </c>
      <c r="W73" s="20">
        <v>45700</v>
      </c>
      <c r="X73" s="22"/>
      <c r="Y73" s="19" t="s">
        <v>52</v>
      </c>
      <c r="Z73" s="19" t="s">
        <v>52</v>
      </c>
      <c r="AA73" s="19" t="s">
        <v>52</v>
      </c>
      <c r="AB73" s="28"/>
      <c r="AC73" s="90"/>
    </row>
    <row r="74" spans="1:33" s="29" customFormat="1" ht="15" customHeight="1" x14ac:dyDescent="0.25">
      <c r="A74" s="14">
        <v>5</v>
      </c>
      <c r="B74" s="15">
        <v>45716</v>
      </c>
      <c r="C74" s="15">
        <f t="shared" si="59"/>
        <v>45724</v>
      </c>
      <c r="D74" s="14">
        <v>12402</v>
      </c>
      <c r="E74" s="16" t="s">
        <v>150</v>
      </c>
      <c r="F74" s="17" t="s">
        <v>151</v>
      </c>
      <c r="G74" s="17" t="s">
        <v>132</v>
      </c>
      <c r="H74" s="18" t="s">
        <v>54</v>
      </c>
      <c r="I74" s="19" t="s">
        <v>135</v>
      </c>
      <c r="J74" s="20">
        <v>45672</v>
      </c>
      <c r="K74" s="20">
        <v>45716</v>
      </c>
      <c r="L74" s="21">
        <v>110000</v>
      </c>
      <c r="M74" s="22">
        <f t="shared" si="60"/>
        <v>119690</v>
      </c>
      <c r="N74" s="23">
        <v>0</v>
      </c>
      <c r="O74" s="23">
        <v>119690</v>
      </c>
      <c r="P74" s="24">
        <f t="shared" si="61"/>
        <v>110000</v>
      </c>
      <c r="Q74" s="25">
        <v>119680</v>
      </c>
      <c r="R74" s="26">
        <v>57330</v>
      </c>
      <c r="S74" s="91">
        <f t="shared" si="62"/>
        <v>1.9187162044304902</v>
      </c>
      <c r="T74" s="91">
        <f t="shared" si="63"/>
        <v>2.0875632304203733</v>
      </c>
      <c r="U74" s="27" t="s">
        <v>56</v>
      </c>
      <c r="V74" s="30" t="s">
        <v>59</v>
      </c>
      <c r="W74" s="31">
        <v>45719</v>
      </c>
      <c r="X74" s="22"/>
      <c r="Y74" s="19" t="s">
        <v>52</v>
      </c>
      <c r="Z74" s="19" t="s">
        <v>52</v>
      </c>
      <c r="AA74" s="19" t="s">
        <v>52</v>
      </c>
      <c r="AB74" s="28"/>
    </row>
    <row r="75" spans="1:33" s="29" customFormat="1" ht="15" customHeight="1" x14ac:dyDescent="0.25">
      <c r="A75" s="14">
        <v>6</v>
      </c>
      <c r="B75" s="15">
        <v>45713</v>
      </c>
      <c r="C75" s="15">
        <f t="shared" si="59"/>
        <v>45721</v>
      </c>
      <c r="D75" s="14">
        <v>12401</v>
      </c>
      <c r="E75" s="16" t="s">
        <v>158</v>
      </c>
      <c r="F75" s="17" t="s">
        <v>457</v>
      </c>
      <c r="G75" s="17" t="s">
        <v>132</v>
      </c>
      <c r="H75" s="18" t="s">
        <v>54</v>
      </c>
      <c r="I75" s="19" t="s">
        <v>135</v>
      </c>
      <c r="J75" s="20">
        <v>45672</v>
      </c>
      <c r="K75" s="20">
        <v>45716</v>
      </c>
      <c r="L75" s="21">
        <v>283000</v>
      </c>
      <c r="M75" s="22">
        <f t="shared" si="60"/>
        <v>308630</v>
      </c>
      <c r="N75" s="23">
        <v>229020</v>
      </c>
      <c r="O75" s="23">
        <v>79610</v>
      </c>
      <c r="P75" s="24">
        <f t="shared" si="61"/>
        <v>53980</v>
      </c>
      <c r="Q75" s="25">
        <v>79610</v>
      </c>
      <c r="R75" s="26">
        <v>57330</v>
      </c>
      <c r="S75" s="91">
        <f t="shared" si="62"/>
        <v>0.94156637013779876</v>
      </c>
      <c r="T75" s="91">
        <f t="shared" si="63"/>
        <v>1.388627245770103</v>
      </c>
      <c r="U75" s="27" t="s">
        <v>56</v>
      </c>
      <c r="V75" s="19" t="s">
        <v>51</v>
      </c>
      <c r="W75" s="20">
        <v>45703</v>
      </c>
      <c r="X75" s="22"/>
      <c r="Y75" s="19" t="s">
        <v>52</v>
      </c>
      <c r="Z75" s="19" t="s">
        <v>52</v>
      </c>
      <c r="AA75" s="19" t="s">
        <v>52</v>
      </c>
      <c r="AB75" s="28"/>
    </row>
    <row r="76" spans="1:33" s="29" customFormat="1" ht="15" customHeight="1" x14ac:dyDescent="0.25">
      <c r="A76" s="14">
        <v>7</v>
      </c>
      <c r="B76" s="15">
        <v>45716</v>
      </c>
      <c r="C76" s="15">
        <f t="shared" si="59"/>
        <v>45724</v>
      </c>
      <c r="D76" s="14">
        <v>12400</v>
      </c>
      <c r="E76" s="16" t="s">
        <v>248</v>
      </c>
      <c r="F76" s="17" t="s">
        <v>249</v>
      </c>
      <c r="G76" s="17" t="s">
        <v>132</v>
      </c>
      <c r="H76" s="18" t="s">
        <v>54</v>
      </c>
      <c r="I76" s="19" t="s">
        <v>135</v>
      </c>
      <c r="J76" s="20">
        <v>45672</v>
      </c>
      <c r="K76" s="20">
        <v>45716</v>
      </c>
      <c r="L76" s="21">
        <v>110000</v>
      </c>
      <c r="M76" s="22">
        <f t="shared" si="60"/>
        <v>127400</v>
      </c>
      <c r="N76" s="23">
        <v>0</v>
      </c>
      <c r="O76" s="23">
        <v>127400</v>
      </c>
      <c r="P76" s="24">
        <f t="shared" si="61"/>
        <v>110000</v>
      </c>
      <c r="Q76" s="25">
        <v>126780</v>
      </c>
      <c r="R76" s="26">
        <v>57330</v>
      </c>
      <c r="S76" s="91">
        <f t="shared" si="62"/>
        <v>1.9187162044304902</v>
      </c>
      <c r="T76" s="91">
        <f t="shared" si="63"/>
        <v>2.2114076399790688</v>
      </c>
      <c r="U76" s="27" t="s">
        <v>56</v>
      </c>
      <c r="V76" s="30" t="s">
        <v>59</v>
      </c>
      <c r="W76" s="31">
        <v>45719</v>
      </c>
      <c r="X76" s="22"/>
      <c r="Y76" s="19" t="s">
        <v>52</v>
      </c>
      <c r="Z76" s="19" t="s">
        <v>52</v>
      </c>
      <c r="AA76" s="19" t="s">
        <v>52</v>
      </c>
      <c r="AB76" s="28"/>
    </row>
    <row r="77" spans="1:33" s="29" customFormat="1" ht="15" customHeight="1" x14ac:dyDescent="0.25">
      <c r="A77" s="14">
        <v>8</v>
      </c>
      <c r="B77" s="15">
        <v>45716</v>
      </c>
      <c r="C77" s="15">
        <f t="shared" si="59"/>
        <v>45724</v>
      </c>
      <c r="D77" s="14">
        <v>12399</v>
      </c>
      <c r="E77" s="16" t="s">
        <v>245</v>
      </c>
      <c r="F77" s="17" t="s">
        <v>246</v>
      </c>
      <c r="G77" s="17" t="s">
        <v>132</v>
      </c>
      <c r="H77" s="18" t="s">
        <v>54</v>
      </c>
      <c r="I77" s="19" t="s">
        <v>135</v>
      </c>
      <c r="J77" s="20">
        <v>45672</v>
      </c>
      <c r="K77" s="20">
        <v>45716</v>
      </c>
      <c r="L77" s="21">
        <v>27000</v>
      </c>
      <c r="M77" s="22">
        <f t="shared" si="60"/>
        <v>29690</v>
      </c>
      <c r="N77" s="23">
        <v>0</v>
      </c>
      <c r="O77" s="23">
        <v>29690</v>
      </c>
      <c r="P77" s="24">
        <f t="shared" si="61"/>
        <v>27000</v>
      </c>
      <c r="Q77" s="25">
        <v>29690</v>
      </c>
      <c r="R77" s="26">
        <v>53442</v>
      </c>
      <c r="S77" s="91">
        <f t="shared" si="62"/>
        <v>0.5052206130010104</v>
      </c>
      <c r="T77" s="91">
        <f t="shared" si="63"/>
        <v>0.55555555555555558</v>
      </c>
      <c r="U77" s="27" t="s">
        <v>56</v>
      </c>
      <c r="V77" s="30" t="s">
        <v>59</v>
      </c>
      <c r="W77" s="31">
        <v>45719</v>
      </c>
      <c r="X77" s="22"/>
      <c r="Y77" s="19" t="s">
        <v>52</v>
      </c>
      <c r="Z77" s="19" t="s">
        <v>52</v>
      </c>
      <c r="AA77" s="19" t="s">
        <v>52</v>
      </c>
      <c r="AB77" s="28"/>
    </row>
    <row r="78" spans="1:33" s="29" customFormat="1" ht="15" customHeight="1" x14ac:dyDescent="0.25">
      <c r="A78" s="14">
        <v>10</v>
      </c>
      <c r="B78" s="15">
        <v>45716</v>
      </c>
      <c r="C78" s="15">
        <f t="shared" si="59"/>
        <v>45724</v>
      </c>
      <c r="D78" s="14">
        <v>12395</v>
      </c>
      <c r="E78" s="16" t="s">
        <v>226</v>
      </c>
      <c r="F78" s="17" t="s">
        <v>227</v>
      </c>
      <c r="G78" s="17" t="s">
        <v>132</v>
      </c>
      <c r="H78" s="18" t="s">
        <v>54</v>
      </c>
      <c r="I78" s="19" t="s">
        <v>135</v>
      </c>
      <c r="J78" s="20">
        <v>45672</v>
      </c>
      <c r="K78" s="20">
        <v>45716</v>
      </c>
      <c r="L78" s="21">
        <v>50000</v>
      </c>
      <c r="M78" s="22">
        <f t="shared" si="60"/>
        <v>47775</v>
      </c>
      <c r="N78" s="23">
        <v>0</v>
      </c>
      <c r="O78" s="23">
        <v>47775</v>
      </c>
      <c r="P78" s="24">
        <f t="shared" si="61"/>
        <v>50000</v>
      </c>
      <c r="Q78" s="25">
        <v>47750</v>
      </c>
      <c r="R78" s="26">
        <v>57330</v>
      </c>
      <c r="S78" s="91">
        <f t="shared" si="62"/>
        <v>0.87214372928658646</v>
      </c>
      <c r="T78" s="91">
        <f t="shared" si="63"/>
        <v>0.83289726146869003</v>
      </c>
      <c r="U78" s="27" t="s">
        <v>56</v>
      </c>
      <c r="V78" s="30" t="s">
        <v>59</v>
      </c>
      <c r="W78" s="31">
        <v>45719</v>
      </c>
      <c r="X78" s="22"/>
      <c r="Y78" s="19" t="s">
        <v>52</v>
      </c>
      <c r="Z78" s="19" t="s">
        <v>52</v>
      </c>
      <c r="AA78" s="19" t="s">
        <v>52</v>
      </c>
      <c r="AB78" s="28"/>
    </row>
    <row r="79" spans="1:33" s="29" customFormat="1" ht="15" customHeight="1" x14ac:dyDescent="0.25">
      <c r="A79" s="14">
        <v>11</v>
      </c>
      <c r="B79" s="15">
        <v>45716</v>
      </c>
      <c r="C79" s="15">
        <f t="shared" si="59"/>
        <v>45724</v>
      </c>
      <c r="D79" s="14">
        <v>12394</v>
      </c>
      <c r="E79" s="16" t="s">
        <v>228</v>
      </c>
      <c r="F79" s="17" t="s">
        <v>229</v>
      </c>
      <c r="G79" s="17" t="s">
        <v>132</v>
      </c>
      <c r="H79" s="18" t="s">
        <v>54</v>
      </c>
      <c r="I79" s="19" t="s">
        <v>135</v>
      </c>
      <c r="J79" s="20">
        <v>45672</v>
      </c>
      <c r="K79" s="20">
        <v>45716</v>
      </c>
      <c r="L79" s="21">
        <v>100000</v>
      </c>
      <c r="M79" s="22">
        <f t="shared" si="60"/>
        <v>114660</v>
      </c>
      <c r="N79" s="23">
        <v>0</v>
      </c>
      <c r="O79" s="23">
        <v>114660</v>
      </c>
      <c r="P79" s="24">
        <f t="shared" si="61"/>
        <v>100000</v>
      </c>
      <c r="Q79" s="25">
        <v>114660</v>
      </c>
      <c r="R79" s="26">
        <v>57330</v>
      </c>
      <c r="S79" s="91">
        <f t="shared" si="62"/>
        <v>1.7442874585731729</v>
      </c>
      <c r="T79" s="91">
        <f t="shared" si="63"/>
        <v>2</v>
      </c>
      <c r="U79" s="27" t="s">
        <v>56</v>
      </c>
      <c r="V79" s="30" t="s">
        <v>59</v>
      </c>
      <c r="W79" s="31">
        <v>45719</v>
      </c>
      <c r="X79" s="22"/>
      <c r="Y79" s="19" t="s">
        <v>52</v>
      </c>
      <c r="Z79" s="19" t="s">
        <v>52</v>
      </c>
      <c r="AA79" s="19" t="s">
        <v>52</v>
      </c>
      <c r="AB79" s="28"/>
    </row>
    <row r="80" spans="1:33" s="29" customFormat="1" ht="15" customHeight="1" x14ac:dyDescent="0.25">
      <c r="A80" s="14">
        <v>35</v>
      </c>
      <c r="B80" s="15">
        <v>45716</v>
      </c>
      <c r="C80" s="15">
        <f t="shared" ref="C80:C83" si="64">B80+8</f>
        <v>45724</v>
      </c>
      <c r="D80" s="14">
        <v>12493</v>
      </c>
      <c r="E80" s="16" t="s">
        <v>353</v>
      </c>
      <c r="F80" s="40" t="s">
        <v>354</v>
      </c>
      <c r="G80" s="17" t="s">
        <v>75</v>
      </c>
      <c r="H80" s="18" t="s">
        <v>78</v>
      </c>
      <c r="I80" s="19" t="s">
        <v>79</v>
      </c>
      <c r="J80" s="20">
        <v>45688</v>
      </c>
      <c r="K80" s="20">
        <v>45729</v>
      </c>
      <c r="L80" s="21">
        <v>2500000</v>
      </c>
      <c r="M80" s="22">
        <f t="shared" ref="M80:M83" si="65">SUM(N80:O80)</f>
        <v>960000</v>
      </c>
      <c r="N80" s="23">
        <v>720000</v>
      </c>
      <c r="O80" s="23">
        <v>240000</v>
      </c>
      <c r="P80" s="24">
        <f t="shared" ref="P80:P83" si="66">L80-N80</f>
        <v>1780000</v>
      </c>
      <c r="Q80" s="25">
        <v>240000</v>
      </c>
      <c r="R80" s="26">
        <v>84000</v>
      </c>
      <c r="S80" s="91">
        <f t="shared" si="62"/>
        <v>21.19047619047619</v>
      </c>
      <c r="T80" s="91">
        <f t="shared" si="63"/>
        <v>2.8571428571428572</v>
      </c>
      <c r="U80" s="27" t="s">
        <v>56</v>
      </c>
      <c r="V80" s="19" t="s">
        <v>51</v>
      </c>
      <c r="W80" s="20">
        <v>45702</v>
      </c>
      <c r="X80" s="22"/>
      <c r="Y80" s="19" t="s">
        <v>52</v>
      </c>
      <c r="Z80" s="19" t="s">
        <v>52</v>
      </c>
      <c r="AA80" s="19" t="s">
        <v>52</v>
      </c>
      <c r="AB80" s="28"/>
      <c r="AC80" s="90"/>
    </row>
    <row r="81" spans="1:33" s="29" customFormat="1" ht="15" customHeight="1" x14ac:dyDescent="0.25">
      <c r="A81" s="14">
        <v>36</v>
      </c>
      <c r="B81" s="15">
        <v>45716</v>
      </c>
      <c r="C81" s="15">
        <f t="shared" si="64"/>
        <v>45724</v>
      </c>
      <c r="D81" s="14">
        <v>12496</v>
      </c>
      <c r="E81" s="16" t="s">
        <v>422</v>
      </c>
      <c r="F81" s="40" t="s">
        <v>476</v>
      </c>
      <c r="G81" s="17" t="s">
        <v>75</v>
      </c>
      <c r="H81" s="18" t="s">
        <v>78</v>
      </c>
      <c r="I81" s="19" t="s">
        <v>79</v>
      </c>
      <c r="J81" s="20">
        <v>45691</v>
      </c>
      <c r="K81" s="20">
        <v>45736</v>
      </c>
      <c r="L81" s="21">
        <v>750000</v>
      </c>
      <c r="M81" s="22">
        <f t="shared" si="65"/>
        <v>600000</v>
      </c>
      <c r="N81" s="23">
        <v>300000</v>
      </c>
      <c r="O81" s="23">
        <v>300000</v>
      </c>
      <c r="P81" s="24">
        <f t="shared" si="66"/>
        <v>450000</v>
      </c>
      <c r="Q81" s="25">
        <v>300000</v>
      </c>
      <c r="R81" s="26">
        <v>210000</v>
      </c>
      <c r="S81" s="91">
        <f t="shared" si="62"/>
        <v>2.1428571428571428</v>
      </c>
      <c r="T81" s="91">
        <f t="shared" si="63"/>
        <v>1.4285714285714286</v>
      </c>
      <c r="U81" s="27" t="s">
        <v>56</v>
      </c>
      <c r="V81" s="19" t="s">
        <v>51</v>
      </c>
      <c r="W81" s="20">
        <v>45704</v>
      </c>
      <c r="X81" s="22"/>
      <c r="Y81" s="19" t="s">
        <v>52</v>
      </c>
      <c r="Z81" s="19" t="s">
        <v>52</v>
      </c>
      <c r="AA81" s="19" t="s">
        <v>52</v>
      </c>
      <c r="AB81" s="28"/>
      <c r="AC81" s="90"/>
    </row>
    <row r="82" spans="1:33" s="29" customFormat="1" ht="15" customHeight="1" x14ac:dyDescent="0.25">
      <c r="A82" s="14">
        <v>17</v>
      </c>
      <c r="B82" s="15">
        <v>45716</v>
      </c>
      <c r="C82" s="15">
        <f t="shared" si="64"/>
        <v>45724</v>
      </c>
      <c r="D82" s="14">
        <v>12550</v>
      </c>
      <c r="E82" s="16" t="s">
        <v>136</v>
      </c>
      <c r="F82" s="17" t="s">
        <v>479</v>
      </c>
      <c r="G82" s="17" t="s">
        <v>132</v>
      </c>
      <c r="H82" s="18" t="s">
        <v>54</v>
      </c>
      <c r="I82" s="19" t="s">
        <v>135</v>
      </c>
      <c r="J82" s="20">
        <v>45695</v>
      </c>
      <c r="K82" s="20">
        <v>45708</v>
      </c>
      <c r="L82" s="21">
        <v>375000</v>
      </c>
      <c r="M82" s="22">
        <f t="shared" si="65"/>
        <v>139900</v>
      </c>
      <c r="N82" s="23">
        <v>0</v>
      </c>
      <c r="O82" s="23">
        <v>139900</v>
      </c>
      <c r="P82" s="24">
        <f t="shared" si="66"/>
        <v>375000</v>
      </c>
      <c r="Q82" s="25">
        <v>139890</v>
      </c>
      <c r="R82" s="26">
        <v>69948</v>
      </c>
      <c r="S82" s="91">
        <f t="shared" si="62"/>
        <v>5.361125407445531</v>
      </c>
      <c r="T82" s="91">
        <f t="shared" si="63"/>
        <v>1.9999142219934809</v>
      </c>
      <c r="U82" s="27" t="s">
        <v>56</v>
      </c>
      <c r="V82" s="30" t="s">
        <v>59</v>
      </c>
      <c r="W82" s="31">
        <v>45720</v>
      </c>
      <c r="X82" s="22"/>
      <c r="Y82" s="19" t="s">
        <v>52</v>
      </c>
      <c r="Z82" s="19" t="s">
        <v>52</v>
      </c>
      <c r="AA82" s="19" t="s">
        <v>52</v>
      </c>
      <c r="AB82" s="28"/>
    </row>
    <row r="83" spans="1:33" s="29" customFormat="1" ht="15" customHeight="1" x14ac:dyDescent="0.25">
      <c r="A83" s="14">
        <v>19</v>
      </c>
      <c r="B83" s="15">
        <v>45716</v>
      </c>
      <c r="C83" s="15">
        <f t="shared" si="64"/>
        <v>45724</v>
      </c>
      <c r="D83" s="14">
        <v>12566</v>
      </c>
      <c r="E83" s="16" t="s">
        <v>222</v>
      </c>
      <c r="F83" s="17" t="s">
        <v>223</v>
      </c>
      <c r="G83" s="17" t="s">
        <v>132</v>
      </c>
      <c r="H83" s="18" t="s">
        <v>54</v>
      </c>
      <c r="I83" s="19" t="s">
        <v>135</v>
      </c>
      <c r="J83" s="20">
        <v>45699</v>
      </c>
      <c r="K83" s="20">
        <v>45742</v>
      </c>
      <c r="L83" s="21">
        <v>124000</v>
      </c>
      <c r="M83" s="22">
        <f t="shared" si="65"/>
        <v>111480</v>
      </c>
      <c r="N83" s="23">
        <v>0</v>
      </c>
      <c r="O83" s="23">
        <v>111480</v>
      </c>
      <c r="P83" s="24">
        <f t="shared" si="66"/>
        <v>124000</v>
      </c>
      <c r="Q83" s="25">
        <v>111470</v>
      </c>
      <c r="R83" s="26">
        <v>57330</v>
      </c>
      <c r="S83" s="91">
        <f t="shared" ref="S83" si="67">IF(P83&gt;0,P83/$R83,0)</f>
        <v>2.1629164486307344</v>
      </c>
      <c r="T83" s="91">
        <f t="shared" ref="T83" si="68">IF(Q83&gt;0,Q83/$R83,0)</f>
        <v>1.9443572300715157</v>
      </c>
      <c r="U83" s="27" t="s">
        <v>56</v>
      </c>
      <c r="V83" s="30" t="s">
        <v>59</v>
      </c>
      <c r="W83" s="31">
        <v>45720</v>
      </c>
      <c r="X83" s="22"/>
      <c r="Y83" s="19" t="s">
        <v>52</v>
      </c>
      <c r="Z83" s="19" t="s">
        <v>52</v>
      </c>
      <c r="AA83" s="19" t="s">
        <v>52</v>
      </c>
      <c r="AB83" s="28"/>
    </row>
    <row r="84" spans="1:33" ht="15" customHeight="1" x14ac:dyDescent="0.25">
      <c r="A84" s="33" t="s">
        <v>71</v>
      </c>
      <c r="B84" s="34"/>
      <c r="C84" s="34"/>
      <c r="D84" s="34"/>
      <c r="E84" s="34"/>
      <c r="F84" s="35"/>
      <c r="G84" s="35"/>
      <c r="H84" s="34"/>
      <c r="I84" s="34"/>
      <c r="J84" s="34"/>
      <c r="K84" s="34"/>
      <c r="L84" s="36"/>
      <c r="M84" s="36"/>
      <c r="N84" s="36"/>
      <c r="O84" s="36"/>
      <c r="P84" s="36"/>
      <c r="Q84" s="36">
        <f>SUM(Q73:Q83)</f>
        <v>1759530</v>
      </c>
      <c r="R84" s="36"/>
      <c r="S84" s="92"/>
      <c r="T84" s="93">
        <f>SUM(T73:T83)</f>
        <v>20.877465242401641</v>
      </c>
      <c r="U84" s="37"/>
      <c r="V84" s="38"/>
      <c r="W84" s="38"/>
      <c r="X84" s="38"/>
      <c r="Y84" s="34"/>
      <c r="Z84" s="34"/>
      <c r="AA84" s="39"/>
      <c r="AB84" s="29" t="s">
        <v>495</v>
      </c>
      <c r="AC84" s="81" t="s">
        <v>517</v>
      </c>
      <c r="AD84" s="83">
        <v>5000</v>
      </c>
      <c r="AF84" s="83">
        <v>0</v>
      </c>
      <c r="AG84" s="83">
        <f>SUM(AD84,AF84)</f>
        <v>5000</v>
      </c>
    </row>
    <row r="85" spans="1:33" s="29" customFormat="1" ht="15" customHeight="1" x14ac:dyDescent="0.25">
      <c r="A85" s="14">
        <v>5</v>
      </c>
      <c r="B85" s="15">
        <v>45716</v>
      </c>
      <c r="C85" s="15">
        <f>B85+8</f>
        <v>45724</v>
      </c>
      <c r="D85" s="14">
        <v>12319</v>
      </c>
      <c r="E85" s="84" t="s">
        <v>303</v>
      </c>
      <c r="F85" s="86" t="s">
        <v>304</v>
      </c>
      <c r="G85" s="87" t="s">
        <v>75</v>
      </c>
      <c r="H85" s="88" t="s">
        <v>440</v>
      </c>
      <c r="I85" s="19" t="s">
        <v>64</v>
      </c>
      <c r="J85" s="20">
        <v>45653</v>
      </c>
      <c r="K85" s="20">
        <v>45680</v>
      </c>
      <c r="L85" s="21">
        <v>1000000</v>
      </c>
      <c r="M85" s="22">
        <f>SUM(N85:O85)</f>
        <v>545000</v>
      </c>
      <c r="N85" s="23">
        <v>495000</v>
      </c>
      <c r="O85" s="23">
        <v>50000</v>
      </c>
      <c r="P85" s="24">
        <f>L85-N85</f>
        <v>505000</v>
      </c>
      <c r="Q85" s="25">
        <v>50000</v>
      </c>
      <c r="R85" s="26">
        <v>48000</v>
      </c>
      <c r="S85" s="91">
        <f t="shared" ref="S85:S93" si="69">IF(P85&gt;0,P85/$R85,0)</f>
        <v>10.520833333333334</v>
      </c>
      <c r="T85" s="91">
        <f t="shared" ref="T85:T93" si="70">IF(Q85&gt;0,Q85/$R85,0)</f>
        <v>1.0416666666666667</v>
      </c>
      <c r="U85" s="27" t="s">
        <v>193</v>
      </c>
      <c r="V85" s="19" t="s">
        <v>51</v>
      </c>
      <c r="W85" s="20">
        <v>45680</v>
      </c>
      <c r="X85" s="22"/>
      <c r="Y85" s="19" t="s">
        <v>52</v>
      </c>
      <c r="Z85" s="19" t="s">
        <v>52</v>
      </c>
      <c r="AA85" s="19" t="s">
        <v>52</v>
      </c>
      <c r="AB85" s="28"/>
      <c r="AC85" s="90"/>
    </row>
    <row r="86" spans="1:33" s="29" customFormat="1" ht="15" customHeight="1" x14ac:dyDescent="0.25">
      <c r="A86" s="14">
        <v>24</v>
      </c>
      <c r="B86" s="15">
        <v>45716</v>
      </c>
      <c r="C86" s="15">
        <f>B86+8</f>
        <v>45724</v>
      </c>
      <c r="D86" s="14">
        <v>12328</v>
      </c>
      <c r="E86" s="16" t="s">
        <v>447</v>
      </c>
      <c r="F86" s="40" t="s">
        <v>448</v>
      </c>
      <c r="G86" s="17" t="s">
        <v>75</v>
      </c>
      <c r="H86" s="18" t="s">
        <v>113</v>
      </c>
      <c r="I86" s="19" t="s">
        <v>118</v>
      </c>
      <c r="J86" s="20">
        <v>45657</v>
      </c>
      <c r="K86" s="20">
        <v>45697</v>
      </c>
      <c r="L86" s="21">
        <v>750000</v>
      </c>
      <c r="M86" s="22">
        <f t="shared" ref="M86" si="71">SUM(N86:O86)</f>
        <v>450000</v>
      </c>
      <c r="N86" s="23">
        <v>0</v>
      </c>
      <c r="O86" s="23">
        <v>450000</v>
      </c>
      <c r="P86" s="24">
        <f t="shared" ref="P86" si="72">L86-N86</f>
        <v>750000</v>
      </c>
      <c r="Q86" s="25">
        <v>150000</v>
      </c>
      <c r="R86" s="26">
        <v>150000</v>
      </c>
      <c r="S86" s="91">
        <f t="shared" si="69"/>
        <v>5</v>
      </c>
      <c r="T86" s="91">
        <f t="shared" si="70"/>
        <v>1</v>
      </c>
      <c r="U86" s="27" t="s">
        <v>193</v>
      </c>
      <c r="V86" s="19" t="s">
        <v>51</v>
      </c>
      <c r="W86" s="20">
        <v>45674</v>
      </c>
      <c r="X86" s="22"/>
      <c r="Y86" s="19" t="s">
        <v>52</v>
      </c>
      <c r="Z86" s="19" t="s">
        <v>52</v>
      </c>
      <c r="AA86" s="19" t="s">
        <v>52</v>
      </c>
      <c r="AB86" s="28"/>
      <c r="AC86" s="90"/>
    </row>
    <row r="87" spans="1:33" s="29" customFormat="1" ht="15" customHeight="1" x14ac:dyDescent="0.25">
      <c r="A87" s="14">
        <v>7</v>
      </c>
      <c r="B87" s="15">
        <v>45716</v>
      </c>
      <c r="C87" s="15">
        <f t="shared" ref="C87" si="73">B87+8</f>
        <v>45724</v>
      </c>
      <c r="D87" s="14">
        <v>12508</v>
      </c>
      <c r="E87" s="16" t="s">
        <v>109</v>
      </c>
      <c r="F87" s="17" t="s">
        <v>110</v>
      </c>
      <c r="G87" s="17" t="s">
        <v>102</v>
      </c>
      <c r="H87" s="18" t="s">
        <v>57</v>
      </c>
      <c r="I87" s="19" t="s">
        <v>118</v>
      </c>
      <c r="J87" s="20">
        <v>45691</v>
      </c>
      <c r="K87" s="20">
        <v>45723</v>
      </c>
      <c r="L87" s="21">
        <v>600000</v>
      </c>
      <c r="M87" s="22">
        <f>SUM(N87:O87)</f>
        <v>250000</v>
      </c>
      <c r="N87" s="23">
        <v>50000</v>
      </c>
      <c r="O87" s="23">
        <v>200000</v>
      </c>
      <c r="P87" s="24">
        <f>L87-N87</f>
        <v>550000</v>
      </c>
      <c r="Q87" s="25">
        <v>100000</v>
      </c>
      <c r="R87" s="26">
        <v>50000</v>
      </c>
      <c r="S87" s="91">
        <f t="shared" si="69"/>
        <v>11</v>
      </c>
      <c r="T87" s="91">
        <f t="shared" si="70"/>
        <v>2</v>
      </c>
      <c r="U87" s="27" t="s">
        <v>193</v>
      </c>
      <c r="V87" s="30" t="s">
        <v>59</v>
      </c>
      <c r="W87" s="31">
        <v>45717</v>
      </c>
      <c r="X87" s="22"/>
      <c r="Y87" s="19" t="s">
        <v>52</v>
      </c>
      <c r="Z87" s="19" t="s">
        <v>52</v>
      </c>
      <c r="AA87" s="19" t="s">
        <v>52</v>
      </c>
      <c r="AB87" s="28"/>
    </row>
    <row r="88" spans="1:33" s="29" customFormat="1" ht="15" customHeight="1" x14ac:dyDescent="0.25">
      <c r="A88" s="14">
        <v>12</v>
      </c>
      <c r="B88" s="15">
        <v>45716</v>
      </c>
      <c r="C88" s="15">
        <f t="shared" ref="C88" si="74">B88+8</f>
        <v>45724</v>
      </c>
      <c r="D88" s="14">
        <v>12459</v>
      </c>
      <c r="E88" s="16" t="s">
        <v>462</v>
      </c>
      <c r="F88" s="40" t="s">
        <v>463</v>
      </c>
      <c r="G88" s="17" t="s">
        <v>75</v>
      </c>
      <c r="H88" s="18" t="s">
        <v>257</v>
      </c>
      <c r="I88" s="19" t="s">
        <v>49</v>
      </c>
      <c r="J88" s="20">
        <v>45681</v>
      </c>
      <c r="K88" s="20">
        <v>45699</v>
      </c>
      <c r="L88" s="21">
        <v>150000</v>
      </c>
      <c r="M88" s="22">
        <f>SUM(N88:O88)</f>
        <v>138000</v>
      </c>
      <c r="N88" s="23">
        <v>0</v>
      </c>
      <c r="O88" s="23">
        <v>138000</v>
      </c>
      <c r="P88" s="24">
        <f t="shared" ref="P88" si="75">L88-N88</f>
        <v>150000</v>
      </c>
      <c r="Q88" s="25">
        <v>100000</v>
      </c>
      <c r="R88" s="26">
        <v>150000</v>
      </c>
      <c r="S88" s="91">
        <f t="shared" si="69"/>
        <v>1</v>
      </c>
      <c r="T88" s="91">
        <f t="shared" si="70"/>
        <v>0.66666666666666663</v>
      </c>
      <c r="U88" s="27" t="s">
        <v>193</v>
      </c>
      <c r="V88" s="30" t="s">
        <v>59</v>
      </c>
      <c r="W88" s="31">
        <v>45709</v>
      </c>
      <c r="X88" s="22"/>
      <c r="Y88" s="19" t="s">
        <v>52</v>
      </c>
      <c r="Z88" s="19" t="s">
        <v>52</v>
      </c>
      <c r="AA88" s="19" t="s">
        <v>52</v>
      </c>
      <c r="AB88" s="28"/>
      <c r="AC88" s="90"/>
    </row>
    <row r="89" spans="1:33" s="29" customFormat="1" ht="15" customHeight="1" x14ac:dyDescent="0.25">
      <c r="A89" s="14">
        <v>24</v>
      </c>
      <c r="B89" s="15">
        <v>45716</v>
      </c>
      <c r="C89" s="15">
        <f>B89+8</f>
        <v>45724</v>
      </c>
      <c r="D89" s="14">
        <v>12328</v>
      </c>
      <c r="E89" s="16" t="s">
        <v>447</v>
      </c>
      <c r="F89" s="40" t="s">
        <v>448</v>
      </c>
      <c r="G89" s="17" t="s">
        <v>75</v>
      </c>
      <c r="H89" s="18" t="s">
        <v>113</v>
      </c>
      <c r="I89" s="19" t="s">
        <v>118</v>
      </c>
      <c r="J89" s="20">
        <v>45657</v>
      </c>
      <c r="K89" s="20">
        <v>45697</v>
      </c>
      <c r="L89" s="21">
        <v>750000</v>
      </c>
      <c r="M89" s="22">
        <f>SUM(N89:O89)</f>
        <v>450000</v>
      </c>
      <c r="N89" s="23">
        <v>0</v>
      </c>
      <c r="O89" s="23">
        <v>450000</v>
      </c>
      <c r="P89" s="24">
        <f>L89-N89</f>
        <v>750000</v>
      </c>
      <c r="Q89" s="25">
        <v>300000</v>
      </c>
      <c r="R89" s="26">
        <v>150000</v>
      </c>
      <c r="S89" s="91">
        <f t="shared" si="69"/>
        <v>5</v>
      </c>
      <c r="T89" s="91">
        <f t="shared" si="70"/>
        <v>2</v>
      </c>
      <c r="U89" s="27" t="s">
        <v>192</v>
      </c>
      <c r="V89" s="19" t="s">
        <v>51</v>
      </c>
      <c r="W89" s="20">
        <v>45674</v>
      </c>
      <c r="X89" s="22"/>
      <c r="Y89" s="19" t="s">
        <v>52</v>
      </c>
      <c r="Z89" s="19" t="s">
        <v>52</v>
      </c>
      <c r="AA89" s="19" t="s">
        <v>52</v>
      </c>
      <c r="AB89" s="28"/>
      <c r="AC89" s="90"/>
    </row>
    <row r="90" spans="1:33" s="29" customFormat="1" ht="15" customHeight="1" x14ac:dyDescent="0.25">
      <c r="A90" s="14">
        <v>26</v>
      </c>
      <c r="B90" s="15">
        <v>45716</v>
      </c>
      <c r="C90" s="15">
        <f>B90+8</f>
        <v>45724</v>
      </c>
      <c r="D90" s="14">
        <v>12435</v>
      </c>
      <c r="E90" s="16" t="s">
        <v>344</v>
      </c>
      <c r="F90" s="40" t="s">
        <v>345</v>
      </c>
      <c r="G90" s="17" t="s">
        <v>75</v>
      </c>
      <c r="H90" s="18" t="s">
        <v>257</v>
      </c>
      <c r="I90" s="19" t="s">
        <v>302</v>
      </c>
      <c r="J90" s="20">
        <v>45678</v>
      </c>
      <c r="K90" s="20">
        <v>45705</v>
      </c>
      <c r="L90" s="21">
        <v>500000</v>
      </c>
      <c r="M90" s="22">
        <f>SUM(N90:O90)</f>
        <v>300000</v>
      </c>
      <c r="N90" s="23">
        <v>0</v>
      </c>
      <c r="O90" s="23">
        <v>300000</v>
      </c>
      <c r="P90" s="24">
        <f>L90-N90</f>
        <v>500000</v>
      </c>
      <c r="Q90" s="25">
        <v>300000</v>
      </c>
      <c r="R90" s="26">
        <v>150000</v>
      </c>
      <c r="S90" s="91">
        <f t="shared" si="69"/>
        <v>3.3333333333333335</v>
      </c>
      <c r="T90" s="91">
        <f t="shared" si="70"/>
        <v>2</v>
      </c>
      <c r="U90" s="27" t="s">
        <v>192</v>
      </c>
      <c r="V90" s="19" t="s">
        <v>51</v>
      </c>
      <c r="W90" s="20">
        <v>45698</v>
      </c>
      <c r="X90" s="22"/>
      <c r="Y90" s="19" t="s">
        <v>52</v>
      </c>
      <c r="Z90" s="19" t="s">
        <v>52</v>
      </c>
      <c r="AA90" s="19" t="s">
        <v>52</v>
      </c>
      <c r="AB90" s="28"/>
      <c r="AC90" s="90"/>
    </row>
    <row r="91" spans="1:33" s="29" customFormat="1" ht="15" customHeight="1" x14ac:dyDescent="0.25">
      <c r="A91" s="14">
        <v>2</v>
      </c>
      <c r="B91" s="15">
        <v>45716</v>
      </c>
      <c r="C91" s="15">
        <f>B91+8</f>
        <v>45724</v>
      </c>
      <c r="D91" s="14">
        <v>12440</v>
      </c>
      <c r="E91" s="16" t="s">
        <v>372</v>
      </c>
      <c r="F91" s="17" t="s">
        <v>461</v>
      </c>
      <c r="G91" s="17" t="s">
        <v>102</v>
      </c>
      <c r="H91" s="18" t="s">
        <v>57</v>
      </c>
      <c r="I91" s="19" t="s">
        <v>58</v>
      </c>
      <c r="J91" s="20">
        <v>45679</v>
      </c>
      <c r="K91" s="20">
        <v>45706</v>
      </c>
      <c r="L91" s="21">
        <v>1000000</v>
      </c>
      <c r="M91" s="22">
        <f>SUM(N91:O91)</f>
        <v>720000</v>
      </c>
      <c r="N91" s="23">
        <v>684000</v>
      </c>
      <c r="O91" s="23">
        <v>36000</v>
      </c>
      <c r="P91" s="24">
        <f>L91-N91</f>
        <v>316000</v>
      </c>
      <c r="Q91" s="25">
        <v>36000</v>
      </c>
      <c r="R91" s="26">
        <v>48000</v>
      </c>
      <c r="S91" s="91">
        <f t="shared" si="69"/>
        <v>6.583333333333333</v>
      </c>
      <c r="T91" s="91">
        <f t="shared" si="70"/>
        <v>0.75</v>
      </c>
      <c r="U91" s="27" t="s">
        <v>192</v>
      </c>
      <c r="V91" s="19" t="s">
        <v>51</v>
      </c>
      <c r="W91" s="20">
        <v>45696</v>
      </c>
      <c r="X91" s="22"/>
      <c r="Y91" s="19" t="s">
        <v>52</v>
      </c>
      <c r="Z91" s="19" t="s">
        <v>52</v>
      </c>
      <c r="AA91" s="19" t="s">
        <v>52</v>
      </c>
      <c r="AB91" s="28"/>
    </row>
    <row r="92" spans="1:33" s="29" customFormat="1" ht="15" customHeight="1" x14ac:dyDescent="0.25">
      <c r="A92" s="14">
        <v>7</v>
      </c>
      <c r="B92" s="15">
        <v>45716</v>
      </c>
      <c r="C92" s="15">
        <f t="shared" ref="C92" si="76">B92+8</f>
        <v>45724</v>
      </c>
      <c r="D92" s="14">
        <v>12508</v>
      </c>
      <c r="E92" s="16" t="s">
        <v>109</v>
      </c>
      <c r="F92" s="17" t="s">
        <v>110</v>
      </c>
      <c r="G92" s="17" t="s">
        <v>102</v>
      </c>
      <c r="H92" s="18" t="s">
        <v>57</v>
      </c>
      <c r="I92" s="19" t="s">
        <v>118</v>
      </c>
      <c r="J92" s="20">
        <v>45691</v>
      </c>
      <c r="K92" s="20">
        <v>45723</v>
      </c>
      <c r="L92" s="21">
        <v>600000</v>
      </c>
      <c r="M92" s="22">
        <f t="shared" ref="M92" si="77">SUM(N92:O92)</f>
        <v>250000</v>
      </c>
      <c r="N92" s="23">
        <v>50000</v>
      </c>
      <c r="O92" s="23">
        <v>200000</v>
      </c>
      <c r="P92" s="24">
        <f t="shared" ref="P92" si="78">L92-N92</f>
        <v>550000</v>
      </c>
      <c r="Q92" s="25">
        <v>100000</v>
      </c>
      <c r="R92" s="26">
        <v>50000</v>
      </c>
      <c r="S92" s="91">
        <f t="shared" si="69"/>
        <v>11</v>
      </c>
      <c r="T92" s="91">
        <f t="shared" si="70"/>
        <v>2</v>
      </c>
      <c r="U92" s="27" t="s">
        <v>192</v>
      </c>
      <c r="V92" s="30" t="s">
        <v>59</v>
      </c>
      <c r="W92" s="31">
        <v>45717</v>
      </c>
      <c r="X92" s="22"/>
      <c r="Y92" s="19" t="s">
        <v>52</v>
      </c>
      <c r="Z92" s="19" t="s">
        <v>52</v>
      </c>
      <c r="AA92" s="19" t="s">
        <v>52</v>
      </c>
      <c r="AB92" s="28"/>
    </row>
    <row r="93" spans="1:33" s="29" customFormat="1" ht="15" customHeight="1" x14ac:dyDescent="0.25">
      <c r="A93" s="14">
        <v>12</v>
      </c>
      <c r="B93" s="15">
        <v>45716</v>
      </c>
      <c r="C93" s="15">
        <f>B93+8</f>
        <v>45724</v>
      </c>
      <c r="D93" s="14">
        <v>12459</v>
      </c>
      <c r="E93" s="16" t="s">
        <v>462</v>
      </c>
      <c r="F93" s="40" t="s">
        <v>463</v>
      </c>
      <c r="G93" s="17" t="s">
        <v>75</v>
      </c>
      <c r="H93" s="18" t="s">
        <v>257</v>
      </c>
      <c r="I93" s="19" t="s">
        <v>49</v>
      </c>
      <c r="J93" s="20">
        <v>45681</v>
      </c>
      <c r="K93" s="20">
        <v>45699</v>
      </c>
      <c r="L93" s="21">
        <v>150000</v>
      </c>
      <c r="M93" s="22">
        <f>SUM(N93:O93)</f>
        <v>138000</v>
      </c>
      <c r="N93" s="23">
        <v>0</v>
      </c>
      <c r="O93" s="23">
        <v>138000</v>
      </c>
      <c r="P93" s="24">
        <f>L93-N93</f>
        <v>150000</v>
      </c>
      <c r="Q93" s="25">
        <v>38000</v>
      </c>
      <c r="R93" s="26">
        <v>150000</v>
      </c>
      <c r="S93" s="91">
        <f t="shared" si="69"/>
        <v>1</v>
      </c>
      <c r="T93" s="91">
        <f t="shared" si="70"/>
        <v>0.25333333333333335</v>
      </c>
      <c r="U93" s="27" t="s">
        <v>192</v>
      </c>
      <c r="V93" s="30" t="s">
        <v>59</v>
      </c>
      <c r="W93" s="31">
        <v>45709</v>
      </c>
      <c r="X93" s="22"/>
      <c r="Y93" s="19" t="s">
        <v>52</v>
      </c>
      <c r="Z93" s="19" t="s">
        <v>52</v>
      </c>
      <c r="AA93" s="19" t="s">
        <v>52</v>
      </c>
      <c r="AB93" s="28"/>
      <c r="AC93" s="90"/>
    </row>
    <row r="94" spans="1:33" ht="15" customHeight="1" x14ac:dyDescent="0.25">
      <c r="A94" s="33" t="s">
        <v>71</v>
      </c>
      <c r="B94" s="34"/>
      <c r="C94" s="34"/>
      <c r="D94" s="34"/>
      <c r="E94" s="34"/>
      <c r="F94" s="35"/>
      <c r="G94" s="35"/>
      <c r="H94" s="34"/>
      <c r="I94" s="34"/>
      <c r="J94" s="34"/>
      <c r="K94" s="34"/>
      <c r="L94" s="36"/>
      <c r="M94" s="36"/>
      <c r="N94" s="36"/>
      <c r="O94" s="36"/>
      <c r="P94" s="36"/>
      <c r="Q94" s="36">
        <f>SUM(Q85:Q93)</f>
        <v>1174000</v>
      </c>
      <c r="R94" s="36"/>
      <c r="S94" s="92"/>
      <c r="T94" s="93">
        <f>SUM(T85:T93)</f>
        <v>11.711666666666668</v>
      </c>
      <c r="U94" s="37"/>
      <c r="V94" s="38"/>
      <c r="W94" s="38"/>
      <c r="X94" s="38"/>
      <c r="Y94" s="34"/>
      <c r="Z94" s="34"/>
      <c r="AA94" s="39"/>
      <c r="AB94" s="29" t="s">
        <v>496</v>
      </c>
      <c r="AC94" s="81" t="s">
        <v>518</v>
      </c>
      <c r="AD94" s="83">
        <v>2500</v>
      </c>
      <c r="AF94" s="83">
        <v>0</v>
      </c>
      <c r="AG94" s="83">
        <f>SUM(AD94,AF94)</f>
        <v>2500</v>
      </c>
    </row>
    <row r="95" spans="1:33" s="29" customFormat="1" ht="15" customHeight="1" x14ac:dyDescent="0.25">
      <c r="A95" s="14">
        <v>7</v>
      </c>
      <c r="B95" s="15">
        <v>45723</v>
      </c>
      <c r="C95" s="15">
        <f t="shared" ref="C95" si="79">B95+8</f>
        <v>45731</v>
      </c>
      <c r="D95" s="14">
        <v>12287</v>
      </c>
      <c r="E95" s="84" t="s">
        <v>95</v>
      </c>
      <c r="F95" s="87" t="s">
        <v>96</v>
      </c>
      <c r="G95" s="87" t="s">
        <v>75</v>
      </c>
      <c r="H95" s="88" t="s">
        <v>54</v>
      </c>
      <c r="I95" s="19" t="s">
        <v>86</v>
      </c>
      <c r="J95" s="20">
        <v>45645</v>
      </c>
      <c r="K95" s="20">
        <v>45680</v>
      </c>
      <c r="L95" s="21">
        <v>2000000</v>
      </c>
      <c r="M95" s="22">
        <f t="shared" ref="M95" si="80">SUM(N95:O95)</f>
        <v>1284000</v>
      </c>
      <c r="N95" s="23">
        <v>1224000</v>
      </c>
      <c r="O95" s="23">
        <v>60000</v>
      </c>
      <c r="P95" s="24">
        <f t="shared" ref="P95" si="81">L95-N95</f>
        <v>776000</v>
      </c>
      <c r="Q95" s="25">
        <v>60000</v>
      </c>
      <c r="R95" s="26">
        <v>126000</v>
      </c>
      <c r="S95" s="91">
        <f t="shared" ref="S95:S102" si="82">IF(P95&gt;0,P95/$R95,0)</f>
        <v>6.1587301587301591</v>
      </c>
      <c r="T95" s="91">
        <f t="shared" ref="T95:T102" si="83">IF(Q95&gt;0,Q95/$R95,0)</f>
        <v>0.47619047619047616</v>
      </c>
      <c r="U95" s="27" t="s">
        <v>56</v>
      </c>
      <c r="V95" s="19" t="s">
        <v>51</v>
      </c>
      <c r="W95" s="20">
        <v>45700</v>
      </c>
      <c r="X95" s="22"/>
      <c r="Y95" s="19" t="s">
        <v>52</v>
      </c>
      <c r="Z95" s="19" t="s">
        <v>52</v>
      </c>
      <c r="AA95" s="19" t="s">
        <v>52</v>
      </c>
      <c r="AB95" s="28"/>
      <c r="AC95" s="90"/>
    </row>
    <row r="96" spans="1:33" s="29" customFormat="1" ht="15" customHeight="1" x14ac:dyDescent="0.25">
      <c r="A96" s="14">
        <v>6</v>
      </c>
      <c r="B96" s="15">
        <v>45723</v>
      </c>
      <c r="C96" s="15">
        <f t="shared" ref="C96:C102" si="84">B96+8</f>
        <v>45731</v>
      </c>
      <c r="D96" s="14">
        <v>12425</v>
      </c>
      <c r="E96" s="16" t="s">
        <v>316</v>
      </c>
      <c r="F96" s="17" t="s">
        <v>317</v>
      </c>
      <c r="G96" s="17" t="s">
        <v>132</v>
      </c>
      <c r="H96" s="18" t="s">
        <v>133</v>
      </c>
      <c r="I96" s="19" t="s">
        <v>198</v>
      </c>
      <c r="J96" s="20">
        <v>45673</v>
      </c>
      <c r="K96" s="20">
        <v>45721</v>
      </c>
      <c r="L96" s="21">
        <v>2000000</v>
      </c>
      <c r="M96" s="22">
        <f t="shared" ref="M96:M101" si="85">SUM(N96:O96)</f>
        <v>384000</v>
      </c>
      <c r="N96" s="23">
        <v>0</v>
      </c>
      <c r="O96" s="23">
        <v>384000</v>
      </c>
      <c r="P96" s="24">
        <f t="shared" ref="P96:P102" si="86">L96-N96</f>
        <v>2000000</v>
      </c>
      <c r="Q96" s="25">
        <v>384000</v>
      </c>
      <c r="R96" s="26">
        <v>128000</v>
      </c>
      <c r="S96" s="91">
        <f t="shared" si="82"/>
        <v>15.625</v>
      </c>
      <c r="T96" s="91">
        <f t="shared" si="83"/>
        <v>3</v>
      </c>
      <c r="U96" s="27" t="s">
        <v>56</v>
      </c>
      <c r="V96" s="19" t="s">
        <v>51</v>
      </c>
      <c r="W96" s="20">
        <v>45713</v>
      </c>
      <c r="X96" s="22"/>
      <c r="Y96" s="19" t="s">
        <v>52</v>
      </c>
      <c r="Z96" s="19" t="s">
        <v>52</v>
      </c>
      <c r="AA96" s="19" t="s">
        <v>52</v>
      </c>
      <c r="AB96" s="28"/>
    </row>
    <row r="97" spans="1:33" s="29" customFormat="1" ht="15" customHeight="1" x14ac:dyDescent="0.25">
      <c r="A97" s="14">
        <v>6</v>
      </c>
      <c r="B97" s="15">
        <v>45723</v>
      </c>
      <c r="C97" s="15">
        <f t="shared" si="84"/>
        <v>45731</v>
      </c>
      <c r="D97" s="14">
        <v>12321</v>
      </c>
      <c r="E97" s="84" t="s">
        <v>441</v>
      </c>
      <c r="F97" s="86" t="s">
        <v>442</v>
      </c>
      <c r="G97" s="87" t="s">
        <v>75</v>
      </c>
      <c r="H97" s="88" t="s">
        <v>162</v>
      </c>
      <c r="I97" s="19" t="s">
        <v>86</v>
      </c>
      <c r="J97" s="20">
        <v>45652</v>
      </c>
      <c r="K97" s="20">
        <v>45675</v>
      </c>
      <c r="L97" s="21">
        <v>3000000</v>
      </c>
      <c r="M97" s="22">
        <f t="shared" si="85"/>
        <v>2970000</v>
      </c>
      <c r="N97" s="23">
        <v>1620000</v>
      </c>
      <c r="O97" s="23">
        <v>1350000</v>
      </c>
      <c r="P97" s="24">
        <f t="shared" si="86"/>
        <v>1380000</v>
      </c>
      <c r="Q97" s="25">
        <v>1350000</v>
      </c>
      <c r="R97" s="26">
        <v>160000</v>
      </c>
      <c r="S97" s="91">
        <f t="shared" si="82"/>
        <v>8.625</v>
      </c>
      <c r="T97" s="91">
        <f t="shared" si="83"/>
        <v>8.4375</v>
      </c>
      <c r="U97" s="27" t="s">
        <v>56</v>
      </c>
      <c r="V97" s="19" t="s">
        <v>51</v>
      </c>
      <c r="W97" s="20">
        <v>45691</v>
      </c>
      <c r="X97" s="22"/>
      <c r="Y97" s="19" t="s">
        <v>52</v>
      </c>
      <c r="Z97" s="19" t="s">
        <v>52</v>
      </c>
      <c r="AA97" s="19" t="s">
        <v>52</v>
      </c>
      <c r="AB97" s="28"/>
      <c r="AC97" s="90"/>
    </row>
    <row r="98" spans="1:33" s="29" customFormat="1" ht="15" customHeight="1" x14ac:dyDescent="0.25">
      <c r="A98" s="14">
        <v>2</v>
      </c>
      <c r="B98" s="15">
        <v>45723</v>
      </c>
      <c r="C98" s="15">
        <f t="shared" si="84"/>
        <v>45731</v>
      </c>
      <c r="D98" s="14">
        <v>12499</v>
      </c>
      <c r="E98" s="16" t="s">
        <v>380</v>
      </c>
      <c r="F98" s="40" t="s">
        <v>381</v>
      </c>
      <c r="G98" s="17" t="s">
        <v>75</v>
      </c>
      <c r="H98" s="18" t="s">
        <v>78</v>
      </c>
      <c r="I98" s="19" t="s">
        <v>79</v>
      </c>
      <c r="J98" s="20">
        <v>45687</v>
      </c>
      <c r="K98" s="20">
        <v>45708</v>
      </c>
      <c r="L98" s="21">
        <v>2000000</v>
      </c>
      <c r="M98" s="22">
        <f t="shared" si="85"/>
        <v>1185000</v>
      </c>
      <c r="N98" s="23">
        <v>1080000</v>
      </c>
      <c r="O98" s="23">
        <v>105000</v>
      </c>
      <c r="P98" s="24">
        <f t="shared" si="86"/>
        <v>920000</v>
      </c>
      <c r="Q98" s="25">
        <v>105000</v>
      </c>
      <c r="R98" s="26">
        <v>105000</v>
      </c>
      <c r="S98" s="91">
        <f t="shared" si="82"/>
        <v>8.7619047619047628</v>
      </c>
      <c r="T98" s="91">
        <f t="shared" si="83"/>
        <v>1</v>
      </c>
      <c r="U98" s="27" t="s">
        <v>56</v>
      </c>
      <c r="V98" s="19" t="s">
        <v>51</v>
      </c>
      <c r="W98" s="20">
        <v>45705</v>
      </c>
      <c r="X98" s="22"/>
      <c r="Y98" s="19" t="s">
        <v>52</v>
      </c>
      <c r="Z98" s="19" t="s">
        <v>52</v>
      </c>
      <c r="AA98" s="19" t="s">
        <v>52</v>
      </c>
      <c r="AB98" s="28"/>
      <c r="AC98" s="90"/>
    </row>
    <row r="99" spans="1:33" s="29" customFormat="1" ht="15" customHeight="1" x14ac:dyDescent="0.25">
      <c r="A99" s="14">
        <v>32</v>
      </c>
      <c r="B99" s="15">
        <v>45723</v>
      </c>
      <c r="C99" s="15">
        <f t="shared" si="84"/>
        <v>45731</v>
      </c>
      <c r="D99" s="14">
        <v>12496</v>
      </c>
      <c r="E99" s="16" t="s">
        <v>422</v>
      </c>
      <c r="F99" s="40" t="s">
        <v>476</v>
      </c>
      <c r="G99" s="17" t="s">
        <v>75</v>
      </c>
      <c r="H99" s="18" t="s">
        <v>78</v>
      </c>
      <c r="I99" s="19" t="s">
        <v>79</v>
      </c>
      <c r="J99" s="20">
        <v>45691</v>
      </c>
      <c r="K99" s="20">
        <v>45736</v>
      </c>
      <c r="L99" s="21">
        <v>750000</v>
      </c>
      <c r="M99" s="22">
        <f t="shared" si="85"/>
        <v>770000</v>
      </c>
      <c r="N99" s="23">
        <v>600000</v>
      </c>
      <c r="O99" s="23">
        <v>170000</v>
      </c>
      <c r="P99" s="24">
        <f t="shared" si="86"/>
        <v>150000</v>
      </c>
      <c r="Q99" s="25">
        <v>170000</v>
      </c>
      <c r="R99" s="26">
        <v>210000</v>
      </c>
      <c r="S99" s="91">
        <f t="shared" si="82"/>
        <v>0.7142857142857143</v>
      </c>
      <c r="T99" s="91">
        <f t="shared" si="83"/>
        <v>0.80952380952380953</v>
      </c>
      <c r="U99" s="27" t="s">
        <v>56</v>
      </c>
      <c r="V99" s="19" t="s">
        <v>51</v>
      </c>
      <c r="W99" s="20">
        <v>45704</v>
      </c>
      <c r="X99" s="22"/>
      <c r="Y99" s="19" t="s">
        <v>52</v>
      </c>
      <c r="Z99" s="19" t="s">
        <v>52</v>
      </c>
      <c r="AA99" s="19" t="s">
        <v>52</v>
      </c>
      <c r="AB99" s="28"/>
      <c r="AC99" s="90"/>
    </row>
    <row r="100" spans="1:33" s="29" customFormat="1" ht="15" customHeight="1" x14ac:dyDescent="0.25">
      <c r="A100" s="14">
        <v>8</v>
      </c>
      <c r="B100" s="15">
        <v>45723</v>
      </c>
      <c r="C100" s="15">
        <f t="shared" si="84"/>
        <v>45731</v>
      </c>
      <c r="D100" s="14">
        <v>12550</v>
      </c>
      <c r="E100" s="16" t="s">
        <v>136</v>
      </c>
      <c r="F100" s="17" t="s">
        <v>479</v>
      </c>
      <c r="G100" s="17" t="s">
        <v>132</v>
      </c>
      <c r="H100" s="18" t="s">
        <v>54</v>
      </c>
      <c r="I100" s="19" t="s">
        <v>135</v>
      </c>
      <c r="J100" s="20">
        <v>45695</v>
      </c>
      <c r="K100" s="20">
        <v>45708</v>
      </c>
      <c r="L100" s="21">
        <v>375000</v>
      </c>
      <c r="M100" s="22">
        <f t="shared" si="85"/>
        <v>408020</v>
      </c>
      <c r="N100" s="23">
        <v>139890</v>
      </c>
      <c r="O100" s="23">
        <v>268130</v>
      </c>
      <c r="P100" s="24">
        <f t="shared" si="86"/>
        <v>235110</v>
      </c>
      <c r="Q100" s="25">
        <v>268130</v>
      </c>
      <c r="R100" s="26">
        <v>69948</v>
      </c>
      <c r="S100" s="91">
        <f t="shared" si="82"/>
        <v>3.3612111854520501</v>
      </c>
      <c r="T100" s="91">
        <f t="shared" si="83"/>
        <v>3.8332761479956541</v>
      </c>
      <c r="U100" s="27" t="s">
        <v>56</v>
      </c>
      <c r="V100" s="19" t="s">
        <v>51</v>
      </c>
      <c r="W100" s="20">
        <v>45716</v>
      </c>
      <c r="X100" s="22"/>
      <c r="Y100" s="19" t="s">
        <v>52</v>
      </c>
      <c r="Z100" s="19" t="s">
        <v>52</v>
      </c>
      <c r="AA100" s="19" t="s">
        <v>52</v>
      </c>
      <c r="AB100" s="28"/>
    </row>
    <row r="101" spans="1:33" s="29" customFormat="1" ht="15" customHeight="1" x14ac:dyDescent="0.25">
      <c r="A101" s="14">
        <v>9</v>
      </c>
      <c r="B101" s="15">
        <v>45723</v>
      </c>
      <c r="C101" s="15">
        <f t="shared" si="84"/>
        <v>45731</v>
      </c>
      <c r="D101" s="14">
        <v>12441</v>
      </c>
      <c r="E101" s="16" t="s">
        <v>376</v>
      </c>
      <c r="F101" s="40" t="s">
        <v>371</v>
      </c>
      <c r="G101" s="17" t="s">
        <v>75</v>
      </c>
      <c r="H101" s="18" t="s">
        <v>78</v>
      </c>
      <c r="I101" s="19" t="s">
        <v>79</v>
      </c>
      <c r="J101" s="20">
        <v>45678</v>
      </c>
      <c r="K101" s="20">
        <v>45706</v>
      </c>
      <c r="L101" s="21">
        <v>650000</v>
      </c>
      <c r="M101" s="22">
        <f t="shared" si="85"/>
        <v>525000</v>
      </c>
      <c r="N101" s="23">
        <v>315000</v>
      </c>
      <c r="O101" s="23">
        <v>210000</v>
      </c>
      <c r="P101" s="24">
        <f t="shared" si="86"/>
        <v>335000</v>
      </c>
      <c r="Q101" s="25">
        <v>210000</v>
      </c>
      <c r="R101" s="26">
        <v>96000</v>
      </c>
      <c r="S101" s="91">
        <f t="shared" si="82"/>
        <v>3.4895833333333335</v>
      </c>
      <c r="T101" s="91">
        <f t="shared" si="83"/>
        <v>2.1875</v>
      </c>
      <c r="U101" s="27" t="s">
        <v>56</v>
      </c>
      <c r="V101" s="19" t="s">
        <v>51</v>
      </c>
      <c r="W101" s="20">
        <v>45704</v>
      </c>
      <c r="X101" s="22"/>
      <c r="Y101" s="19" t="s">
        <v>52</v>
      </c>
      <c r="Z101" s="19" t="s">
        <v>52</v>
      </c>
      <c r="AA101" s="19" t="s">
        <v>52</v>
      </c>
      <c r="AB101" s="42"/>
      <c r="AC101" s="90"/>
    </row>
    <row r="102" spans="1:33" s="29" customFormat="1" ht="15" customHeight="1" x14ac:dyDescent="0.25">
      <c r="A102" s="14">
        <v>10</v>
      </c>
      <c r="B102" s="15">
        <v>45723</v>
      </c>
      <c r="C102" s="15">
        <f t="shared" si="84"/>
        <v>45731</v>
      </c>
      <c r="D102" s="14">
        <v>12567</v>
      </c>
      <c r="E102" s="16" t="s">
        <v>145</v>
      </c>
      <c r="F102" s="17" t="s">
        <v>146</v>
      </c>
      <c r="G102" s="17" t="s">
        <v>132</v>
      </c>
      <c r="H102" s="18" t="s">
        <v>54</v>
      </c>
      <c r="I102" s="19" t="s">
        <v>135</v>
      </c>
      <c r="J102" s="20">
        <v>45699</v>
      </c>
      <c r="K102" s="20">
        <v>45742</v>
      </c>
      <c r="L102" s="21">
        <v>75000</v>
      </c>
      <c r="M102" s="22">
        <f t="shared" ref="M102" si="87">SUM(N102:O102)</f>
        <v>79130</v>
      </c>
      <c r="N102" s="23">
        <v>0</v>
      </c>
      <c r="O102" s="23">
        <v>79130</v>
      </c>
      <c r="P102" s="24">
        <f t="shared" si="86"/>
        <v>75000</v>
      </c>
      <c r="Q102" s="25">
        <v>79120</v>
      </c>
      <c r="R102" s="26">
        <v>50868</v>
      </c>
      <c r="S102" s="91">
        <f t="shared" si="82"/>
        <v>1.4744043406463789</v>
      </c>
      <c r="T102" s="91">
        <f t="shared" si="83"/>
        <v>1.5553982857592199</v>
      </c>
      <c r="U102" s="27" t="s">
        <v>56</v>
      </c>
      <c r="V102" s="19" t="s">
        <v>51</v>
      </c>
      <c r="W102" s="20">
        <v>45716</v>
      </c>
      <c r="X102" s="22"/>
      <c r="Y102" s="19" t="s">
        <v>52</v>
      </c>
      <c r="Z102" s="19" t="s">
        <v>52</v>
      </c>
      <c r="AA102" s="19" t="s">
        <v>52</v>
      </c>
      <c r="AB102" s="28"/>
    </row>
    <row r="103" spans="1:33" ht="15" customHeight="1" x14ac:dyDescent="0.25">
      <c r="A103" s="33" t="s">
        <v>71</v>
      </c>
      <c r="B103" s="34"/>
      <c r="C103" s="34"/>
      <c r="D103" s="34"/>
      <c r="E103" s="34"/>
      <c r="F103" s="35"/>
      <c r="G103" s="35"/>
      <c r="H103" s="34"/>
      <c r="I103" s="34"/>
      <c r="J103" s="34"/>
      <c r="K103" s="34"/>
      <c r="L103" s="36"/>
      <c r="M103" s="36"/>
      <c r="N103" s="36"/>
      <c r="O103" s="36"/>
      <c r="P103" s="36"/>
      <c r="Q103" s="36">
        <f>SUM(Q95:Q102)</f>
        <v>2626250</v>
      </c>
      <c r="R103" s="36"/>
      <c r="S103" s="92"/>
      <c r="T103" s="93">
        <f>SUM(T95:T102)</f>
        <v>21.29938871946916</v>
      </c>
      <c r="U103" s="37"/>
      <c r="V103" s="38"/>
      <c r="W103" s="38"/>
      <c r="X103" s="38"/>
      <c r="Y103" s="34"/>
      <c r="Z103" s="34"/>
      <c r="AA103" s="39"/>
      <c r="AB103" s="29" t="s">
        <v>519</v>
      </c>
      <c r="AC103" s="81" t="s">
        <v>525</v>
      </c>
      <c r="AD103" s="83">
        <v>5000</v>
      </c>
      <c r="AF103" s="83">
        <v>0</v>
      </c>
      <c r="AG103" s="83">
        <f>SUM(AD103,AF103)</f>
        <v>5000</v>
      </c>
    </row>
    <row r="104" spans="1:33" s="29" customFormat="1" ht="15" customHeight="1" x14ac:dyDescent="0.25">
      <c r="A104" s="14">
        <v>11</v>
      </c>
      <c r="B104" s="15">
        <v>45723</v>
      </c>
      <c r="C104" s="15">
        <f t="shared" ref="C104" si="88">B104+8</f>
        <v>45731</v>
      </c>
      <c r="D104" s="14">
        <v>12303</v>
      </c>
      <c r="E104" s="16" t="s">
        <v>342</v>
      </c>
      <c r="F104" s="40" t="s">
        <v>343</v>
      </c>
      <c r="G104" s="17" t="s">
        <v>75</v>
      </c>
      <c r="H104" s="18" t="s">
        <v>57</v>
      </c>
      <c r="I104" s="19" t="s">
        <v>64</v>
      </c>
      <c r="J104" s="20">
        <v>45649</v>
      </c>
      <c r="K104" s="20">
        <v>45687</v>
      </c>
      <c r="L104" s="21">
        <v>600000</v>
      </c>
      <c r="M104" s="22">
        <f t="shared" ref="M104" si="89">SUM(N104:O104)</f>
        <v>594000</v>
      </c>
      <c r="N104" s="23">
        <v>396000</v>
      </c>
      <c r="O104" s="23">
        <v>198000</v>
      </c>
      <c r="P104" s="24">
        <f t="shared" ref="P104" si="90">L104-N104</f>
        <v>204000</v>
      </c>
      <c r="Q104" s="25">
        <v>198000</v>
      </c>
      <c r="R104" s="26">
        <v>150000</v>
      </c>
      <c r="S104" s="91">
        <f t="shared" ref="S104:S110" si="91">IF(P104&gt;0,P104/$R104,0)</f>
        <v>1.36</v>
      </c>
      <c r="T104" s="91">
        <f t="shared" ref="T104:T110" si="92">IF(Q104&gt;0,Q104/$R104,0)</f>
        <v>1.32</v>
      </c>
      <c r="U104" s="27" t="s">
        <v>193</v>
      </c>
      <c r="V104" s="19" t="s">
        <v>51</v>
      </c>
      <c r="W104" s="20">
        <v>45675</v>
      </c>
      <c r="X104" s="22"/>
      <c r="Y104" s="19" t="s">
        <v>52</v>
      </c>
      <c r="Z104" s="19" t="s">
        <v>52</v>
      </c>
      <c r="AA104" s="19" t="s">
        <v>52</v>
      </c>
      <c r="AB104" s="28"/>
      <c r="AC104" s="90"/>
    </row>
    <row r="105" spans="1:33" s="29" customFormat="1" ht="15" customHeight="1" x14ac:dyDescent="0.25">
      <c r="A105" s="14">
        <v>6</v>
      </c>
      <c r="B105" s="15">
        <v>45723</v>
      </c>
      <c r="C105" s="15">
        <f t="shared" ref="C105:C109" si="93">B105+8</f>
        <v>45731</v>
      </c>
      <c r="D105" s="14">
        <v>12508</v>
      </c>
      <c r="E105" s="16" t="s">
        <v>109</v>
      </c>
      <c r="F105" s="17" t="s">
        <v>110</v>
      </c>
      <c r="G105" s="17" t="s">
        <v>102</v>
      </c>
      <c r="H105" s="18" t="s">
        <v>57</v>
      </c>
      <c r="I105" s="19" t="s">
        <v>118</v>
      </c>
      <c r="J105" s="20">
        <v>45691</v>
      </c>
      <c r="K105" s="20">
        <v>45723</v>
      </c>
      <c r="L105" s="21">
        <v>600000</v>
      </c>
      <c r="M105" s="22">
        <f>SUM(N105:O105)</f>
        <v>613000</v>
      </c>
      <c r="N105" s="23">
        <v>250000</v>
      </c>
      <c r="O105" s="23">
        <v>363000</v>
      </c>
      <c r="P105" s="24">
        <f t="shared" ref="P105:P109" si="94">L105-N105</f>
        <v>350000</v>
      </c>
      <c r="Q105" s="25">
        <v>363000</v>
      </c>
      <c r="R105" s="26">
        <v>50000</v>
      </c>
      <c r="S105" s="91">
        <f t="shared" si="91"/>
        <v>7</v>
      </c>
      <c r="T105" s="91">
        <f t="shared" si="92"/>
        <v>7.26</v>
      </c>
      <c r="U105" s="27" t="s">
        <v>193</v>
      </c>
      <c r="V105" s="19" t="s">
        <v>51</v>
      </c>
      <c r="W105" s="20">
        <v>45716</v>
      </c>
      <c r="X105" s="22"/>
      <c r="Y105" s="19" t="s">
        <v>52</v>
      </c>
      <c r="Z105" s="19" t="s">
        <v>52</v>
      </c>
      <c r="AA105" s="19" t="s">
        <v>52</v>
      </c>
      <c r="AB105" s="28"/>
    </row>
    <row r="106" spans="1:33" s="29" customFormat="1" ht="15" customHeight="1" x14ac:dyDescent="0.25">
      <c r="A106" s="14">
        <v>11</v>
      </c>
      <c r="B106" s="15">
        <v>45723</v>
      </c>
      <c r="C106" s="15">
        <f t="shared" si="93"/>
        <v>45731</v>
      </c>
      <c r="D106" s="14">
        <v>12551</v>
      </c>
      <c r="E106" s="16" t="s">
        <v>127</v>
      </c>
      <c r="F106" s="17" t="s">
        <v>128</v>
      </c>
      <c r="G106" s="17" t="s">
        <v>102</v>
      </c>
      <c r="H106" s="18" t="s">
        <v>62</v>
      </c>
      <c r="I106" s="19" t="s">
        <v>63</v>
      </c>
      <c r="J106" s="20">
        <v>45695</v>
      </c>
      <c r="K106" s="20">
        <v>45730</v>
      </c>
      <c r="L106" s="21">
        <v>336000</v>
      </c>
      <c r="M106" s="22">
        <f>SUM(N106:O106)</f>
        <v>336000</v>
      </c>
      <c r="N106" s="23">
        <v>0</v>
      </c>
      <c r="O106" s="23">
        <v>336000</v>
      </c>
      <c r="P106" s="24">
        <f t="shared" si="94"/>
        <v>336000</v>
      </c>
      <c r="Q106" s="25">
        <v>336000</v>
      </c>
      <c r="R106" s="26">
        <v>84000</v>
      </c>
      <c r="S106" s="91">
        <f t="shared" si="91"/>
        <v>4</v>
      </c>
      <c r="T106" s="91">
        <f t="shared" si="92"/>
        <v>4</v>
      </c>
      <c r="U106" s="27" t="s">
        <v>193</v>
      </c>
      <c r="V106" s="19" t="s">
        <v>51</v>
      </c>
      <c r="W106" s="20">
        <v>45716</v>
      </c>
      <c r="X106" s="22"/>
      <c r="Y106" s="19" t="s">
        <v>52</v>
      </c>
      <c r="Z106" s="19" t="s">
        <v>52</v>
      </c>
      <c r="AA106" s="19" t="s">
        <v>52</v>
      </c>
      <c r="AB106" s="28"/>
    </row>
    <row r="107" spans="1:33" s="29" customFormat="1" ht="15" customHeight="1" x14ac:dyDescent="0.25">
      <c r="A107" s="14">
        <v>1</v>
      </c>
      <c r="B107" s="15">
        <v>45723</v>
      </c>
      <c r="C107" s="15">
        <f t="shared" si="93"/>
        <v>45731</v>
      </c>
      <c r="D107" s="14">
        <v>12440</v>
      </c>
      <c r="E107" s="16" t="s">
        <v>372</v>
      </c>
      <c r="F107" s="17" t="s">
        <v>461</v>
      </c>
      <c r="G107" s="17" t="s">
        <v>102</v>
      </c>
      <c r="H107" s="18" t="s">
        <v>57</v>
      </c>
      <c r="I107" s="19" t="s">
        <v>58</v>
      </c>
      <c r="J107" s="20">
        <v>45679</v>
      </c>
      <c r="K107" s="20">
        <v>45706</v>
      </c>
      <c r="L107" s="21">
        <v>1000000</v>
      </c>
      <c r="M107" s="22">
        <f>SUM(N107:O107)</f>
        <v>936000</v>
      </c>
      <c r="N107" s="23">
        <v>720000</v>
      </c>
      <c r="O107" s="23">
        <v>216000</v>
      </c>
      <c r="P107" s="24">
        <f t="shared" si="94"/>
        <v>280000</v>
      </c>
      <c r="Q107" s="25">
        <v>216000</v>
      </c>
      <c r="R107" s="26">
        <v>48000</v>
      </c>
      <c r="S107" s="91">
        <f t="shared" si="91"/>
        <v>5.833333333333333</v>
      </c>
      <c r="T107" s="91">
        <f t="shared" si="92"/>
        <v>4.5</v>
      </c>
      <c r="U107" s="27" t="s">
        <v>192</v>
      </c>
      <c r="V107" s="19" t="s">
        <v>51</v>
      </c>
      <c r="W107" s="20">
        <v>45696</v>
      </c>
      <c r="X107" s="22"/>
      <c r="Y107" s="19" t="s">
        <v>52</v>
      </c>
      <c r="Z107" s="19" t="s">
        <v>52</v>
      </c>
      <c r="AA107" s="19" t="s">
        <v>52</v>
      </c>
      <c r="AB107" s="28"/>
    </row>
    <row r="108" spans="1:33" s="29" customFormat="1" ht="15" customHeight="1" x14ac:dyDescent="0.25">
      <c r="A108" s="14">
        <v>27</v>
      </c>
      <c r="B108" s="15">
        <v>45723</v>
      </c>
      <c r="C108" s="15">
        <f>B108+8</f>
        <v>45731</v>
      </c>
      <c r="D108" s="14">
        <v>12467</v>
      </c>
      <c r="E108" s="16" t="s">
        <v>464</v>
      </c>
      <c r="F108" s="40" t="s">
        <v>465</v>
      </c>
      <c r="G108" s="17" t="s">
        <v>75</v>
      </c>
      <c r="H108" s="18" t="s">
        <v>113</v>
      </c>
      <c r="I108" s="19" t="s">
        <v>94</v>
      </c>
      <c r="J108" s="20">
        <v>45684</v>
      </c>
      <c r="K108" s="20">
        <v>45713</v>
      </c>
      <c r="L108" s="21">
        <v>1050000</v>
      </c>
      <c r="M108" s="22">
        <f>SUM(N108:O108)</f>
        <v>300000</v>
      </c>
      <c r="N108" s="23">
        <v>0</v>
      </c>
      <c r="O108" s="23">
        <v>300000</v>
      </c>
      <c r="P108" s="24">
        <f>L108-N108</f>
        <v>1050000</v>
      </c>
      <c r="Q108" s="25">
        <v>300000</v>
      </c>
      <c r="R108" s="26">
        <v>150000</v>
      </c>
      <c r="S108" s="91">
        <f t="shared" si="91"/>
        <v>7</v>
      </c>
      <c r="T108" s="91">
        <f t="shared" si="92"/>
        <v>2</v>
      </c>
      <c r="U108" s="27" t="s">
        <v>192</v>
      </c>
      <c r="V108" s="19" t="s">
        <v>51</v>
      </c>
      <c r="W108" s="20">
        <v>45716</v>
      </c>
      <c r="X108" s="22"/>
      <c r="Y108" s="19" t="s">
        <v>52</v>
      </c>
      <c r="Z108" s="19" t="s">
        <v>52</v>
      </c>
      <c r="AA108" s="19" t="s">
        <v>52</v>
      </c>
      <c r="AB108" s="28"/>
      <c r="AC108" s="90"/>
    </row>
    <row r="109" spans="1:33" s="29" customFormat="1" ht="15" customHeight="1" x14ac:dyDescent="0.25">
      <c r="A109" s="14">
        <v>12</v>
      </c>
      <c r="B109" s="15">
        <v>45723</v>
      </c>
      <c r="C109" s="15">
        <f t="shared" si="93"/>
        <v>45731</v>
      </c>
      <c r="D109" s="14">
        <v>12556</v>
      </c>
      <c r="E109" s="16" t="s">
        <v>372</v>
      </c>
      <c r="F109" s="17" t="s">
        <v>478</v>
      </c>
      <c r="G109" s="17" t="s">
        <v>102</v>
      </c>
      <c r="H109" s="18" t="s">
        <v>57</v>
      </c>
      <c r="I109" s="19" t="s">
        <v>58</v>
      </c>
      <c r="J109" s="20">
        <v>45698</v>
      </c>
      <c r="K109" s="20">
        <v>45733</v>
      </c>
      <c r="L109" s="21">
        <v>1500000</v>
      </c>
      <c r="M109" s="22">
        <f>SUM(N109:O109)</f>
        <v>144000</v>
      </c>
      <c r="N109" s="23">
        <v>0</v>
      </c>
      <c r="O109" s="23">
        <v>144000</v>
      </c>
      <c r="P109" s="24">
        <f t="shared" si="94"/>
        <v>1500000</v>
      </c>
      <c r="Q109" s="25">
        <v>144000</v>
      </c>
      <c r="R109" s="26">
        <v>48000</v>
      </c>
      <c r="S109" s="91">
        <f t="shared" si="91"/>
        <v>31.25</v>
      </c>
      <c r="T109" s="91">
        <f t="shared" si="92"/>
        <v>3</v>
      </c>
      <c r="U109" s="27" t="s">
        <v>192</v>
      </c>
      <c r="V109" s="19" t="s">
        <v>51</v>
      </c>
      <c r="W109" s="20">
        <v>45716</v>
      </c>
      <c r="X109" s="22"/>
      <c r="Y109" s="19" t="s">
        <v>52</v>
      </c>
      <c r="Z109" s="19" t="s">
        <v>52</v>
      </c>
      <c r="AA109" s="19" t="s">
        <v>52</v>
      </c>
      <c r="AB109" s="28"/>
    </row>
    <row r="110" spans="1:33" s="29" customFormat="1" ht="15" customHeight="1" x14ac:dyDescent="0.25">
      <c r="A110" s="14">
        <v>2</v>
      </c>
      <c r="B110" s="15">
        <v>45723</v>
      </c>
      <c r="C110" s="15">
        <f>B110+8</f>
        <v>45731</v>
      </c>
      <c r="D110" s="14">
        <v>12591</v>
      </c>
      <c r="E110" s="16" t="s">
        <v>404</v>
      </c>
      <c r="F110" s="17" t="s">
        <v>405</v>
      </c>
      <c r="G110" s="17" t="s">
        <v>47</v>
      </c>
      <c r="H110" s="18" t="s">
        <v>57</v>
      </c>
      <c r="I110" s="19" t="s">
        <v>58</v>
      </c>
      <c r="J110" s="20">
        <v>45705</v>
      </c>
      <c r="K110" s="20">
        <v>45733</v>
      </c>
      <c r="L110" s="21">
        <v>1000000</v>
      </c>
      <c r="M110" s="22">
        <f t="shared" ref="M110" si="95">SUM(N110:O110)</f>
        <v>100000</v>
      </c>
      <c r="N110" s="23">
        <v>0</v>
      </c>
      <c r="O110" s="23">
        <v>100000</v>
      </c>
      <c r="P110" s="24">
        <f>L110-N110</f>
        <v>1000000</v>
      </c>
      <c r="Q110" s="25">
        <v>100000</v>
      </c>
      <c r="R110" s="26">
        <v>100000</v>
      </c>
      <c r="S110" s="91">
        <f t="shared" si="91"/>
        <v>10</v>
      </c>
      <c r="T110" s="91">
        <f t="shared" si="92"/>
        <v>1</v>
      </c>
      <c r="U110" s="27" t="s">
        <v>192</v>
      </c>
      <c r="V110" s="30" t="s">
        <v>59</v>
      </c>
      <c r="W110" s="31">
        <v>45723</v>
      </c>
      <c r="X110" s="22"/>
      <c r="Y110" s="19" t="s">
        <v>52</v>
      </c>
      <c r="Z110" s="19" t="s">
        <v>52</v>
      </c>
      <c r="AA110" s="19" t="s">
        <v>52</v>
      </c>
      <c r="AB110" s="28"/>
    </row>
    <row r="111" spans="1:33" ht="15" customHeight="1" x14ac:dyDescent="0.25">
      <c r="A111" s="33" t="s">
        <v>71</v>
      </c>
      <c r="B111" s="34"/>
      <c r="C111" s="34"/>
      <c r="D111" s="34"/>
      <c r="E111" s="34"/>
      <c r="F111" s="35"/>
      <c r="G111" s="35"/>
      <c r="H111" s="34"/>
      <c r="I111" s="34"/>
      <c r="J111" s="34"/>
      <c r="K111" s="34"/>
      <c r="L111" s="36"/>
      <c r="M111" s="36"/>
      <c r="N111" s="36"/>
      <c r="O111" s="36"/>
      <c r="P111" s="36"/>
      <c r="Q111" s="36">
        <f>SUM(Q104:Q110)</f>
        <v>1657000</v>
      </c>
      <c r="R111" s="36"/>
      <c r="S111" s="92"/>
      <c r="T111" s="93">
        <f>SUM(T104:T110)</f>
        <v>23.08</v>
      </c>
      <c r="U111" s="37"/>
      <c r="V111" s="38"/>
      <c r="W111" s="38"/>
      <c r="X111" s="38"/>
      <c r="Y111" s="34"/>
      <c r="Z111" s="34"/>
      <c r="AA111" s="39"/>
      <c r="AB111" s="29" t="s">
        <v>520</v>
      </c>
      <c r="AC111" s="81" t="s">
        <v>532</v>
      </c>
      <c r="AD111" s="83">
        <v>5000</v>
      </c>
      <c r="AF111" s="83">
        <v>0</v>
      </c>
      <c r="AG111" s="83">
        <f>SUM(AD111,AF111)</f>
        <v>5000</v>
      </c>
    </row>
    <row r="112" spans="1:33" s="29" customFormat="1" ht="15" customHeight="1" x14ac:dyDescent="0.25">
      <c r="A112" s="14">
        <v>6</v>
      </c>
      <c r="B112" s="15">
        <v>45727</v>
      </c>
      <c r="C112" s="15">
        <f t="shared" ref="C112:C118" si="96">B112+8</f>
        <v>45735</v>
      </c>
      <c r="D112" s="14">
        <v>12425</v>
      </c>
      <c r="E112" s="16" t="s">
        <v>316</v>
      </c>
      <c r="F112" s="17" t="s">
        <v>317</v>
      </c>
      <c r="G112" s="17" t="s">
        <v>132</v>
      </c>
      <c r="H112" s="18" t="s">
        <v>133</v>
      </c>
      <c r="I112" s="19" t="s">
        <v>198</v>
      </c>
      <c r="J112" s="20">
        <v>45673</v>
      </c>
      <c r="K112" s="20">
        <v>45721</v>
      </c>
      <c r="L112" s="21">
        <v>2000000</v>
      </c>
      <c r="M112" s="22">
        <f>SUM(N112:O112)</f>
        <v>960000</v>
      </c>
      <c r="N112" s="23">
        <v>384000</v>
      </c>
      <c r="O112" s="23">
        <v>576000</v>
      </c>
      <c r="P112" s="24">
        <f t="shared" ref="P112:P118" si="97">L112-N112</f>
        <v>1616000</v>
      </c>
      <c r="Q112" s="25">
        <v>576000</v>
      </c>
      <c r="R112" s="26">
        <v>128000</v>
      </c>
      <c r="S112" s="91">
        <f t="shared" ref="S112:S118" si="98">IF(P112&gt;0,P112/$R112,0)</f>
        <v>12.625</v>
      </c>
      <c r="T112" s="91">
        <f t="shared" ref="T112:T118" si="99">IF(Q112&gt;0,Q112/$R112,0)</f>
        <v>4.5</v>
      </c>
      <c r="U112" s="27" t="s">
        <v>56</v>
      </c>
      <c r="V112" s="19" t="s">
        <v>51</v>
      </c>
      <c r="W112" s="20">
        <v>45713</v>
      </c>
      <c r="X112" s="22"/>
      <c r="Y112" s="19" t="s">
        <v>52</v>
      </c>
      <c r="Z112" s="19" t="s">
        <v>52</v>
      </c>
      <c r="AA112" s="19" t="s">
        <v>52</v>
      </c>
      <c r="AB112" s="28"/>
    </row>
    <row r="113" spans="1:33" s="29" customFormat="1" ht="15" customHeight="1" x14ac:dyDescent="0.25">
      <c r="A113" s="14">
        <v>3</v>
      </c>
      <c r="B113" s="15">
        <v>45727</v>
      </c>
      <c r="C113" s="15">
        <f t="shared" si="96"/>
        <v>45735</v>
      </c>
      <c r="D113" s="14">
        <v>12350</v>
      </c>
      <c r="E113" s="16" t="s">
        <v>358</v>
      </c>
      <c r="F113" s="17" t="s">
        <v>359</v>
      </c>
      <c r="G113" s="17" t="s">
        <v>132</v>
      </c>
      <c r="H113" s="18" t="s">
        <v>54</v>
      </c>
      <c r="I113" s="19" t="s">
        <v>198</v>
      </c>
      <c r="J113" s="20">
        <v>45679</v>
      </c>
      <c r="K113" s="20">
        <v>45706</v>
      </c>
      <c r="L113" s="21">
        <v>400000</v>
      </c>
      <c r="M113" s="22">
        <f t="shared" ref="M113" si="100">SUM(N113:O113)</f>
        <v>384000</v>
      </c>
      <c r="N113" s="23">
        <v>0</v>
      </c>
      <c r="O113" s="23">
        <v>384000</v>
      </c>
      <c r="P113" s="24">
        <f t="shared" si="97"/>
        <v>400000</v>
      </c>
      <c r="Q113" s="25">
        <v>384000</v>
      </c>
      <c r="R113" s="26">
        <v>324000</v>
      </c>
      <c r="S113" s="91">
        <f t="shared" si="98"/>
        <v>1.2345679012345678</v>
      </c>
      <c r="T113" s="91">
        <f t="shared" si="99"/>
        <v>1.1851851851851851</v>
      </c>
      <c r="U113" s="27" t="s">
        <v>56</v>
      </c>
      <c r="V113" s="19" t="s">
        <v>51</v>
      </c>
      <c r="W113" s="20">
        <v>45706</v>
      </c>
      <c r="X113" s="22"/>
      <c r="Y113" s="19" t="s">
        <v>52</v>
      </c>
      <c r="Z113" s="19" t="s">
        <v>52</v>
      </c>
      <c r="AA113" s="19" t="s">
        <v>52</v>
      </c>
      <c r="AB113" s="28"/>
    </row>
    <row r="114" spans="1:33" s="29" customFormat="1" ht="15" customHeight="1" x14ac:dyDescent="0.25">
      <c r="A114" s="14">
        <v>6</v>
      </c>
      <c r="B114" s="15">
        <v>45727</v>
      </c>
      <c r="C114" s="15">
        <f t="shared" si="96"/>
        <v>45735</v>
      </c>
      <c r="D114" s="14">
        <v>12321</v>
      </c>
      <c r="E114" s="84" t="s">
        <v>441</v>
      </c>
      <c r="F114" s="86" t="s">
        <v>442</v>
      </c>
      <c r="G114" s="87" t="s">
        <v>75</v>
      </c>
      <c r="H114" s="88" t="s">
        <v>162</v>
      </c>
      <c r="I114" s="19" t="s">
        <v>86</v>
      </c>
      <c r="J114" s="20">
        <v>45652</v>
      </c>
      <c r="K114" s="20">
        <v>45675</v>
      </c>
      <c r="L114" s="21">
        <v>3000000</v>
      </c>
      <c r="M114" s="22">
        <f>SUM(N114:O114)</f>
        <v>3100000</v>
      </c>
      <c r="N114" s="23">
        <v>2970000</v>
      </c>
      <c r="O114" s="23">
        <v>130000</v>
      </c>
      <c r="P114" s="24">
        <f t="shared" si="97"/>
        <v>30000</v>
      </c>
      <c r="Q114" s="25">
        <v>130000</v>
      </c>
      <c r="R114" s="26">
        <v>160000</v>
      </c>
      <c r="S114" s="91">
        <f t="shared" si="98"/>
        <v>0.1875</v>
      </c>
      <c r="T114" s="91">
        <f t="shared" si="99"/>
        <v>0.8125</v>
      </c>
      <c r="U114" s="27" t="s">
        <v>56</v>
      </c>
      <c r="V114" s="19" t="s">
        <v>51</v>
      </c>
      <c r="W114" s="20">
        <v>45691</v>
      </c>
      <c r="X114" s="22"/>
      <c r="Y114" s="19" t="s">
        <v>52</v>
      </c>
      <c r="Z114" s="19" t="s">
        <v>52</v>
      </c>
      <c r="AA114" s="19" t="s">
        <v>52</v>
      </c>
      <c r="AB114" s="28"/>
      <c r="AC114" s="90"/>
    </row>
    <row r="115" spans="1:33" s="29" customFormat="1" ht="15" customHeight="1" x14ac:dyDescent="0.25">
      <c r="A115" s="14">
        <v>2</v>
      </c>
      <c r="B115" s="15">
        <v>45727</v>
      </c>
      <c r="C115" s="15">
        <f t="shared" si="96"/>
        <v>45735</v>
      </c>
      <c r="D115" s="14">
        <v>12499</v>
      </c>
      <c r="E115" s="16" t="s">
        <v>380</v>
      </c>
      <c r="F115" s="40" t="s">
        <v>381</v>
      </c>
      <c r="G115" s="17" t="s">
        <v>75</v>
      </c>
      <c r="H115" s="18" t="s">
        <v>78</v>
      </c>
      <c r="I115" s="19" t="s">
        <v>79</v>
      </c>
      <c r="J115" s="20">
        <v>45687</v>
      </c>
      <c r="K115" s="20">
        <v>45708</v>
      </c>
      <c r="L115" s="21">
        <v>2000000</v>
      </c>
      <c r="M115" s="22">
        <f>SUM(N115:O115)</f>
        <v>1920000</v>
      </c>
      <c r="N115" s="23">
        <v>1185000</v>
      </c>
      <c r="O115" s="23">
        <v>735000</v>
      </c>
      <c r="P115" s="24">
        <f t="shared" si="97"/>
        <v>815000</v>
      </c>
      <c r="Q115" s="25">
        <v>735000</v>
      </c>
      <c r="R115" s="26">
        <v>105000</v>
      </c>
      <c r="S115" s="91">
        <f t="shared" si="98"/>
        <v>7.7619047619047619</v>
      </c>
      <c r="T115" s="91">
        <f t="shared" si="99"/>
        <v>7</v>
      </c>
      <c r="U115" s="27" t="s">
        <v>56</v>
      </c>
      <c r="V115" s="19" t="s">
        <v>51</v>
      </c>
      <c r="W115" s="20">
        <v>45705</v>
      </c>
      <c r="X115" s="22"/>
      <c r="Y115" s="19" t="s">
        <v>52</v>
      </c>
      <c r="Z115" s="19" t="s">
        <v>52</v>
      </c>
      <c r="AA115" s="19" t="s">
        <v>52</v>
      </c>
      <c r="AB115" s="28"/>
      <c r="AC115" s="90"/>
    </row>
    <row r="116" spans="1:33" s="29" customFormat="1" ht="15" customHeight="1" x14ac:dyDescent="0.25">
      <c r="A116" s="14">
        <v>33</v>
      </c>
      <c r="B116" s="15">
        <v>45727</v>
      </c>
      <c r="C116" s="15">
        <f t="shared" si="96"/>
        <v>45735</v>
      </c>
      <c r="D116" s="14">
        <v>12325</v>
      </c>
      <c r="E116" s="16" t="s">
        <v>445</v>
      </c>
      <c r="F116" s="40" t="s">
        <v>446</v>
      </c>
      <c r="G116" s="17" t="s">
        <v>75</v>
      </c>
      <c r="H116" s="18" t="s">
        <v>78</v>
      </c>
      <c r="I116" s="19" t="s">
        <v>79</v>
      </c>
      <c r="J116" s="20">
        <v>45656</v>
      </c>
      <c r="K116" s="20">
        <v>45688</v>
      </c>
      <c r="L116" s="21">
        <v>150000</v>
      </c>
      <c r="M116" s="22">
        <f>SUM(N116:O116)</f>
        <v>168000</v>
      </c>
      <c r="N116" s="23">
        <v>0</v>
      </c>
      <c r="O116" s="23">
        <v>168000</v>
      </c>
      <c r="P116" s="24">
        <f t="shared" si="97"/>
        <v>150000</v>
      </c>
      <c r="Q116" s="25">
        <v>168000</v>
      </c>
      <c r="R116" s="26">
        <v>126000</v>
      </c>
      <c r="S116" s="91">
        <f t="shared" si="98"/>
        <v>1.1904761904761905</v>
      </c>
      <c r="T116" s="91">
        <f t="shared" si="99"/>
        <v>1.3333333333333333</v>
      </c>
      <c r="U116" s="27" t="s">
        <v>56</v>
      </c>
      <c r="V116" s="19" t="s">
        <v>51</v>
      </c>
      <c r="W116" s="20">
        <v>45716</v>
      </c>
      <c r="X116" s="22"/>
      <c r="Y116" s="19" t="s">
        <v>52</v>
      </c>
      <c r="Z116" s="19" t="s">
        <v>52</v>
      </c>
      <c r="AA116" s="19" t="s">
        <v>52</v>
      </c>
      <c r="AB116" s="28"/>
      <c r="AC116" s="90"/>
    </row>
    <row r="117" spans="1:33" s="29" customFormat="1" ht="15" customHeight="1" x14ac:dyDescent="0.25">
      <c r="A117" s="14">
        <v>9</v>
      </c>
      <c r="B117" s="15">
        <v>45727</v>
      </c>
      <c r="C117" s="15">
        <f t="shared" si="96"/>
        <v>45735</v>
      </c>
      <c r="D117" s="14">
        <v>12441</v>
      </c>
      <c r="E117" s="16" t="s">
        <v>376</v>
      </c>
      <c r="F117" s="40" t="s">
        <v>371</v>
      </c>
      <c r="G117" s="17" t="s">
        <v>75</v>
      </c>
      <c r="H117" s="18" t="s">
        <v>78</v>
      </c>
      <c r="I117" s="19" t="s">
        <v>79</v>
      </c>
      <c r="J117" s="20">
        <v>45678</v>
      </c>
      <c r="K117" s="20">
        <v>45706</v>
      </c>
      <c r="L117" s="21">
        <v>650000</v>
      </c>
      <c r="M117" s="22">
        <f>SUM(N117:O117)</f>
        <v>447000</v>
      </c>
      <c r="N117" s="23">
        <v>315000</v>
      </c>
      <c r="O117" s="23">
        <v>132000</v>
      </c>
      <c r="P117" s="24">
        <f t="shared" si="97"/>
        <v>335000</v>
      </c>
      <c r="Q117" s="25">
        <v>132000</v>
      </c>
      <c r="R117" s="26">
        <v>96000</v>
      </c>
      <c r="S117" s="91">
        <f t="shared" si="98"/>
        <v>3.4895833333333335</v>
      </c>
      <c r="T117" s="91">
        <f t="shared" si="99"/>
        <v>1.375</v>
      </c>
      <c r="U117" s="27" t="s">
        <v>56</v>
      </c>
      <c r="V117" s="19" t="s">
        <v>51</v>
      </c>
      <c r="W117" s="20">
        <v>45704</v>
      </c>
      <c r="X117" s="22"/>
      <c r="Y117" s="19" t="s">
        <v>52</v>
      </c>
      <c r="Z117" s="19" t="s">
        <v>52</v>
      </c>
      <c r="AA117" s="19" t="s">
        <v>52</v>
      </c>
      <c r="AB117" s="42"/>
      <c r="AC117" s="90"/>
    </row>
    <row r="118" spans="1:33" s="29" customFormat="1" ht="15" customHeight="1" x14ac:dyDescent="0.25">
      <c r="A118" s="14">
        <v>5</v>
      </c>
      <c r="B118" s="15">
        <v>45727</v>
      </c>
      <c r="C118" s="15">
        <f t="shared" si="96"/>
        <v>45735</v>
      </c>
      <c r="D118" s="14">
        <v>12444</v>
      </c>
      <c r="E118" s="16" t="s">
        <v>322</v>
      </c>
      <c r="F118" s="17" t="s">
        <v>323</v>
      </c>
      <c r="G118" s="17" t="s">
        <v>132</v>
      </c>
      <c r="H118" s="18" t="s">
        <v>133</v>
      </c>
      <c r="I118" s="19" t="s">
        <v>198</v>
      </c>
      <c r="J118" s="20">
        <v>45680</v>
      </c>
      <c r="K118" s="20">
        <v>45719</v>
      </c>
      <c r="L118" s="21">
        <v>400000</v>
      </c>
      <c r="M118" s="22">
        <f>SUM(N118:O118)</f>
        <v>720000</v>
      </c>
      <c r="N118" s="23">
        <v>0</v>
      </c>
      <c r="O118" s="23">
        <v>720000</v>
      </c>
      <c r="P118" s="24">
        <f t="shared" si="97"/>
        <v>400000</v>
      </c>
      <c r="Q118" s="25">
        <v>402440</v>
      </c>
      <c r="R118" s="26">
        <v>160000</v>
      </c>
      <c r="S118" s="91">
        <f t="shared" si="98"/>
        <v>2.5</v>
      </c>
      <c r="T118" s="91">
        <f t="shared" si="99"/>
        <v>2.51525</v>
      </c>
      <c r="U118" s="27" t="s">
        <v>56</v>
      </c>
      <c r="V118" s="19" t="s">
        <v>51</v>
      </c>
      <c r="W118" s="20">
        <v>45701</v>
      </c>
      <c r="X118" s="22"/>
      <c r="Y118" s="19" t="s">
        <v>52</v>
      </c>
      <c r="Z118" s="19" t="s">
        <v>52</v>
      </c>
      <c r="AA118" s="19" t="s">
        <v>52</v>
      </c>
      <c r="AB118" s="28"/>
    </row>
    <row r="119" spans="1:33" ht="15" customHeight="1" x14ac:dyDescent="0.25">
      <c r="A119" s="33" t="s">
        <v>71</v>
      </c>
      <c r="B119" s="34"/>
      <c r="C119" s="34"/>
      <c r="D119" s="34"/>
      <c r="E119" s="34"/>
      <c r="F119" s="35"/>
      <c r="G119" s="35"/>
      <c r="H119" s="34"/>
      <c r="I119" s="34"/>
      <c r="J119" s="34"/>
      <c r="K119" s="34"/>
      <c r="L119" s="36"/>
      <c r="M119" s="36"/>
      <c r="N119" s="36"/>
      <c r="O119" s="36"/>
      <c r="P119" s="36"/>
      <c r="Q119" s="36">
        <f>SUM(Q112:Q118)</f>
        <v>2527440</v>
      </c>
      <c r="R119" s="36"/>
      <c r="S119" s="92"/>
      <c r="T119" s="93">
        <f>SUM(T112:T118)</f>
        <v>18.721268518518521</v>
      </c>
      <c r="U119" s="37"/>
      <c r="V119" s="38"/>
      <c r="W119" s="38"/>
      <c r="X119" s="38"/>
      <c r="Y119" s="34"/>
      <c r="Z119" s="34"/>
      <c r="AA119" s="39"/>
      <c r="AB119" s="29" t="s">
        <v>523</v>
      </c>
      <c r="AC119" s="81" t="s">
        <v>547</v>
      </c>
      <c r="AD119" s="83">
        <v>4583.33</v>
      </c>
      <c r="AF119" s="83">
        <v>0</v>
      </c>
      <c r="AG119" s="83">
        <f>SUM(AD119,AF119)</f>
        <v>4583.33</v>
      </c>
    </row>
    <row r="120" spans="1:33" s="29" customFormat="1" ht="15" customHeight="1" x14ac:dyDescent="0.25">
      <c r="A120" s="14">
        <v>28</v>
      </c>
      <c r="B120" s="15">
        <v>45727</v>
      </c>
      <c r="C120" s="15">
        <f>B120+8</f>
        <v>45735</v>
      </c>
      <c r="D120" s="14">
        <v>12433</v>
      </c>
      <c r="E120" s="16" t="s">
        <v>410</v>
      </c>
      <c r="F120" s="40" t="s">
        <v>411</v>
      </c>
      <c r="G120" s="17" t="s">
        <v>75</v>
      </c>
      <c r="H120" s="18" t="s">
        <v>257</v>
      </c>
      <c r="I120" s="19" t="s">
        <v>104</v>
      </c>
      <c r="J120" s="20">
        <v>45674</v>
      </c>
      <c r="K120" s="20">
        <v>45716</v>
      </c>
      <c r="L120" s="21">
        <v>500000</v>
      </c>
      <c r="M120" s="22">
        <f>SUM(N120:O120)</f>
        <v>300000</v>
      </c>
      <c r="N120" s="23">
        <v>0</v>
      </c>
      <c r="O120" s="23">
        <v>300000</v>
      </c>
      <c r="P120" s="24">
        <f>L120-N120</f>
        <v>500000</v>
      </c>
      <c r="Q120" s="25">
        <v>150000</v>
      </c>
      <c r="R120" s="26">
        <v>150000</v>
      </c>
      <c r="S120" s="91">
        <f t="shared" ref="S120:S125" si="101">IF(P120&gt;0,P120/$R120,0)</f>
        <v>3.3333333333333335</v>
      </c>
      <c r="T120" s="91">
        <f t="shared" ref="T120:T125" si="102">IF(Q120&gt;0,Q120/$R120,0)</f>
        <v>1</v>
      </c>
      <c r="U120" s="27" t="s">
        <v>193</v>
      </c>
      <c r="V120" s="19" t="s">
        <v>51</v>
      </c>
      <c r="W120" s="20">
        <v>45694</v>
      </c>
      <c r="X120" s="22"/>
      <c r="Y120" s="19" t="s">
        <v>52</v>
      </c>
      <c r="Z120" s="19" t="s">
        <v>52</v>
      </c>
      <c r="AA120" s="19" t="s">
        <v>52</v>
      </c>
      <c r="AB120" s="28"/>
      <c r="AC120" s="90"/>
    </row>
    <row r="121" spans="1:33" s="29" customFormat="1" ht="15" customHeight="1" x14ac:dyDescent="0.25">
      <c r="A121" s="14">
        <v>15</v>
      </c>
      <c r="B121" s="15">
        <v>45727</v>
      </c>
      <c r="C121" s="15">
        <f t="shared" ref="C121:C125" si="103">B121+8</f>
        <v>45735</v>
      </c>
      <c r="D121" s="14">
        <v>12512</v>
      </c>
      <c r="E121" s="16" t="s">
        <v>92</v>
      </c>
      <c r="F121" s="40" t="s">
        <v>93</v>
      </c>
      <c r="G121" s="17" t="s">
        <v>75</v>
      </c>
      <c r="H121" s="18" t="s">
        <v>57</v>
      </c>
      <c r="I121" s="19" t="s">
        <v>94</v>
      </c>
      <c r="J121" s="20">
        <v>45691</v>
      </c>
      <c r="K121" s="20">
        <v>45723</v>
      </c>
      <c r="L121" s="21">
        <v>900000</v>
      </c>
      <c r="M121" s="22">
        <f t="shared" ref="M121:M125" si="104">SUM(N121:O121)</f>
        <v>900000</v>
      </c>
      <c r="N121" s="23">
        <v>0</v>
      </c>
      <c r="O121" s="23">
        <v>900000</v>
      </c>
      <c r="P121" s="24">
        <f t="shared" ref="P121:P125" si="105">L121-N121</f>
        <v>900000</v>
      </c>
      <c r="Q121" s="25">
        <v>900000</v>
      </c>
      <c r="R121" s="26">
        <v>150000</v>
      </c>
      <c r="S121" s="91">
        <f t="shared" si="101"/>
        <v>6</v>
      </c>
      <c r="T121" s="91">
        <f t="shared" si="102"/>
        <v>6</v>
      </c>
      <c r="U121" s="27" t="s">
        <v>193</v>
      </c>
      <c r="V121" s="19" t="s">
        <v>51</v>
      </c>
      <c r="W121" s="20">
        <v>45707</v>
      </c>
      <c r="X121" s="22"/>
      <c r="Y121" s="19" t="s">
        <v>52</v>
      </c>
      <c r="Z121" s="19" t="s">
        <v>52</v>
      </c>
      <c r="AA121" s="19" t="s">
        <v>52</v>
      </c>
      <c r="AB121" s="28"/>
      <c r="AC121" s="90"/>
    </row>
    <row r="122" spans="1:33" s="29" customFormat="1" ht="15" customHeight="1" x14ac:dyDescent="0.25">
      <c r="A122" s="14">
        <v>10</v>
      </c>
      <c r="B122" s="15">
        <v>45727</v>
      </c>
      <c r="C122" s="15">
        <f t="shared" ref="C122" si="106">B122+8</f>
        <v>45735</v>
      </c>
      <c r="D122" s="14">
        <v>12538</v>
      </c>
      <c r="E122" s="16" t="s">
        <v>284</v>
      </c>
      <c r="F122" s="17" t="s">
        <v>285</v>
      </c>
      <c r="G122" s="17" t="s">
        <v>102</v>
      </c>
      <c r="H122" s="18" t="s">
        <v>522</v>
      </c>
      <c r="I122" s="19"/>
      <c r="J122" s="20">
        <v>45695</v>
      </c>
      <c r="K122" s="20">
        <v>45722</v>
      </c>
      <c r="L122" s="21">
        <v>150000</v>
      </c>
      <c r="M122" s="22">
        <f t="shared" si="104"/>
        <v>145000</v>
      </c>
      <c r="N122" s="23"/>
      <c r="O122" s="23">
        <v>145000</v>
      </c>
      <c r="P122" s="24">
        <f t="shared" ref="P122" si="107">L122-N122</f>
        <v>150000</v>
      </c>
      <c r="Q122" s="25">
        <v>45000</v>
      </c>
      <c r="R122" s="26">
        <v>50000</v>
      </c>
      <c r="S122" s="91">
        <f t="shared" si="101"/>
        <v>3</v>
      </c>
      <c r="T122" s="91">
        <f t="shared" si="102"/>
        <v>0.9</v>
      </c>
      <c r="U122" s="27" t="s">
        <v>193</v>
      </c>
      <c r="V122" s="19" t="s">
        <v>51</v>
      </c>
      <c r="W122" s="20">
        <v>45713</v>
      </c>
      <c r="X122" s="22"/>
      <c r="Y122" s="19" t="s">
        <v>52</v>
      </c>
      <c r="Z122" s="19" t="s">
        <v>52</v>
      </c>
      <c r="AA122" s="19" t="s">
        <v>52</v>
      </c>
      <c r="AB122" s="28"/>
    </row>
    <row r="123" spans="1:33" s="29" customFormat="1" ht="15" customHeight="1" x14ac:dyDescent="0.25">
      <c r="A123" s="14">
        <v>28</v>
      </c>
      <c r="B123" s="15">
        <v>45727</v>
      </c>
      <c r="C123" s="15">
        <f t="shared" ref="C123" si="108">B123+8</f>
        <v>45735</v>
      </c>
      <c r="D123" s="14">
        <v>12433</v>
      </c>
      <c r="E123" s="16" t="s">
        <v>410</v>
      </c>
      <c r="F123" s="40" t="s">
        <v>411</v>
      </c>
      <c r="G123" s="17" t="s">
        <v>75</v>
      </c>
      <c r="H123" s="18" t="s">
        <v>257</v>
      </c>
      <c r="I123" s="19" t="s">
        <v>104</v>
      </c>
      <c r="J123" s="20">
        <v>45674</v>
      </c>
      <c r="K123" s="20">
        <v>45716</v>
      </c>
      <c r="L123" s="21">
        <v>500000</v>
      </c>
      <c r="M123" s="22">
        <f>SUM(N123:O123)</f>
        <v>300000</v>
      </c>
      <c r="N123" s="23">
        <v>0</v>
      </c>
      <c r="O123" s="23">
        <v>300000</v>
      </c>
      <c r="P123" s="24">
        <f t="shared" ref="P123" si="109">L123-N123</f>
        <v>500000</v>
      </c>
      <c r="Q123" s="25">
        <v>150000</v>
      </c>
      <c r="R123" s="26">
        <v>150000</v>
      </c>
      <c r="S123" s="91">
        <f t="shared" si="101"/>
        <v>3.3333333333333335</v>
      </c>
      <c r="T123" s="91">
        <f t="shared" si="102"/>
        <v>1</v>
      </c>
      <c r="U123" s="27" t="s">
        <v>192</v>
      </c>
      <c r="V123" s="19" t="s">
        <v>51</v>
      </c>
      <c r="W123" s="20">
        <v>45694</v>
      </c>
      <c r="X123" s="22"/>
      <c r="Y123" s="19" t="s">
        <v>52</v>
      </c>
      <c r="Z123" s="19" t="s">
        <v>52</v>
      </c>
      <c r="AA123" s="19" t="s">
        <v>52</v>
      </c>
      <c r="AB123" s="28"/>
      <c r="AC123" s="90"/>
    </row>
    <row r="124" spans="1:33" s="29" customFormat="1" ht="15" customHeight="1" x14ac:dyDescent="0.25">
      <c r="A124" s="14">
        <v>24</v>
      </c>
      <c r="B124" s="15">
        <v>45727</v>
      </c>
      <c r="C124" s="15">
        <f t="shared" si="103"/>
        <v>45735</v>
      </c>
      <c r="D124" s="14">
        <v>12473</v>
      </c>
      <c r="E124" s="16" t="s">
        <v>340</v>
      </c>
      <c r="F124" s="40" t="s">
        <v>201</v>
      </c>
      <c r="G124" s="17" t="s">
        <v>75</v>
      </c>
      <c r="H124" s="18" t="s">
        <v>57</v>
      </c>
      <c r="I124" s="19" t="s">
        <v>58</v>
      </c>
      <c r="J124" s="20">
        <v>45685</v>
      </c>
      <c r="K124" s="20">
        <v>45706</v>
      </c>
      <c r="L124" s="21">
        <v>600000</v>
      </c>
      <c r="M124" s="22">
        <f t="shared" si="104"/>
        <v>150000</v>
      </c>
      <c r="N124" s="23">
        <v>0</v>
      </c>
      <c r="O124" s="23">
        <v>150000</v>
      </c>
      <c r="P124" s="24">
        <f t="shared" si="105"/>
        <v>600000</v>
      </c>
      <c r="Q124" s="25">
        <v>150000</v>
      </c>
      <c r="R124" s="26">
        <v>150000</v>
      </c>
      <c r="S124" s="91">
        <f t="shared" si="101"/>
        <v>4</v>
      </c>
      <c r="T124" s="91">
        <f t="shared" si="102"/>
        <v>1</v>
      </c>
      <c r="U124" s="27" t="s">
        <v>192</v>
      </c>
      <c r="V124" s="19" t="s">
        <v>51</v>
      </c>
      <c r="W124" s="20">
        <v>45702</v>
      </c>
      <c r="X124" s="22"/>
      <c r="Y124" s="19" t="s">
        <v>52</v>
      </c>
      <c r="Z124" s="19" t="s">
        <v>52</v>
      </c>
      <c r="AA124" s="19" t="s">
        <v>52</v>
      </c>
      <c r="AB124" s="28"/>
      <c r="AC124" s="90"/>
    </row>
    <row r="125" spans="1:33" s="29" customFormat="1" ht="15" customHeight="1" x14ac:dyDescent="0.25">
      <c r="A125" s="14">
        <v>10</v>
      </c>
      <c r="B125" s="15">
        <v>45727</v>
      </c>
      <c r="C125" s="15">
        <f t="shared" si="103"/>
        <v>45735</v>
      </c>
      <c r="D125" s="14">
        <v>12538</v>
      </c>
      <c r="E125" s="16" t="s">
        <v>284</v>
      </c>
      <c r="F125" s="17" t="s">
        <v>285</v>
      </c>
      <c r="G125" s="17" t="s">
        <v>102</v>
      </c>
      <c r="H125" s="18" t="s">
        <v>522</v>
      </c>
      <c r="I125" s="19"/>
      <c r="J125" s="20">
        <v>45695</v>
      </c>
      <c r="K125" s="20">
        <v>45722</v>
      </c>
      <c r="L125" s="21">
        <v>150000</v>
      </c>
      <c r="M125" s="22">
        <f t="shared" si="104"/>
        <v>145000</v>
      </c>
      <c r="N125" s="23"/>
      <c r="O125" s="23">
        <v>145000</v>
      </c>
      <c r="P125" s="24">
        <f t="shared" si="105"/>
        <v>150000</v>
      </c>
      <c r="Q125" s="25">
        <v>100000</v>
      </c>
      <c r="R125" s="26">
        <v>50000</v>
      </c>
      <c r="S125" s="91">
        <f t="shared" si="101"/>
        <v>3</v>
      </c>
      <c r="T125" s="91">
        <f t="shared" si="102"/>
        <v>2</v>
      </c>
      <c r="U125" s="27" t="s">
        <v>192</v>
      </c>
      <c r="V125" s="19" t="s">
        <v>51</v>
      </c>
      <c r="W125" s="20">
        <v>45713</v>
      </c>
      <c r="X125" s="22"/>
      <c r="Y125" s="19" t="s">
        <v>52</v>
      </c>
      <c r="Z125" s="19" t="s">
        <v>52</v>
      </c>
      <c r="AA125" s="19" t="s">
        <v>52</v>
      </c>
      <c r="AB125" s="28"/>
    </row>
    <row r="126" spans="1:33" ht="15" customHeight="1" x14ac:dyDescent="0.25">
      <c r="A126" s="33" t="s">
        <v>71</v>
      </c>
      <c r="B126" s="34"/>
      <c r="C126" s="34"/>
      <c r="D126" s="34"/>
      <c r="E126" s="34"/>
      <c r="F126" s="35"/>
      <c r="G126" s="35"/>
      <c r="H126" s="34"/>
      <c r="I126" s="34"/>
      <c r="J126" s="34"/>
      <c r="K126" s="34"/>
      <c r="L126" s="36"/>
      <c r="M126" s="36"/>
      <c r="N126" s="36"/>
      <c r="O126" s="36"/>
      <c r="P126" s="36"/>
      <c r="Q126" s="36">
        <f>SUM(Q120:Q125)</f>
        <v>1495000</v>
      </c>
      <c r="R126" s="36"/>
      <c r="S126" s="92"/>
      <c r="T126" s="93">
        <f>SUM(T120:T125)</f>
        <v>11.9</v>
      </c>
      <c r="U126" s="37"/>
      <c r="V126" s="38"/>
      <c r="W126" s="38"/>
      <c r="X126" s="38"/>
      <c r="Y126" s="34"/>
      <c r="Z126" s="34"/>
      <c r="AA126" s="39"/>
      <c r="AB126" s="29" t="s">
        <v>536</v>
      </c>
      <c r="AC126" s="81" t="s">
        <v>526</v>
      </c>
      <c r="AD126" s="83">
        <v>2500</v>
      </c>
      <c r="AF126" s="83">
        <v>0</v>
      </c>
      <c r="AG126" s="83">
        <f>SUM(AD126,AF126)</f>
        <v>2500</v>
      </c>
    </row>
    <row r="127" spans="1:33" s="29" customFormat="1" ht="15" customHeight="1" x14ac:dyDescent="0.25">
      <c r="A127" s="14">
        <v>26</v>
      </c>
      <c r="B127" s="15">
        <v>45729</v>
      </c>
      <c r="C127" s="15">
        <f t="shared" ref="C127" si="110">B127+8</f>
        <v>45737</v>
      </c>
      <c r="D127" s="14">
        <v>12467</v>
      </c>
      <c r="E127" s="16" t="s">
        <v>464</v>
      </c>
      <c r="F127" s="40" t="s">
        <v>465</v>
      </c>
      <c r="G127" s="17" t="s">
        <v>75</v>
      </c>
      <c r="H127" s="18" t="s">
        <v>113</v>
      </c>
      <c r="I127" s="19" t="s">
        <v>94</v>
      </c>
      <c r="J127" s="20">
        <v>45684</v>
      </c>
      <c r="K127" s="20">
        <v>45713</v>
      </c>
      <c r="L127" s="21">
        <v>1050000</v>
      </c>
      <c r="M127" s="22">
        <f t="shared" ref="M127" si="111">SUM(N127:O127)</f>
        <v>1143000</v>
      </c>
      <c r="N127" s="23">
        <v>300000</v>
      </c>
      <c r="O127" s="23">
        <v>843000</v>
      </c>
      <c r="P127" s="24">
        <f t="shared" ref="P127" si="112">L127-N127</f>
        <v>750000</v>
      </c>
      <c r="Q127" s="25">
        <v>300000</v>
      </c>
      <c r="R127" s="26">
        <v>150000</v>
      </c>
      <c r="S127" s="91">
        <f t="shared" ref="S127" si="113">IF(P127&gt;0,P127/$R127,0)</f>
        <v>5</v>
      </c>
      <c r="T127" s="91">
        <f t="shared" ref="T127" si="114">IF(Q127&gt;0,Q127/$R127,0)</f>
        <v>2</v>
      </c>
      <c r="U127" s="27" t="s">
        <v>192</v>
      </c>
      <c r="V127" s="19" t="s">
        <v>51</v>
      </c>
      <c r="W127" s="20">
        <v>45716</v>
      </c>
      <c r="X127" s="22"/>
      <c r="Y127" s="19" t="s">
        <v>52</v>
      </c>
      <c r="Z127" s="19" t="s">
        <v>52</v>
      </c>
      <c r="AA127" s="19" t="s">
        <v>52</v>
      </c>
      <c r="AB127" s="28"/>
      <c r="AC127" s="90"/>
    </row>
    <row r="128" spans="1:33" s="29" customFormat="1" ht="15" customHeight="1" x14ac:dyDescent="0.25">
      <c r="A128" s="14">
        <v>2</v>
      </c>
      <c r="B128" s="15">
        <v>45729</v>
      </c>
      <c r="C128" s="15">
        <f t="shared" ref="C128:C137" si="115">B128+8</f>
        <v>45737</v>
      </c>
      <c r="D128" s="14">
        <v>12114</v>
      </c>
      <c r="E128" s="16" t="s">
        <v>287</v>
      </c>
      <c r="F128" s="40" t="s">
        <v>288</v>
      </c>
      <c r="G128" s="17" t="s">
        <v>102</v>
      </c>
      <c r="H128" s="18" t="s">
        <v>62</v>
      </c>
      <c r="I128" s="19" t="s">
        <v>63</v>
      </c>
      <c r="J128" s="20">
        <v>45617</v>
      </c>
      <c r="K128" s="20">
        <v>45646</v>
      </c>
      <c r="L128" s="21">
        <v>1000000</v>
      </c>
      <c r="M128" s="22">
        <f t="shared" ref="M128:M137" si="116">SUM(N128:O128)</f>
        <v>1008000</v>
      </c>
      <c r="N128" s="23">
        <v>956000</v>
      </c>
      <c r="O128" s="23">
        <v>52000</v>
      </c>
      <c r="P128" s="24">
        <f t="shared" ref="P128:P137" si="117">L128-N128</f>
        <v>44000</v>
      </c>
      <c r="Q128" s="25">
        <v>52000</v>
      </c>
      <c r="R128" s="26">
        <v>84000</v>
      </c>
      <c r="S128" s="91">
        <f t="shared" ref="S128:S138" si="118">IF(P128&gt;0,P128/$R128,0)</f>
        <v>0.52380952380952384</v>
      </c>
      <c r="T128" s="91">
        <f t="shared" ref="T128:T138" si="119">IF(Q128&gt;0,Q128/$R128,0)</f>
        <v>0.61904761904761907</v>
      </c>
      <c r="U128" s="27" t="s">
        <v>193</v>
      </c>
      <c r="V128" s="19" t="s">
        <v>51</v>
      </c>
      <c r="W128" s="20">
        <v>45638</v>
      </c>
      <c r="X128" s="22"/>
      <c r="Y128" s="19" t="s">
        <v>52</v>
      </c>
      <c r="Z128" s="19" t="s">
        <v>52</v>
      </c>
      <c r="AA128" s="19" t="s">
        <v>52</v>
      </c>
      <c r="AB128" s="28"/>
    </row>
    <row r="129" spans="1:33" s="29" customFormat="1" ht="15" customHeight="1" x14ac:dyDescent="0.25">
      <c r="A129" s="14">
        <v>8</v>
      </c>
      <c r="B129" s="15">
        <v>45729</v>
      </c>
      <c r="C129" s="15">
        <f t="shared" si="115"/>
        <v>45737</v>
      </c>
      <c r="D129" s="14">
        <v>12279</v>
      </c>
      <c r="E129" s="16" t="s">
        <v>73</v>
      </c>
      <c r="F129" s="17" t="s">
        <v>74</v>
      </c>
      <c r="G129" s="17" t="s">
        <v>75</v>
      </c>
      <c r="H129" s="18" t="s">
        <v>48</v>
      </c>
      <c r="I129" s="19" t="s">
        <v>49</v>
      </c>
      <c r="J129" s="20">
        <v>45646</v>
      </c>
      <c r="K129" s="20">
        <v>45684</v>
      </c>
      <c r="L129" s="21">
        <v>475000</v>
      </c>
      <c r="M129" s="22">
        <f t="shared" si="116"/>
        <v>320000</v>
      </c>
      <c r="N129" s="23">
        <v>120000</v>
      </c>
      <c r="O129" s="23">
        <v>200000</v>
      </c>
      <c r="P129" s="24">
        <f t="shared" si="117"/>
        <v>355000</v>
      </c>
      <c r="Q129" s="25">
        <v>200000</v>
      </c>
      <c r="R129" s="26">
        <v>36000</v>
      </c>
      <c r="S129" s="91">
        <f t="shared" si="118"/>
        <v>9.8611111111111107</v>
      </c>
      <c r="T129" s="91">
        <f t="shared" si="119"/>
        <v>5.5555555555555554</v>
      </c>
      <c r="U129" s="27" t="s">
        <v>193</v>
      </c>
      <c r="V129" s="19" t="s">
        <v>51</v>
      </c>
      <c r="W129" s="20">
        <v>45699</v>
      </c>
      <c r="X129" s="22"/>
      <c r="Y129" s="19" t="s">
        <v>52</v>
      </c>
      <c r="Z129" s="19" t="s">
        <v>52</v>
      </c>
      <c r="AA129" s="19" t="s">
        <v>52</v>
      </c>
      <c r="AB129" s="28"/>
      <c r="AC129" s="90"/>
    </row>
    <row r="130" spans="1:33" s="29" customFormat="1" ht="15" customHeight="1" x14ac:dyDescent="0.25">
      <c r="A130" s="14">
        <v>20</v>
      </c>
      <c r="B130" s="15">
        <v>45729</v>
      </c>
      <c r="C130" s="15">
        <f t="shared" si="115"/>
        <v>45737</v>
      </c>
      <c r="D130" s="14">
        <v>12328</v>
      </c>
      <c r="E130" s="16" t="s">
        <v>447</v>
      </c>
      <c r="F130" s="40" t="s">
        <v>448</v>
      </c>
      <c r="G130" s="17" t="s">
        <v>75</v>
      </c>
      <c r="H130" s="18" t="s">
        <v>113</v>
      </c>
      <c r="I130" s="19" t="s">
        <v>118</v>
      </c>
      <c r="J130" s="20">
        <v>45657</v>
      </c>
      <c r="K130" s="20">
        <v>45697</v>
      </c>
      <c r="L130" s="21">
        <v>750000</v>
      </c>
      <c r="M130" s="22">
        <f t="shared" si="116"/>
        <v>822000</v>
      </c>
      <c r="N130" s="23">
        <v>450000</v>
      </c>
      <c r="O130" s="23">
        <v>372000</v>
      </c>
      <c r="P130" s="24">
        <f t="shared" si="117"/>
        <v>300000</v>
      </c>
      <c r="Q130" s="25">
        <v>372000</v>
      </c>
      <c r="R130" s="26">
        <v>150000</v>
      </c>
      <c r="S130" s="91">
        <f t="shared" si="118"/>
        <v>2</v>
      </c>
      <c r="T130" s="91">
        <f t="shared" si="119"/>
        <v>2.48</v>
      </c>
      <c r="U130" s="27" t="s">
        <v>193</v>
      </c>
      <c r="V130" s="19" t="s">
        <v>51</v>
      </c>
      <c r="W130" s="20">
        <v>45674</v>
      </c>
      <c r="X130" s="22"/>
      <c r="Y130" s="19" t="s">
        <v>52</v>
      </c>
      <c r="Z130" s="19" t="s">
        <v>52</v>
      </c>
      <c r="AA130" s="19" t="s">
        <v>52</v>
      </c>
      <c r="AB130" s="28"/>
      <c r="AC130" s="90"/>
    </row>
    <row r="131" spans="1:33" s="29" customFormat="1" ht="15" customHeight="1" x14ac:dyDescent="0.25">
      <c r="A131" s="14">
        <v>5</v>
      </c>
      <c r="B131" s="15">
        <v>45729</v>
      </c>
      <c r="C131" s="15">
        <f t="shared" si="115"/>
        <v>45737</v>
      </c>
      <c r="D131" s="14">
        <v>12432</v>
      </c>
      <c r="E131" s="16" t="s">
        <v>114</v>
      </c>
      <c r="F131" s="17" t="s">
        <v>115</v>
      </c>
      <c r="G131" s="17" t="s">
        <v>102</v>
      </c>
      <c r="H131" s="18" t="s">
        <v>257</v>
      </c>
      <c r="I131" s="19" t="s">
        <v>104</v>
      </c>
      <c r="J131" s="20">
        <v>45674</v>
      </c>
      <c r="K131" s="20">
        <v>45695</v>
      </c>
      <c r="L131" s="21">
        <v>1000000</v>
      </c>
      <c r="M131" s="22">
        <f t="shared" si="116"/>
        <v>956000</v>
      </c>
      <c r="N131" s="23">
        <v>667000</v>
      </c>
      <c r="O131" s="23">
        <v>289000</v>
      </c>
      <c r="P131" s="24">
        <f t="shared" si="117"/>
        <v>333000</v>
      </c>
      <c r="Q131" s="25">
        <v>286000</v>
      </c>
      <c r="R131" s="26">
        <v>63000</v>
      </c>
      <c r="S131" s="91">
        <f t="shared" si="118"/>
        <v>5.2857142857142856</v>
      </c>
      <c r="T131" s="91">
        <f t="shared" si="119"/>
        <v>4.5396825396825395</v>
      </c>
      <c r="U131" s="27" t="s">
        <v>193</v>
      </c>
      <c r="V131" s="19" t="s">
        <v>51</v>
      </c>
      <c r="W131" s="20">
        <v>45700</v>
      </c>
      <c r="X131" s="22"/>
      <c r="Y131" s="19" t="s">
        <v>52</v>
      </c>
      <c r="Z131" s="19" t="s">
        <v>52</v>
      </c>
      <c r="AA131" s="19" t="s">
        <v>52</v>
      </c>
      <c r="AB131" s="28"/>
    </row>
    <row r="132" spans="1:33" s="29" customFormat="1" ht="15" customHeight="1" x14ac:dyDescent="0.25">
      <c r="A132" s="14">
        <v>22</v>
      </c>
      <c r="B132" s="15">
        <v>45729</v>
      </c>
      <c r="C132" s="15">
        <f t="shared" si="115"/>
        <v>45737</v>
      </c>
      <c r="D132" s="14">
        <v>12435</v>
      </c>
      <c r="E132" s="16" t="s">
        <v>344</v>
      </c>
      <c r="F132" s="40" t="s">
        <v>345</v>
      </c>
      <c r="G132" s="17" t="s">
        <v>75</v>
      </c>
      <c r="H132" s="18" t="s">
        <v>257</v>
      </c>
      <c r="I132" s="19" t="s">
        <v>302</v>
      </c>
      <c r="J132" s="20">
        <v>45678</v>
      </c>
      <c r="K132" s="20">
        <v>45705</v>
      </c>
      <c r="L132" s="21">
        <v>500000</v>
      </c>
      <c r="M132" s="22">
        <f t="shared" si="116"/>
        <v>474000</v>
      </c>
      <c r="N132" s="23">
        <v>300000</v>
      </c>
      <c r="O132" s="23">
        <v>174000</v>
      </c>
      <c r="P132" s="24">
        <f t="shared" si="117"/>
        <v>200000</v>
      </c>
      <c r="Q132" s="25">
        <v>174000</v>
      </c>
      <c r="R132" s="26">
        <v>150000</v>
      </c>
      <c r="S132" s="91">
        <f t="shared" si="118"/>
        <v>1.3333333333333333</v>
      </c>
      <c r="T132" s="91">
        <f t="shared" si="119"/>
        <v>1.1599999999999999</v>
      </c>
      <c r="U132" s="27" t="s">
        <v>193</v>
      </c>
      <c r="V132" s="19" t="s">
        <v>51</v>
      </c>
      <c r="W132" s="20">
        <v>45698</v>
      </c>
      <c r="X132" s="22"/>
      <c r="Y132" s="19" t="s">
        <v>52</v>
      </c>
      <c r="Z132" s="19" t="s">
        <v>52</v>
      </c>
      <c r="AA132" s="19" t="s">
        <v>52</v>
      </c>
      <c r="AB132" s="28"/>
      <c r="AC132" s="90"/>
    </row>
    <row r="133" spans="1:33" s="29" customFormat="1" ht="15" customHeight="1" x14ac:dyDescent="0.25">
      <c r="A133" s="14">
        <v>6</v>
      </c>
      <c r="B133" s="15">
        <v>45729</v>
      </c>
      <c r="C133" s="15">
        <f t="shared" si="115"/>
        <v>45737</v>
      </c>
      <c r="D133" s="14">
        <v>12464</v>
      </c>
      <c r="E133" s="16" t="s">
        <v>244</v>
      </c>
      <c r="F133" s="17" t="s">
        <v>243</v>
      </c>
      <c r="G133" s="17" t="s">
        <v>102</v>
      </c>
      <c r="H133" s="18" t="s">
        <v>62</v>
      </c>
      <c r="I133" s="19" t="s">
        <v>63</v>
      </c>
      <c r="J133" s="20">
        <v>45681</v>
      </c>
      <c r="K133" s="20">
        <v>45709</v>
      </c>
      <c r="L133" s="21">
        <v>672000</v>
      </c>
      <c r="M133" s="22">
        <f t="shared" si="116"/>
        <v>588000</v>
      </c>
      <c r="N133" s="23">
        <v>504000</v>
      </c>
      <c r="O133" s="23">
        <v>84000</v>
      </c>
      <c r="P133" s="24">
        <f t="shared" si="117"/>
        <v>168000</v>
      </c>
      <c r="Q133" s="25">
        <v>84000</v>
      </c>
      <c r="R133" s="26">
        <v>84000</v>
      </c>
      <c r="S133" s="91">
        <f t="shared" si="118"/>
        <v>2</v>
      </c>
      <c r="T133" s="91">
        <f t="shared" si="119"/>
        <v>1</v>
      </c>
      <c r="U133" s="27" t="s">
        <v>193</v>
      </c>
      <c r="V133" s="19" t="s">
        <v>51</v>
      </c>
      <c r="W133" s="20">
        <v>45696</v>
      </c>
      <c r="X133" s="22"/>
      <c r="Y133" s="19" t="s">
        <v>52</v>
      </c>
      <c r="Z133" s="19" t="s">
        <v>52</v>
      </c>
      <c r="AA133" s="19" t="s">
        <v>52</v>
      </c>
      <c r="AB133" s="28"/>
    </row>
    <row r="134" spans="1:33" s="29" customFormat="1" ht="15" customHeight="1" x14ac:dyDescent="0.25">
      <c r="A134" s="14">
        <v>23</v>
      </c>
      <c r="B134" s="15">
        <v>45729</v>
      </c>
      <c r="C134" s="15">
        <f t="shared" si="115"/>
        <v>45737</v>
      </c>
      <c r="D134" s="14">
        <v>12473</v>
      </c>
      <c r="E134" s="16" t="s">
        <v>340</v>
      </c>
      <c r="F134" s="40" t="s">
        <v>201</v>
      </c>
      <c r="G134" s="17" t="s">
        <v>75</v>
      </c>
      <c r="H134" s="18" t="s">
        <v>57</v>
      </c>
      <c r="I134" s="19" t="s">
        <v>58</v>
      </c>
      <c r="J134" s="20">
        <v>45685</v>
      </c>
      <c r="K134" s="20">
        <v>45706</v>
      </c>
      <c r="L134" s="21">
        <v>600000</v>
      </c>
      <c r="M134" s="22">
        <f t="shared" si="116"/>
        <v>600000</v>
      </c>
      <c r="N134" s="23">
        <v>150000</v>
      </c>
      <c r="O134" s="23">
        <v>450000</v>
      </c>
      <c r="P134" s="24">
        <f t="shared" si="117"/>
        <v>450000</v>
      </c>
      <c r="Q134" s="25">
        <v>450000</v>
      </c>
      <c r="R134" s="26">
        <v>150000</v>
      </c>
      <c r="S134" s="91">
        <f t="shared" si="118"/>
        <v>3</v>
      </c>
      <c r="T134" s="91">
        <f t="shared" si="119"/>
        <v>3</v>
      </c>
      <c r="U134" s="27" t="s">
        <v>193</v>
      </c>
      <c r="V134" s="19" t="s">
        <v>51</v>
      </c>
      <c r="W134" s="20">
        <v>45702</v>
      </c>
      <c r="X134" s="22"/>
      <c r="Y134" s="19" t="s">
        <v>52</v>
      </c>
      <c r="Z134" s="19" t="s">
        <v>52</v>
      </c>
      <c r="AA134" s="19" t="s">
        <v>52</v>
      </c>
      <c r="AB134" s="28"/>
      <c r="AC134" s="90"/>
    </row>
    <row r="135" spans="1:33" s="29" customFormat="1" ht="15" customHeight="1" x14ac:dyDescent="0.25">
      <c r="A135" s="14">
        <v>26</v>
      </c>
      <c r="B135" s="15">
        <v>45729</v>
      </c>
      <c r="C135" s="15">
        <f t="shared" si="115"/>
        <v>45737</v>
      </c>
      <c r="D135" s="14">
        <v>12467</v>
      </c>
      <c r="E135" s="16" t="s">
        <v>464</v>
      </c>
      <c r="F135" s="40" t="s">
        <v>465</v>
      </c>
      <c r="G135" s="17" t="s">
        <v>75</v>
      </c>
      <c r="H135" s="18" t="s">
        <v>113</v>
      </c>
      <c r="I135" s="19" t="s">
        <v>94</v>
      </c>
      <c r="J135" s="20">
        <v>45684</v>
      </c>
      <c r="K135" s="20">
        <v>45713</v>
      </c>
      <c r="L135" s="21">
        <v>1050000</v>
      </c>
      <c r="M135" s="22">
        <f t="shared" si="116"/>
        <v>1143000</v>
      </c>
      <c r="N135" s="23">
        <v>300000</v>
      </c>
      <c r="O135" s="23">
        <v>843000</v>
      </c>
      <c r="P135" s="24">
        <f t="shared" si="117"/>
        <v>750000</v>
      </c>
      <c r="Q135" s="25">
        <v>300000</v>
      </c>
      <c r="R135" s="26">
        <v>150000</v>
      </c>
      <c r="S135" s="91">
        <f t="shared" si="118"/>
        <v>5</v>
      </c>
      <c r="T135" s="91">
        <f t="shared" si="119"/>
        <v>2</v>
      </c>
      <c r="U135" s="27" t="s">
        <v>193</v>
      </c>
      <c r="V135" s="19" t="s">
        <v>51</v>
      </c>
      <c r="W135" s="20">
        <v>45716</v>
      </c>
      <c r="X135" s="22"/>
      <c r="Y135" s="19" t="s">
        <v>52</v>
      </c>
      <c r="Z135" s="19" t="s">
        <v>52</v>
      </c>
      <c r="AA135" s="19" t="s">
        <v>52</v>
      </c>
      <c r="AB135" s="28"/>
      <c r="AC135" s="90"/>
    </row>
    <row r="136" spans="1:33" s="29" customFormat="1" ht="15" customHeight="1" x14ac:dyDescent="0.25">
      <c r="A136" s="14">
        <v>14</v>
      </c>
      <c r="B136" s="15">
        <v>45729</v>
      </c>
      <c r="C136" s="15">
        <f t="shared" si="115"/>
        <v>45737</v>
      </c>
      <c r="D136" s="14">
        <v>12605</v>
      </c>
      <c r="E136" s="16" t="s">
        <v>312</v>
      </c>
      <c r="F136" s="17" t="s">
        <v>313</v>
      </c>
      <c r="G136" s="17" t="s">
        <v>102</v>
      </c>
      <c r="H136" s="18" t="s">
        <v>57</v>
      </c>
      <c r="I136" s="19" t="s">
        <v>94</v>
      </c>
      <c r="J136" s="20">
        <v>45708</v>
      </c>
      <c r="K136" s="20">
        <v>45777</v>
      </c>
      <c r="L136" s="21">
        <v>30000</v>
      </c>
      <c r="M136" s="22">
        <f t="shared" si="116"/>
        <v>32000</v>
      </c>
      <c r="N136" s="23">
        <v>0</v>
      </c>
      <c r="O136" s="23">
        <v>32000</v>
      </c>
      <c r="P136" s="24">
        <f t="shared" si="117"/>
        <v>30000</v>
      </c>
      <c r="Q136" s="25">
        <v>32000</v>
      </c>
      <c r="R136" s="26">
        <v>50000</v>
      </c>
      <c r="S136" s="91">
        <f t="shared" si="118"/>
        <v>0.6</v>
      </c>
      <c r="T136" s="91">
        <f t="shared" si="119"/>
        <v>0.64</v>
      </c>
      <c r="U136" s="27" t="s">
        <v>193</v>
      </c>
      <c r="V136" s="30" t="s">
        <v>59</v>
      </c>
      <c r="W136" s="31">
        <v>45729</v>
      </c>
      <c r="X136" s="22"/>
      <c r="Y136" s="19" t="s">
        <v>52</v>
      </c>
      <c r="Z136" s="19" t="s">
        <v>52</v>
      </c>
      <c r="AA136" s="19" t="s">
        <v>52</v>
      </c>
      <c r="AB136" s="28"/>
    </row>
    <row r="137" spans="1:33" s="29" customFormat="1" ht="15" customHeight="1" x14ac:dyDescent="0.25">
      <c r="A137" s="14">
        <v>14</v>
      </c>
      <c r="B137" s="15">
        <v>45729</v>
      </c>
      <c r="C137" s="15">
        <f t="shared" si="115"/>
        <v>45737</v>
      </c>
      <c r="D137" s="14">
        <v>12512</v>
      </c>
      <c r="E137" s="16" t="s">
        <v>92</v>
      </c>
      <c r="F137" s="40" t="s">
        <v>93</v>
      </c>
      <c r="G137" s="17" t="s">
        <v>75</v>
      </c>
      <c r="H137" s="18" t="s">
        <v>57</v>
      </c>
      <c r="I137" s="19" t="s">
        <v>94</v>
      </c>
      <c r="J137" s="20">
        <v>45691</v>
      </c>
      <c r="K137" s="20">
        <v>45723</v>
      </c>
      <c r="L137" s="21">
        <v>900000</v>
      </c>
      <c r="M137" s="22">
        <f t="shared" si="116"/>
        <v>1005000</v>
      </c>
      <c r="N137" s="23">
        <v>900000</v>
      </c>
      <c r="O137" s="23">
        <v>105000</v>
      </c>
      <c r="P137" s="24">
        <f t="shared" si="117"/>
        <v>0</v>
      </c>
      <c r="Q137" s="25">
        <v>105000</v>
      </c>
      <c r="R137" s="26">
        <v>150000</v>
      </c>
      <c r="S137" s="91">
        <f t="shared" si="118"/>
        <v>0</v>
      </c>
      <c r="T137" s="91">
        <f t="shared" si="119"/>
        <v>0.7</v>
      </c>
      <c r="U137" s="27" t="s">
        <v>193</v>
      </c>
      <c r="V137" s="19" t="s">
        <v>51</v>
      </c>
      <c r="W137" s="20">
        <v>45707</v>
      </c>
      <c r="X137" s="22"/>
      <c r="Y137" s="19" t="s">
        <v>52</v>
      </c>
      <c r="Z137" s="19" t="s">
        <v>52</v>
      </c>
      <c r="AA137" s="19" t="s">
        <v>52</v>
      </c>
      <c r="AB137" s="28"/>
      <c r="AC137" s="90"/>
    </row>
    <row r="138" spans="1:33" s="29" customFormat="1" ht="15" customHeight="1" x14ac:dyDescent="0.25">
      <c r="A138" s="14">
        <v>11</v>
      </c>
      <c r="B138" s="15">
        <v>45729</v>
      </c>
      <c r="C138" s="15">
        <f t="shared" ref="C138" si="120">B138+8</f>
        <v>45737</v>
      </c>
      <c r="D138" s="14">
        <v>12385</v>
      </c>
      <c r="E138" s="16" t="s">
        <v>92</v>
      </c>
      <c r="F138" s="40" t="s">
        <v>93</v>
      </c>
      <c r="G138" s="17" t="s">
        <v>75</v>
      </c>
      <c r="H138" s="18" t="s">
        <v>57</v>
      </c>
      <c r="I138" s="19" t="s">
        <v>94</v>
      </c>
      <c r="J138" s="20">
        <v>45666</v>
      </c>
      <c r="K138" s="20">
        <v>45693</v>
      </c>
      <c r="L138" s="21">
        <v>750000</v>
      </c>
      <c r="M138" s="22">
        <f t="shared" ref="M138" si="121">SUM(N138:O138)</f>
        <v>804000</v>
      </c>
      <c r="N138" s="23">
        <v>750000</v>
      </c>
      <c r="O138" s="23">
        <v>54000</v>
      </c>
      <c r="P138" s="24">
        <f t="shared" ref="P138" si="122">L138-N138</f>
        <v>0</v>
      </c>
      <c r="Q138" s="25">
        <v>54000</v>
      </c>
      <c r="R138" s="26">
        <v>150000</v>
      </c>
      <c r="S138" s="91">
        <f t="shared" si="118"/>
        <v>0</v>
      </c>
      <c r="T138" s="91">
        <f t="shared" si="119"/>
        <v>0.36</v>
      </c>
      <c r="U138" s="27" t="s">
        <v>193</v>
      </c>
      <c r="V138" s="19" t="s">
        <v>51</v>
      </c>
      <c r="W138" s="20">
        <v>45707</v>
      </c>
      <c r="X138" s="22"/>
      <c r="Y138" s="19" t="s">
        <v>52</v>
      </c>
      <c r="Z138" s="19" t="s">
        <v>52</v>
      </c>
      <c r="AA138" s="19" t="s">
        <v>52</v>
      </c>
      <c r="AB138" s="28"/>
      <c r="AC138" s="90"/>
    </row>
    <row r="139" spans="1:33" ht="15" customHeight="1" x14ac:dyDescent="0.25">
      <c r="A139" s="33" t="s">
        <v>71</v>
      </c>
      <c r="B139" s="34"/>
      <c r="C139" s="34"/>
      <c r="D139" s="34"/>
      <c r="E139" s="34"/>
      <c r="F139" s="35"/>
      <c r="G139" s="35"/>
      <c r="H139" s="34"/>
      <c r="I139" s="34"/>
      <c r="J139" s="34"/>
      <c r="K139" s="34"/>
      <c r="L139" s="36"/>
      <c r="M139" s="36"/>
      <c r="N139" s="36"/>
      <c r="O139" s="36"/>
      <c r="P139" s="36"/>
      <c r="Q139" s="36">
        <f>SUM(Q127:Q138)</f>
        <v>2409000</v>
      </c>
      <c r="R139" s="36"/>
      <c r="S139" s="92"/>
      <c r="T139" s="93">
        <f>SUM(T127:T138)</f>
        <v>24.054285714285712</v>
      </c>
      <c r="U139" s="37"/>
      <c r="V139" s="38"/>
      <c r="W139" s="38"/>
      <c r="X139" s="38"/>
      <c r="Y139" s="34"/>
      <c r="Z139" s="34"/>
      <c r="AA139" s="39"/>
      <c r="AB139" s="29" t="s">
        <v>529</v>
      </c>
      <c r="AC139" s="81" t="s">
        <v>531</v>
      </c>
      <c r="AD139" s="83">
        <v>5000</v>
      </c>
      <c r="AF139" s="83">
        <v>0</v>
      </c>
      <c r="AG139" s="83">
        <f>SUM(AD139,AF139)</f>
        <v>5000</v>
      </c>
    </row>
    <row r="140" spans="1:33" s="29" customFormat="1" ht="15" customHeight="1" x14ac:dyDescent="0.25">
      <c r="A140" s="14">
        <v>7</v>
      </c>
      <c r="B140" s="15">
        <v>45729</v>
      </c>
      <c r="C140" s="15">
        <f>B140+8</f>
        <v>45737</v>
      </c>
      <c r="D140" s="14">
        <v>12287</v>
      </c>
      <c r="E140" s="84" t="s">
        <v>95</v>
      </c>
      <c r="F140" s="87" t="s">
        <v>96</v>
      </c>
      <c r="G140" s="87" t="s">
        <v>75</v>
      </c>
      <c r="H140" s="88" t="s">
        <v>54</v>
      </c>
      <c r="I140" s="19" t="s">
        <v>86</v>
      </c>
      <c r="J140" s="20">
        <v>45645</v>
      </c>
      <c r="K140" s="20">
        <v>45680</v>
      </c>
      <c r="L140" s="21">
        <v>2000000</v>
      </c>
      <c r="M140" s="22">
        <f>SUM(N140:O140)</f>
        <v>1389000</v>
      </c>
      <c r="N140" s="23">
        <v>1284000</v>
      </c>
      <c r="O140" s="23">
        <v>105000</v>
      </c>
      <c r="P140" s="24">
        <f>L140-N140</f>
        <v>716000</v>
      </c>
      <c r="Q140" s="25">
        <v>105000</v>
      </c>
      <c r="R140" s="26">
        <v>126000</v>
      </c>
      <c r="S140" s="91">
        <f t="shared" ref="S140:S147" si="123">IF(P140&gt;0,P140/$R140,0)</f>
        <v>5.6825396825396828</v>
      </c>
      <c r="T140" s="91">
        <f t="shared" ref="T140:T147" si="124">IF(Q140&gt;0,Q140/$R140,0)</f>
        <v>0.83333333333333337</v>
      </c>
      <c r="U140" s="27" t="s">
        <v>56</v>
      </c>
      <c r="V140" s="19" t="s">
        <v>51</v>
      </c>
      <c r="W140" s="20">
        <v>45700</v>
      </c>
      <c r="X140" s="22"/>
      <c r="Y140" s="19" t="s">
        <v>52</v>
      </c>
      <c r="Z140" s="19" t="s">
        <v>52</v>
      </c>
      <c r="AA140" s="19" t="s">
        <v>52</v>
      </c>
      <c r="AB140" s="28"/>
      <c r="AC140" s="90"/>
    </row>
    <row r="141" spans="1:33" s="29" customFormat="1" ht="15" customHeight="1" x14ac:dyDescent="0.25">
      <c r="A141" s="14">
        <v>6</v>
      </c>
      <c r="B141" s="15">
        <v>45729</v>
      </c>
      <c r="C141" s="15">
        <f>B141+8</f>
        <v>45737</v>
      </c>
      <c r="D141" s="14">
        <v>12425</v>
      </c>
      <c r="E141" s="16" t="s">
        <v>316</v>
      </c>
      <c r="F141" s="17" t="s">
        <v>317</v>
      </c>
      <c r="G141" s="17" t="s">
        <v>132</v>
      </c>
      <c r="H141" s="18" t="s">
        <v>133</v>
      </c>
      <c r="I141" s="19" t="s">
        <v>198</v>
      </c>
      <c r="J141" s="20">
        <v>45673</v>
      </c>
      <c r="K141" s="20">
        <v>45721</v>
      </c>
      <c r="L141" s="21">
        <v>2000000</v>
      </c>
      <c r="M141" s="22">
        <f>SUM(N141:O141)</f>
        <v>1728000</v>
      </c>
      <c r="N141" s="23">
        <v>960000</v>
      </c>
      <c r="O141" s="23">
        <v>768000</v>
      </c>
      <c r="P141" s="24">
        <f>L141-N141</f>
        <v>1040000</v>
      </c>
      <c r="Q141" s="25">
        <v>768000</v>
      </c>
      <c r="R141" s="26">
        <v>128000</v>
      </c>
      <c r="S141" s="91">
        <f t="shared" si="123"/>
        <v>8.125</v>
      </c>
      <c r="T141" s="91">
        <f t="shared" si="124"/>
        <v>6</v>
      </c>
      <c r="U141" s="27" t="s">
        <v>56</v>
      </c>
      <c r="V141" s="19" t="s">
        <v>51</v>
      </c>
      <c r="W141" s="20">
        <v>45713</v>
      </c>
      <c r="X141" s="22"/>
      <c r="Y141" s="19" t="s">
        <v>52</v>
      </c>
      <c r="Z141" s="19" t="s">
        <v>52</v>
      </c>
      <c r="AA141" s="19" t="s">
        <v>52</v>
      </c>
      <c r="AB141" s="28"/>
    </row>
    <row r="142" spans="1:33" s="29" customFormat="1" ht="15" customHeight="1" x14ac:dyDescent="0.25">
      <c r="A142" s="14">
        <v>2</v>
      </c>
      <c r="B142" s="15">
        <v>45729</v>
      </c>
      <c r="C142" s="15">
        <f>B142+8</f>
        <v>45737</v>
      </c>
      <c r="D142" s="14">
        <v>12499</v>
      </c>
      <c r="E142" s="16" t="s">
        <v>380</v>
      </c>
      <c r="F142" s="40" t="s">
        <v>381</v>
      </c>
      <c r="G142" s="17" t="s">
        <v>75</v>
      </c>
      <c r="H142" s="18" t="s">
        <v>78</v>
      </c>
      <c r="I142" s="19" t="s">
        <v>79</v>
      </c>
      <c r="J142" s="20">
        <v>45687</v>
      </c>
      <c r="K142" s="20">
        <v>45708</v>
      </c>
      <c r="L142" s="21">
        <v>2000000</v>
      </c>
      <c r="M142" s="22">
        <f>SUM(N142:O142)</f>
        <v>2079000</v>
      </c>
      <c r="N142" s="23">
        <v>1920000</v>
      </c>
      <c r="O142" s="23">
        <v>159000</v>
      </c>
      <c r="P142" s="24">
        <f>L142-N142</f>
        <v>80000</v>
      </c>
      <c r="Q142" s="25">
        <v>159000</v>
      </c>
      <c r="R142" s="26">
        <v>105000</v>
      </c>
      <c r="S142" s="91">
        <f t="shared" si="123"/>
        <v>0.76190476190476186</v>
      </c>
      <c r="T142" s="91">
        <f t="shared" si="124"/>
        <v>1.5142857142857142</v>
      </c>
      <c r="U142" s="27" t="s">
        <v>56</v>
      </c>
      <c r="V142" s="19" t="s">
        <v>51</v>
      </c>
      <c r="W142" s="20">
        <v>45705</v>
      </c>
      <c r="X142" s="22"/>
      <c r="Y142" s="19" t="s">
        <v>52</v>
      </c>
      <c r="Z142" s="19" t="s">
        <v>52</v>
      </c>
      <c r="AA142" s="19" t="s">
        <v>52</v>
      </c>
      <c r="AB142" s="28"/>
      <c r="AC142" s="90"/>
    </row>
    <row r="143" spans="1:33" s="29" customFormat="1" ht="15" customHeight="1" x14ac:dyDescent="0.25">
      <c r="A143" s="14">
        <v>30</v>
      </c>
      <c r="B143" s="15">
        <v>45729</v>
      </c>
      <c r="C143" s="15">
        <f>B143+8</f>
        <v>45737</v>
      </c>
      <c r="D143" s="14">
        <v>12493</v>
      </c>
      <c r="E143" s="16" t="s">
        <v>353</v>
      </c>
      <c r="F143" s="40" t="s">
        <v>354</v>
      </c>
      <c r="G143" s="17" t="s">
        <v>75</v>
      </c>
      <c r="H143" s="18" t="s">
        <v>78</v>
      </c>
      <c r="I143" s="19" t="s">
        <v>79</v>
      </c>
      <c r="J143" s="20">
        <v>45688</v>
      </c>
      <c r="K143" s="20">
        <v>45729</v>
      </c>
      <c r="L143" s="21">
        <v>2500000</v>
      </c>
      <c r="M143" s="22">
        <f>SUM(N143:O143)</f>
        <v>988000</v>
      </c>
      <c r="N143" s="23">
        <v>960000</v>
      </c>
      <c r="O143" s="23">
        <v>28000</v>
      </c>
      <c r="P143" s="24">
        <f>L143-N143</f>
        <v>1540000</v>
      </c>
      <c r="Q143" s="25">
        <v>28000</v>
      </c>
      <c r="R143" s="26">
        <v>84000</v>
      </c>
      <c r="S143" s="91">
        <f t="shared" si="123"/>
        <v>18.333333333333332</v>
      </c>
      <c r="T143" s="91">
        <f t="shared" si="124"/>
        <v>0.33333333333333331</v>
      </c>
      <c r="U143" s="27" t="s">
        <v>56</v>
      </c>
      <c r="V143" s="19" t="s">
        <v>51</v>
      </c>
      <c r="W143" s="20">
        <v>45702</v>
      </c>
      <c r="X143" s="22"/>
      <c r="Y143" s="19" t="s">
        <v>52</v>
      </c>
      <c r="Z143" s="19" t="s">
        <v>52</v>
      </c>
      <c r="AA143" s="19" t="s">
        <v>52</v>
      </c>
      <c r="AB143" s="28"/>
      <c r="AC143" s="90"/>
    </row>
    <row r="144" spans="1:33" s="29" customFormat="1" ht="15" customHeight="1" x14ac:dyDescent="0.25">
      <c r="A144" s="14">
        <v>10</v>
      </c>
      <c r="B144" s="15">
        <v>45729</v>
      </c>
      <c r="C144" s="15">
        <f>B144+8</f>
        <v>45737</v>
      </c>
      <c r="D144" s="14">
        <v>12558</v>
      </c>
      <c r="E144" s="16" t="s">
        <v>307</v>
      </c>
      <c r="F144" s="17" t="s">
        <v>308</v>
      </c>
      <c r="G144" s="17" t="s">
        <v>132</v>
      </c>
      <c r="H144" s="18" t="s">
        <v>133</v>
      </c>
      <c r="I144" s="19" t="s">
        <v>198</v>
      </c>
      <c r="J144" s="20">
        <v>45700</v>
      </c>
      <c r="K144" s="20">
        <v>45749</v>
      </c>
      <c r="L144" s="21">
        <v>550000</v>
      </c>
      <c r="M144" s="22">
        <f t="shared" ref="M144:M147" si="125">SUM(N144:O144)</f>
        <v>584000</v>
      </c>
      <c r="N144" s="23">
        <v>0</v>
      </c>
      <c r="O144" s="23">
        <v>584000</v>
      </c>
      <c r="P144" s="24">
        <f>L144-N144</f>
        <v>550000</v>
      </c>
      <c r="Q144" s="25">
        <v>584000</v>
      </c>
      <c r="R144" s="26">
        <v>128000</v>
      </c>
      <c r="S144" s="91">
        <f t="shared" si="123"/>
        <v>4.296875</v>
      </c>
      <c r="T144" s="91">
        <f t="shared" si="124"/>
        <v>4.5625</v>
      </c>
      <c r="U144" s="27" t="s">
        <v>56</v>
      </c>
      <c r="V144" s="19" t="s">
        <v>51</v>
      </c>
      <c r="W144" s="20">
        <v>45716</v>
      </c>
      <c r="X144" s="22"/>
      <c r="Y144" s="19" t="s">
        <v>52</v>
      </c>
      <c r="Z144" s="19" t="s">
        <v>52</v>
      </c>
      <c r="AA144" s="19" t="s">
        <v>52</v>
      </c>
      <c r="AB144" s="28"/>
    </row>
    <row r="145" spans="1:33" s="29" customFormat="1" ht="15" customHeight="1" x14ac:dyDescent="0.25">
      <c r="A145" s="14">
        <v>13</v>
      </c>
      <c r="B145" s="15">
        <v>45729</v>
      </c>
      <c r="C145" s="15">
        <f t="shared" ref="C145:C147" si="126">B145+8</f>
        <v>45737</v>
      </c>
      <c r="D145" s="14">
        <v>12349</v>
      </c>
      <c r="E145" s="16" t="s">
        <v>289</v>
      </c>
      <c r="F145" s="40" t="s">
        <v>290</v>
      </c>
      <c r="G145" s="17" t="s">
        <v>75</v>
      </c>
      <c r="H145" s="18" t="s">
        <v>133</v>
      </c>
      <c r="I145" s="19" t="s">
        <v>198</v>
      </c>
      <c r="J145" s="20">
        <v>45657</v>
      </c>
      <c r="K145" s="20">
        <v>45712</v>
      </c>
      <c r="L145" s="21">
        <v>120000</v>
      </c>
      <c r="M145" s="22">
        <f t="shared" si="125"/>
        <v>120000</v>
      </c>
      <c r="N145" s="23">
        <v>0</v>
      </c>
      <c r="O145" s="23">
        <v>120000</v>
      </c>
      <c r="P145" s="24">
        <f t="shared" ref="P145:P147" si="127">L145-N145</f>
        <v>120000</v>
      </c>
      <c r="Q145" s="25">
        <v>120000</v>
      </c>
      <c r="R145" s="26">
        <v>60000</v>
      </c>
      <c r="S145" s="91">
        <f t="shared" si="123"/>
        <v>2</v>
      </c>
      <c r="T145" s="91">
        <f t="shared" si="124"/>
        <v>2</v>
      </c>
      <c r="U145" s="27" t="s">
        <v>56</v>
      </c>
      <c r="V145" s="19" t="s">
        <v>51</v>
      </c>
      <c r="W145" s="20">
        <v>45726</v>
      </c>
      <c r="X145" s="22"/>
      <c r="Y145" s="19" t="s">
        <v>52</v>
      </c>
      <c r="Z145" s="19" t="s">
        <v>52</v>
      </c>
      <c r="AA145" s="19" t="s">
        <v>52</v>
      </c>
      <c r="AB145" s="28"/>
      <c r="AC145" s="90"/>
    </row>
    <row r="146" spans="1:33" s="29" customFormat="1" ht="15" customHeight="1" x14ac:dyDescent="0.25">
      <c r="A146" s="14">
        <v>37</v>
      </c>
      <c r="B146" s="15">
        <v>45729</v>
      </c>
      <c r="C146" s="15">
        <f>B146+8</f>
        <v>45737</v>
      </c>
      <c r="D146" s="14">
        <v>12581</v>
      </c>
      <c r="E146" s="16" t="s">
        <v>252</v>
      </c>
      <c r="F146" s="40" t="s">
        <v>253</v>
      </c>
      <c r="G146" s="17" t="s">
        <v>75</v>
      </c>
      <c r="H146" s="18" t="s">
        <v>54</v>
      </c>
      <c r="I146" s="19" t="s">
        <v>86</v>
      </c>
      <c r="J146" s="20">
        <v>45705</v>
      </c>
      <c r="K146" s="20">
        <v>45729</v>
      </c>
      <c r="L146" s="21">
        <v>250000</v>
      </c>
      <c r="M146" s="22">
        <f t="shared" si="125"/>
        <v>261000</v>
      </c>
      <c r="N146" s="23">
        <v>0</v>
      </c>
      <c r="O146" s="23">
        <v>261000</v>
      </c>
      <c r="P146" s="24">
        <f>L146-N146</f>
        <v>250000</v>
      </c>
      <c r="Q146" s="25">
        <v>252000</v>
      </c>
      <c r="R146" s="26">
        <v>63000</v>
      </c>
      <c r="S146" s="91">
        <f t="shared" si="123"/>
        <v>3.9682539682539684</v>
      </c>
      <c r="T146" s="91">
        <f t="shared" si="124"/>
        <v>4</v>
      </c>
      <c r="U146" s="27" t="s">
        <v>56</v>
      </c>
      <c r="V146" s="30" t="s">
        <v>59</v>
      </c>
      <c r="W146" s="31">
        <v>45728</v>
      </c>
      <c r="X146" s="22"/>
      <c r="Y146" s="19" t="s">
        <v>52</v>
      </c>
      <c r="Z146" s="19" t="s">
        <v>52</v>
      </c>
      <c r="AA146" s="19" t="s">
        <v>52</v>
      </c>
      <c r="AB146" s="28"/>
      <c r="AC146" s="90"/>
    </row>
    <row r="147" spans="1:33" s="29" customFormat="1" ht="15" customHeight="1" x14ac:dyDescent="0.25">
      <c r="A147" s="14">
        <v>19</v>
      </c>
      <c r="B147" s="15">
        <v>45729</v>
      </c>
      <c r="C147" s="15">
        <f t="shared" si="126"/>
        <v>45737</v>
      </c>
      <c r="D147" s="14">
        <v>12315</v>
      </c>
      <c r="E147" s="16" t="s">
        <v>438</v>
      </c>
      <c r="F147" s="40" t="s">
        <v>439</v>
      </c>
      <c r="G147" s="17" t="s">
        <v>75</v>
      </c>
      <c r="H147" s="18" t="s">
        <v>78</v>
      </c>
      <c r="I147" s="19" t="s">
        <v>79</v>
      </c>
      <c r="J147" s="20">
        <v>45649</v>
      </c>
      <c r="K147" s="20">
        <v>45691</v>
      </c>
      <c r="L147" s="21">
        <v>80000</v>
      </c>
      <c r="M147" s="22">
        <f t="shared" si="125"/>
        <v>80000</v>
      </c>
      <c r="N147" s="23">
        <v>0</v>
      </c>
      <c r="O147" s="23">
        <v>80000</v>
      </c>
      <c r="P147" s="24">
        <f t="shared" si="127"/>
        <v>80000</v>
      </c>
      <c r="Q147" s="25">
        <v>105000</v>
      </c>
      <c r="R147" s="26">
        <v>126000</v>
      </c>
      <c r="S147" s="91">
        <f t="shared" si="123"/>
        <v>0.63492063492063489</v>
      </c>
      <c r="T147" s="91">
        <f t="shared" si="124"/>
        <v>0.83333333333333337</v>
      </c>
      <c r="U147" s="27" t="s">
        <v>56</v>
      </c>
      <c r="V147" s="30" t="s">
        <v>59</v>
      </c>
      <c r="W147" s="31">
        <v>45728</v>
      </c>
      <c r="X147" s="22"/>
      <c r="Y147" s="19" t="s">
        <v>52</v>
      </c>
      <c r="Z147" s="19" t="s">
        <v>52</v>
      </c>
      <c r="AA147" s="19" t="s">
        <v>52</v>
      </c>
      <c r="AB147" s="28"/>
      <c r="AC147" s="90"/>
    </row>
    <row r="148" spans="1:33" ht="15" customHeight="1" x14ac:dyDescent="0.25">
      <c r="A148" s="33" t="s">
        <v>71</v>
      </c>
      <c r="B148" s="34"/>
      <c r="C148" s="34"/>
      <c r="D148" s="34"/>
      <c r="E148" s="34"/>
      <c r="F148" s="35"/>
      <c r="G148" s="35"/>
      <c r="H148" s="34"/>
      <c r="I148" s="34"/>
      <c r="J148" s="34"/>
      <c r="K148" s="34"/>
      <c r="L148" s="36"/>
      <c r="M148" s="36"/>
      <c r="N148" s="36"/>
      <c r="O148" s="36"/>
      <c r="P148" s="36"/>
      <c r="Q148" s="36">
        <f>SUM(Q140:Q147)</f>
        <v>2121000</v>
      </c>
      <c r="R148" s="36"/>
      <c r="S148" s="92"/>
      <c r="T148" s="93">
        <f>SUM(T140:T147)</f>
        <v>20.076785714285716</v>
      </c>
      <c r="U148" s="37"/>
      <c r="V148" s="38"/>
      <c r="W148" s="38"/>
      <c r="X148" s="38"/>
      <c r="Y148" s="34"/>
      <c r="Z148" s="34"/>
      <c r="AA148" s="39"/>
      <c r="AB148" s="29" t="s">
        <v>530</v>
      </c>
      <c r="AC148" s="81" t="s">
        <v>578</v>
      </c>
      <c r="AD148" s="83">
        <v>4583.33</v>
      </c>
      <c r="AF148" s="83">
        <v>0</v>
      </c>
      <c r="AG148" s="83">
        <f>SUM(AD148,AF148)</f>
        <v>4583.33</v>
      </c>
    </row>
    <row r="149" spans="1:33" s="29" customFormat="1" ht="15" customHeight="1" x14ac:dyDescent="0.25">
      <c r="A149" s="14">
        <v>10</v>
      </c>
      <c r="B149" s="15">
        <v>45731</v>
      </c>
      <c r="C149" s="15">
        <f>B149+8</f>
        <v>45739</v>
      </c>
      <c r="D149" s="14">
        <v>12556</v>
      </c>
      <c r="E149" s="16" t="s">
        <v>372</v>
      </c>
      <c r="F149" s="17" t="s">
        <v>478</v>
      </c>
      <c r="G149" s="17" t="s">
        <v>102</v>
      </c>
      <c r="H149" s="18" t="s">
        <v>57</v>
      </c>
      <c r="I149" s="19" t="s">
        <v>58</v>
      </c>
      <c r="J149" s="20">
        <v>45698</v>
      </c>
      <c r="K149" s="20">
        <v>45733</v>
      </c>
      <c r="L149" s="21">
        <v>1500000</v>
      </c>
      <c r="M149" s="22">
        <f>SUM(N149:O149)</f>
        <v>606000</v>
      </c>
      <c r="N149" s="23">
        <v>0</v>
      </c>
      <c r="O149" s="23">
        <v>606000</v>
      </c>
      <c r="P149" s="24">
        <f>L149-N149</f>
        <v>1500000</v>
      </c>
      <c r="Q149" s="25">
        <v>606000</v>
      </c>
      <c r="R149" s="26">
        <v>48000</v>
      </c>
      <c r="S149" s="91">
        <f t="shared" ref="S149:S151" si="128">IF(P149&gt;0,P149/$R149,0)</f>
        <v>31.25</v>
      </c>
      <c r="T149" s="91">
        <f t="shared" ref="T149:T151" si="129">IF(Q149&gt;0,Q149/$R149,0)</f>
        <v>12.625</v>
      </c>
      <c r="U149" s="27" t="s">
        <v>192</v>
      </c>
      <c r="V149" s="19" t="s">
        <v>51</v>
      </c>
      <c r="W149" s="20">
        <v>45716</v>
      </c>
      <c r="X149" s="22"/>
      <c r="Y149" s="19" t="s">
        <v>52</v>
      </c>
      <c r="Z149" s="19" t="s">
        <v>52</v>
      </c>
      <c r="AA149" s="19" t="s">
        <v>52</v>
      </c>
      <c r="AB149" s="28"/>
    </row>
    <row r="150" spans="1:33" s="29" customFormat="1" ht="15" customHeight="1" x14ac:dyDescent="0.25">
      <c r="A150" s="14">
        <v>15</v>
      </c>
      <c r="B150" s="15">
        <v>45731</v>
      </c>
      <c r="C150" s="15">
        <f t="shared" ref="C150" si="130">B150+8</f>
        <v>45739</v>
      </c>
      <c r="D150" s="14">
        <v>12413</v>
      </c>
      <c r="E150" s="16" t="s">
        <v>456</v>
      </c>
      <c r="F150" s="40" t="s">
        <v>80</v>
      </c>
      <c r="G150" s="17" t="s">
        <v>75</v>
      </c>
      <c r="H150" s="18" t="s">
        <v>57</v>
      </c>
      <c r="I150" s="19" t="s">
        <v>58</v>
      </c>
      <c r="J150" s="20">
        <v>45671</v>
      </c>
      <c r="K150" s="20">
        <v>45671</v>
      </c>
      <c r="L150" s="21">
        <v>300000</v>
      </c>
      <c r="M150" s="22">
        <f t="shared" ref="M150" si="131">SUM(N150:O150)</f>
        <v>60000</v>
      </c>
      <c r="N150" s="23">
        <v>0</v>
      </c>
      <c r="O150" s="23">
        <v>60000</v>
      </c>
      <c r="P150" s="24">
        <f t="shared" ref="P150" si="132">L150-N150</f>
        <v>300000</v>
      </c>
      <c r="Q150" s="25">
        <v>90000</v>
      </c>
      <c r="R150" s="26">
        <v>150000</v>
      </c>
      <c r="S150" s="91">
        <f t="shared" si="128"/>
        <v>2</v>
      </c>
      <c r="T150" s="91">
        <f t="shared" si="129"/>
        <v>0.6</v>
      </c>
      <c r="U150" s="27" t="s">
        <v>192</v>
      </c>
      <c r="V150" s="30" t="s">
        <v>59</v>
      </c>
      <c r="W150" s="31">
        <v>45727</v>
      </c>
      <c r="X150" s="22"/>
      <c r="Y150" s="19" t="s">
        <v>52</v>
      </c>
      <c r="Z150" s="19" t="s">
        <v>52</v>
      </c>
      <c r="AA150" s="19" t="s">
        <v>52</v>
      </c>
      <c r="AB150" s="28"/>
      <c r="AC150" s="90"/>
    </row>
    <row r="151" spans="1:33" s="29" customFormat="1" ht="15" customHeight="1" x14ac:dyDescent="0.25">
      <c r="A151" s="14">
        <v>2</v>
      </c>
      <c r="B151" s="15">
        <v>45731</v>
      </c>
      <c r="C151" s="15">
        <f>B151+8</f>
        <v>45739</v>
      </c>
      <c r="D151" s="14">
        <v>12591</v>
      </c>
      <c r="E151" s="16" t="s">
        <v>404</v>
      </c>
      <c r="F151" s="17" t="s">
        <v>405</v>
      </c>
      <c r="G151" s="17" t="s">
        <v>47</v>
      </c>
      <c r="H151" s="18" t="s">
        <v>57</v>
      </c>
      <c r="I151" s="19" t="s">
        <v>58</v>
      </c>
      <c r="J151" s="20">
        <v>45705</v>
      </c>
      <c r="K151" s="20">
        <v>45733</v>
      </c>
      <c r="L151" s="21">
        <v>1000000</v>
      </c>
      <c r="M151" s="22">
        <f t="shared" ref="M151" si="133">SUM(N151:O151)</f>
        <v>1100000</v>
      </c>
      <c r="N151" s="23">
        <v>100000</v>
      </c>
      <c r="O151" s="23">
        <v>1000000</v>
      </c>
      <c r="P151" s="24">
        <f>L151-N151</f>
        <v>900000</v>
      </c>
      <c r="Q151" s="25">
        <v>1000000</v>
      </c>
      <c r="R151" s="26">
        <v>100000</v>
      </c>
      <c r="S151" s="91">
        <f t="shared" si="128"/>
        <v>9</v>
      </c>
      <c r="T151" s="91">
        <f t="shared" si="129"/>
        <v>10</v>
      </c>
      <c r="U151" s="27" t="s">
        <v>192</v>
      </c>
      <c r="V151" s="19" t="s">
        <v>51</v>
      </c>
      <c r="W151" s="20">
        <v>45720</v>
      </c>
      <c r="X151" s="22"/>
      <c r="Y151" s="19" t="s">
        <v>52</v>
      </c>
      <c r="Z151" s="19" t="s">
        <v>52</v>
      </c>
      <c r="AA151" s="19" t="s">
        <v>52</v>
      </c>
      <c r="AB151" s="28"/>
    </row>
    <row r="152" spans="1:33" ht="15" customHeight="1" x14ac:dyDescent="0.25">
      <c r="A152" s="33" t="s">
        <v>71</v>
      </c>
      <c r="B152" s="34"/>
      <c r="C152" s="34"/>
      <c r="D152" s="34"/>
      <c r="E152" s="34"/>
      <c r="F152" s="35"/>
      <c r="G152" s="35"/>
      <c r="H152" s="34"/>
      <c r="I152" s="34"/>
      <c r="J152" s="34"/>
      <c r="K152" s="34"/>
      <c r="L152" s="36"/>
      <c r="M152" s="36"/>
      <c r="N152" s="36"/>
      <c r="O152" s="36"/>
      <c r="P152" s="36"/>
      <c r="Q152" s="36">
        <f>SUM(Q149:Q151)</f>
        <v>1696000</v>
      </c>
      <c r="R152" s="36"/>
      <c r="S152" s="92"/>
      <c r="T152" s="93">
        <f>SUM(T149:T151)</f>
        <v>23.225000000000001</v>
      </c>
      <c r="U152" s="37"/>
      <c r="V152" s="38"/>
      <c r="W152" s="38"/>
      <c r="X152" s="38"/>
      <c r="Y152" s="34"/>
      <c r="Z152" s="34"/>
      <c r="AA152" s="39"/>
      <c r="AB152" s="29" t="s">
        <v>533</v>
      </c>
      <c r="AC152" s="81" t="s">
        <v>539</v>
      </c>
      <c r="AD152" s="83">
        <v>5000</v>
      </c>
      <c r="AF152" s="83">
        <v>0</v>
      </c>
      <c r="AG152" s="83">
        <f>SUM(AD152,AF152)</f>
        <v>5000</v>
      </c>
    </row>
    <row r="153" spans="1:33" s="29" customFormat="1" ht="15" customHeight="1" x14ac:dyDescent="0.25">
      <c r="A153" s="14">
        <v>7</v>
      </c>
      <c r="B153" s="15">
        <v>45734</v>
      </c>
      <c r="C153" s="15">
        <f t="shared" ref="C153:C157" si="134">B153+8</f>
        <v>45742</v>
      </c>
      <c r="D153" s="14">
        <v>12287</v>
      </c>
      <c r="E153" s="84" t="s">
        <v>95</v>
      </c>
      <c r="F153" s="87" t="s">
        <v>96</v>
      </c>
      <c r="G153" s="87" t="s">
        <v>75</v>
      </c>
      <c r="H153" s="88" t="s">
        <v>54</v>
      </c>
      <c r="I153" s="19" t="s">
        <v>86</v>
      </c>
      <c r="J153" s="20">
        <v>45645</v>
      </c>
      <c r="K153" s="20">
        <v>45680</v>
      </c>
      <c r="L153" s="21">
        <v>2000000</v>
      </c>
      <c r="M153" s="22">
        <f t="shared" ref="M153" si="135">SUM(N153:O153)</f>
        <v>2064000</v>
      </c>
      <c r="N153" s="23">
        <v>1389000</v>
      </c>
      <c r="O153" s="23">
        <v>675000</v>
      </c>
      <c r="P153" s="24">
        <f t="shared" ref="P153:P157" si="136">L153-N153</f>
        <v>611000</v>
      </c>
      <c r="Q153" s="25">
        <v>675000</v>
      </c>
      <c r="R153" s="26">
        <v>126000</v>
      </c>
      <c r="S153" s="91">
        <f t="shared" ref="S153:S158" si="137">IF(P153&gt;0,P153/$R153,0)</f>
        <v>4.8492063492063489</v>
      </c>
      <c r="T153" s="91">
        <f t="shared" ref="T153:T158" si="138">IF(Q153&gt;0,Q153/$R153,0)</f>
        <v>5.3571428571428568</v>
      </c>
      <c r="U153" s="27" t="s">
        <v>56</v>
      </c>
      <c r="V153" s="19" t="s">
        <v>51</v>
      </c>
      <c r="W153" s="20">
        <v>45700</v>
      </c>
      <c r="X153" s="22"/>
      <c r="Y153" s="19" t="s">
        <v>52</v>
      </c>
      <c r="Z153" s="19" t="s">
        <v>52</v>
      </c>
      <c r="AA153" s="19" t="s">
        <v>52</v>
      </c>
      <c r="AB153" s="28"/>
      <c r="AC153" s="90"/>
    </row>
    <row r="154" spans="1:33" s="29" customFormat="1" ht="15" customHeight="1" x14ac:dyDescent="0.25">
      <c r="A154" s="14">
        <v>6</v>
      </c>
      <c r="B154" s="15">
        <v>45734</v>
      </c>
      <c r="C154" s="15">
        <f>B154+8</f>
        <v>45742</v>
      </c>
      <c r="D154" s="14">
        <v>12425</v>
      </c>
      <c r="E154" s="16" t="s">
        <v>316</v>
      </c>
      <c r="F154" s="17" t="s">
        <v>317</v>
      </c>
      <c r="G154" s="17" t="s">
        <v>132</v>
      </c>
      <c r="H154" s="18" t="s">
        <v>133</v>
      </c>
      <c r="I154" s="19" t="s">
        <v>198</v>
      </c>
      <c r="J154" s="20">
        <v>45673</v>
      </c>
      <c r="K154" s="20">
        <v>45721</v>
      </c>
      <c r="L154" s="21">
        <v>2000000</v>
      </c>
      <c r="M154" s="22">
        <f>SUM(N154:O154)</f>
        <v>672000</v>
      </c>
      <c r="N154" s="23">
        <v>384000</v>
      </c>
      <c r="O154" s="23">
        <v>288000</v>
      </c>
      <c r="P154" s="24">
        <f>L154-N154</f>
        <v>1616000</v>
      </c>
      <c r="Q154" s="25">
        <v>288000</v>
      </c>
      <c r="R154" s="26">
        <v>128000</v>
      </c>
      <c r="S154" s="91">
        <f t="shared" si="137"/>
        <v>12.625</v>
      </c>
      <c r="T154" s="91">
        <f t="shared" si="138"/>
        <v>2.25</v>
      </c>
      <c r="U154" s="27" t="s">
        <v>56</v>
      </c>
      <c r="V154" s="19" t="s">
        <v>51</v>
      </c>
      <c r="W154" s="20">
        <v>45713</v>
      </c>
      <c r="X154" s="22"/>
      <c r="Y154" s="19" t="s">
        <v>52</v>
      </c>
      <c r="Z154" s="19" t="s">
        <v>52</v>
      </c>
      <c r="AA154" s="19" t="s">
        <v>52</v>
      </c>
      <c r="AB154" s="28"/>
    </row>
    <row r="155" spans="1:33" s="29" customFormat="1" ht="15" customHeight="1" x14ac:dyDescent="0.25">
      <c r="A155" s="14">
        <v>30</v>
      </c>
      <c r="B155" s="15">
        <v>45734</v>
      </c>
      <c r="C155" s="15">
        <f>B155+8</f>
        <v>45742</v>
      </c>
      <c r="D155" s="14">
        <v>12493</v>
      </c>
      <c r="E155" s="16" t="s">
        <v>353</v>
      </c>
      <c r="F155" s="40" t="s">
        <v>354</v>
      </c>
      <c r="G155" s="17" t="s">
        <v>75</v>
      </c>
      <c r="H155" s="18" t="s">
        <v>78</v>
      </c>
      <c r="I155" s="19" t="s">
        <v>79</v>
      </c>
      <c r="J155" s="20">
        <v>45688</v>
      </c>
      <c r="K155" s="20">
        <v>45729</v>
      </c>
      <c r="L155" s="21">
        <v>2500000</v>
      </c>
      <c r="M155" s="22">
        <f>SUM(N155:O155)</f>
        <v>1436000</v>
      </c>
      <c r="N155" s="23">
        <v>988000</v>
      </c>
      <c r="O155" s="23">
        <v>448000</v>
      </c>
      <c r="P155" s="24">
        <f>L155-N155</f>
        <v>1512000</v>
      </c>
      <c r="Q155" s="25">
        <v>448000</v>
      </c>
      <c r="R155" s="26">
        <v>84000</v>
      </c>
      <c r="S155" s="91">
        <f t="shared" si="137"/>
        <v>18</v>
      </c>
      <c r="T155" s="91">
        <f t="shared" si="138"/>
        <v>5.333333333333333</v>
      </c>
      <c r="U155" s="27" t="s">
        <v>56</v>
      </c>
      <c r="V155" s="19" t="s">
        <v>51</v>
      </c>
      <c r="W155" s="20">
        <v>45702</v>
      </c>
      <c r="X155" s="22"/>
      <c r="Y155" s="19" t="s">
        <v>52</v>
      </c>
      <c r="Z155" s="19" t="s">
        <v>52</v>
      </c>
      <c r="AA155" s="19" t="s">
        <v>52</v>
      </c>
      <c r="AB155" s="28"/>
      <c r="AC155" s="90"/>
    </row>
    <row r="156" spans="1:33" s="29" customFormat="1" ht="15" customHeight="1" x14ac:dyDescent="0.25">
      <c r="A156" s="14">
        <v>13</v>
      </c>
      <c r="B156" s="15">
        <v>45734</v>
      </c>
      <c r="C156" s="15">
        <f t="shared" ref="C156" si="139">B156+8</f>
        <v>45742</v>
      </c>
      <c r="D156" s="14">
        <v>12633</v>
      </c>
      <c r="E156" s="16" t="s">
        <v>143</v>
      </c>
      <c r="F156" s="17" t="s">
        <v>144</v>
      </c>
      <c r="G156" s="17" t="s">
        <v>132</v>
      </c>
      <c r="H156" s="18" t="s">
        <v>54</v>
      </c>
      <c r="I156" s="19" t="s">
        <v>135</v>
      </c>
      <c r="J156" s="20">
        <v>45713</v>
      </c>
      <c r="K156" s="20">
        <v>45761</v>
      </c>
      <c r="L156" s="21">
        <v>150000</v>
      </c>
      <c r="M156" s="22">
        <f t="shared" ref="M156:M158" si="140">SUM(N156:O156)</f>
        <v>175500</v>
      </c>
      <c r="N156" s="23">
        <v>0</v>
      </c>
      <c r="O156" s="23">
        <v>175500</v>
      </c>
      <c r="P156" s="24">
        <f t="shared" ref="P156" si="141">L156-N156</f>
        <v>150000</v>
      </c>
      <c r="Q156" s="25">
        <v>175500</v>
      </c>
      <c r="R156" s="26">
        <v>175500</v>
      </c>
      <c r="S156" s="91">
        <f t="shared" si="137"/>
        <v>0.85470085470085466</v>
      </c>
      <c r="T156" s="91">
        <f t="shared" si="138"/>
        <v>1</v>
      </c>
      <c r="U156" s="27" t="s">
        <v>56</v>
      </c>
      <c r="V156" s="30" t="s">
        <v>59</v>
      </c>
      <c r="W156" s="31">
        <v>45731</v>
      </c>
      <c r="X156" s="22"/>
      <c r="Y156" s="19" t="s">
        <v>52</v>
      </c>
      <c r="Z156" s="19" t="s">
        <v>52</v>
      </c>
      <c r="AA156" s="19" t="s">
        <v>52</v>
      </c>
      <c r="AB156" s="28"/>
    </row>
    <row r="157" spans="1:33" s="29" customFormat="1" ht="15" customHeight="1" x14ac:dyDescent="0.25">
      <c r="A157" s="14">
        <v>13</v>
      </c>
      <c r="B157" s="15">
        <v>45734</v>
      </c>
      <c r="C157" s="15">
        <f t="shared" si="134"/>
        <v>45742</v>
      </c>
      <c r="D157" s="14">
        <v>12349</v>
      </c>
      <c r="E157" s="16" t="s">
        <v>289</v>
      </c>
      <c r="F157" s="40" t="s">
        <v>290</v>
      </c>
      <c r="G157" s="17" t="s">
        <v>75</v>
      </c>
      <c r="H157" s="18" t="s">
        <v>133</v>
      </c>
      <c r="I157" s="19" t="s">
        <v>198</v>
      </c>
      <c r="J157" s="20">
        <v>45657</v>
      </c>
      <c r="K157" s="20">
        <v>45712</v>
      </c>
      <c r="L157" s="21">
        <v>120000</v>
      </c>
      <c r="M157" s="22">
        <f t="shared" si="140"/>
        <v>16000</v>
      </c>
      <c r="N157" s="23">
        <v>0</v>
      </c>
      <c r="O157" s="23">
        <v>16000</v>
      </c>
      <c r="P157" s="24">
        <f t="shared" si="136"/>
        <v>120000</v>
      </c>
      <c r="Q157" s="25">
        <v>16000</v>
      </c>
      <c r="R157" s="26">
        <v>60000</v>
      </c>
      <c r="S157" s="91">
        <f t="shared" si="137"/>
        <v>2</v>
      </c>
      <c r="T157" s="91">
        <f t="shared" si="138"/>
        <v>0.26666666666666666</v>
      </c>
      <c r="U157" s="27" t="s">
        <v>56</v>
      </c>
      <c r="V157" s="19" t="s">
        <v>51</v>
      </c>
      <c r="W157" s="20">
        <v>45726</v>
      </c>
      <c r="X157" s="22"/>
      <c r="Y157" s="19" t="s">
        <v>52</v>
      </c>
      <c r="Z157" s="19" t="s">
        <v>52</v>
      </c>
      <c r="AA157" s="19" t="s">
        <v>52</v>
      </c>
      <c r="AB157" s="28"/>
      <c r="AC157" s="90"/>
    </row>
    <row r="158" spans="1:33" s="29" customFormat="1" ht="15" customHeight="1" x14ac:dyDescent="0.25">
      <c r="A158" s="14">
        <v>10</v>
      </c>
      <c r="B158" s="15">
        <v>45734</v>
      </c>
      <c r="C158" s="15">
        <f t="shared" ref="C158" si="142">B158+8</f>
        <v>45742</v>
      </c>
      <c r="D158" s="14">
        <v>12563</v>
      </c>
      <c r="E158" s="16" t="s">
        <v>156</v>
      </c>
      <c r="F158" s="17" t="s">
        <v>157</v>
      </c>
      <c r="G158" s="17" t="s">
        <v>132</v>
      </c>
      <c r="H158" s="18" t="s">
        <v>54</v>
      </c>
      <c r="I158" s="19" t="s">
        <v>135</v>
      </c>
      <c r="J158" s="20">
        <v>45699</v>
      </c>
      <c r="K158" s="20">
        <v>45742</v>
      </c>
      <c r="L158" s="21">
        <v>321000</v>
      </c>
      <c r="M158" s="22">
        <f t="shared" si="140"/>
        <v>337110</v>
      </c>
      <c r="N158" s="23">
        <v>0</v>
      </c>
      <c r="O158" s="23">
        <v>337110</v>
      </c>
      <c r="P158" s="24">
        <f>L158-N158</f>
        <v>321000</v>
      </c>
      <c r="Q158" s="25">
        <v>337110</v>
      </c>
      <c r="R158" s="26">
        <v>57330</v>
      </c>
      <c r="S158" s="91">
        <f t="shared" si="137"/>
        <v>5.5991627420198853</v>
      </c>
      <c r="T158" s="91">
        <f t="shared" si="138"/>
        <v>5.8801674515960229</v>
      </c>
      <c r="U158" s="27" t="s">
        <v>56</v>
      </c>
      <c r="V158" s="19" t="s">
        <v>51</v>
      </c>
      <c r="W158" s="20">
        <v>45716</v>
      </c>
      <c r="X158" s="22"/>
      <c r="Y158" s="19" t="s">
        <v>52</v>
      </c>
      <c r="Z158" s="19" t="s">
        <v>52</v>
      </c>
      <c r="AA158" s="19" t="s">
        <v>52</v>
      </c>
      <c r="AB158" s="28"/>
    </row>
    <row r="159" spans="1:33" ht="15" customHeight="1" x14ac:dyDescent="0.25">
      <c r="A159" s="33" t="s">
        <v>71</v>
      </c>
      <c r="B159" s="34"/>
      <c r="C159" s="34"/>
      <c r="D159" s="34"/>
      <c r="E159" s="34"/>
      <c r="F159" s="35"/>
      <c r="G159" s="35"/>
      <c r="H159" s="34"/>
      <c r="I159" s="34"/>
      <c r="J159" s="34"/>
      <c r="K159" s="34"/>
      <c r="L159" s="36"/>
      <c r="M159" s="36"/>
      <c r="N159" s="36"/>
      <c r="O159" s="36"/>
      <c r="P159" s="36"/>
      <c r="Q159" s="36">
        <f>SUM(Q153:Q158)</f>
        <v>1939610</v>
      </c>
      <c r="R159" s="36"/>
      <c r="S159" s="92"/>
      <c r="T159" s="93">
        <f>SUM(T153:T158)</f>
        <v>20.087310308738878</v>
      </c>
      <c r="U159" s="37"/>
      <c r="V159" s="38"/>
      <c r="W159" s="38"/>
      <c r="X159" s="38"/>
      <c r="Y159" s="34"/>
      <c r="Z159" s="34"/>
      <c r="AA159" s="39"/>
      <c r="AB159" s="29" t="s">
        <v>534</v>
      </c>
      <c r="AC159" s="81" t="s">
        <v>579</v>
      </c>
      <c r="AD159" s="83">
        <v>4791.67</v>
      </c>
      <c r="AF159" s="83">
        <v>0</v>
      </c>
      <c r="AG159" s="83">
        <f>SUM(AD159,AF159)</f>
        <v>4791.67</v>
      </c>
    </row>
    <row r="160" spans="1:33" s="29" customFormat="1" ht="15" customHeight="1" x14ac:dyDescent="0.25">
      <c r="A160" s="14">
        <v>8</v>
      </c>
      <c r="B160" s="15">
        <v>45735</v>
      </c>
      <c r="C160" s="15">
        <f t="shared" ref="C160" si="143">B160+8</f>
        <v>45743</v>
      </c>
      <c r="D160" s="14">
        <v>12279</v>
      </c>
      <c r="E160" s="16" t="s">
        <v>73</v>
      </c>
      <c r="F160" s="17" t="s">
        <v>74</v>
      </c>
      <c r="G160" s="17" t="s">
        <v>75</v>
      </c>
      <c r="H160" s="18" t="s">
        <v>48</v>
      </c>
      <c r="I160" s="19" t="s">
        <v>49</v>
      </c>
      <c r="J160" s="20">
        <v>45646</v>
      </c>
      <c r="K160" s="20">
        <v>45684</v>
      </c>
      <c r="L160" s="21">
        <v>475000</v>
      </c>
      <c r="M160" s="22">
        <f>SUM(N160:O160)</f>
        <v>237000</v>
      </c>
      <c r="N160" s="23">
        <v>120000</v>
      </c>
      <c r="O160" s="23">
        <v>117000</v>
      </c>
      <c r="P160" s="24">
        <f t="shared" ref="P160" si="144">L160-N160</f>
        <v>355000</v>
      </c>
      <c r="Q160" s="25">
        <v>13000</v>
      </c>
      <c r="R160" s="26">
        <v>36000</v>
      </c>
      <c r="S160" s="91">
        <f t="shared" ref="S160:S173" si="145">IF(P160&gt;0,P160/$R160,0)</f>
        <v>9.8611111111111107</v>
      </c>
      <c r="T160" s="91">
        <f t="shared" ref="T160:T173" si="146">IF(Q160&gt;0,Q160/$R160,0)</f>
        <v>0.3611111111111111</v>
      </c>
      <c r="U160" s="27" t="s">
        <v>192</v>
      </c>
      <c r="V160" s="19" t="s">
        <v>51</v>
      </c>
      <c r="W160" s="20">
        <v>45699</v>
      </c>
      <c r="X160" s="22"/>
      <c r="Y160" s="19" t="s">
        <v>52</v>
      </c>
      <c r="Z160" s="19" t="s">
        <v>52</v>
      </c>
      <c r="AA160" s="19" t="s">
        <v>52</v>
      </c>
      <c r="AB160" s="28"/>
      <c r="AC160" s="90"/>
    </row>
    <row r="161" spans="1:33" s="29" customFormat="1" ht="15" customHeight="1" x14ac:dyDescent="0.25">
      <c r="A161" s="14">
        <v>25</v>
      </c>
      <c r="B161" s="15">
        <v>45735</v>
      </c>
      <c r="C161" s="15">
        <f>B161+8</f>
        <v>45743</v>
      </c>
      <c r="D161" s="14">
        <v>12414</v>
      </c>
      <c r="E161" s="16" t="s">
        <v>206</v>
      </c>
      <c r="F161" s="40" t="s">
        <v>207</v>
      </c>
      <c r="G161" s="17" t="s">
        <v>75</v>
      </c>
      <c r="H161" s="18" t="s">
        <v>522</v>
      </c>
      <c r="I161" s="19" t="s">
        <v>49</v>
      </c>
      <c r="J161" s="20">
        <v>45672</v>
      </c>
      <c r="K161" s="20">
        <v>45709</v>
      </c>
      <c r="L161" s="21">
        <v>500000</v>
      </c>
      <c r="M161" s="22">
        <f>SUM(N161:O161)</f>
        <v>441000</v>
      </c>
      <c r="N161" s="23">
        <v>141000</v>
      </c>
      <c r="O161" s="23">
        <v>300000</v>
      </c>
      <c r="P161" s="24">
        <f>L161-N161</f>
        <v>359000</v>
      </c>
      <c r="Q161" s="25">
        <v>300000</v>
      </c>
      <c r="R161" s="26">
        <v>150000</v>
      </c>
      <c r="S161" s="91">
        <f t="shared" si="145"/>
        <v>2.3933333333333335</v>
      </c>
      <c r="T161" s="91">
        <f t="shared" si="146"/>
        <v>2</v>
      </c>
      <c r="U161" s="27" t="s">
        <v>192</v>
      </c>
      <c r="V161" s="19" t="s">
        <v>51</v>
      </c>
      <c r="W161" s="20">
        <v>45687</v>
      </c>
      <c r="X161" s="22"/>
      <c r="Y161" s="19" t="s">
        <v>52</v>
      </c>
      <c r="Z161" s="19" t="s">
        <v>52</v>
      </c>
      <c r="AA161" s="19" t="s">
        <v>52</v>
      </c>
      <c r="AB161" s="28"/>
      <c r="AC161" s="90"/>
    </row>
    <row r="162" spans="1:33" s="29" customFormat="1" ht="15" customHeight="1" x14ac:dyDescent="0.25">
      <c r="A162" s="14">
        <v>5</v>
      </c>
      <c r="B162" s="15">
        <v>45735</v>
      </c>
      <c r="C162" s="15">
        <f>B162+8</f>
        <v>45743</v>
      </c>
      <c r="D162" s="14">
        <v>12319</v>
      </c>
      <c r="E162" s="84" t="s">
        <v>303</v>
      </c>
      <c r="F162" s="86" t="s">
        <v>304</v>
      </c>
      <c r="G162" s="87" t="s">
        <v>75</v>
      </c>
      <c r="H162" s="88" t="s">
        <v>57</v>
      </c>
      <c r="I162" s="19" t="s">
        <v>64</v>
      </c>
      <c r="J162" s="20">
        <v>45653</v>
      </c>
      <c r="K162" s="20">
        <v>45680</v>
      </c>
      <c r="L162" s="21">
        <v>1000000</v>
      </c>
      <c r="M162" s="22">
        <f>SUM(N162:O162)</f>
        <v>849000</v>
      </c>
      <c r="N162" s="23">
        <v>545000</v>
      </c>
      <c r="O162" s="23">
        <v>304000</v>
      </c>
      <c r="P162" s="24">
        <f>L162-N162</f>
        <v>455000</v>
      </c>
      <c r="Q162" s="25">
        <v>154000</v>
      </c>
      <c r="R162" s="26">
        <v>48000</v>
      </c>
      <c r="S162" s="91">
        <f t="shared" si="145"/>
        <v>9.4791666666666661</v>
      </c>
      <c r="T162" s="91">
        <f t="shared" si="146"/>
        <v>3.2083333333333335</v>
      </c>
      <c r="U162" s="27" t="s">
        <v>192</v>
      </c>
      <c r="V162" s="19" t="s">
        <v>51</v>
      </c>
      <c r="W162" s="20">
        <v>45680</v>
      </c>
      <c r="X162" s="22"/>
      <c r="Y162" s="19" t="s">
        <v>52</v>
      </c>
      <c r="Z162" s="19" t="s">
        <v>52</v>
      </c>
      <c r="AA162" s="19" t="s">
        <v>52</v>
      </c>
      <c r="AB162" s="28"/>
      <c r="AC162" s="90"/>
    </row>
    <row r="163" spans="1:33" s="29" customFormat="1" ht="15" customHeight="1" x14ac:dyDescent="0.25">
      <c r="A163" s="14">
        <v>15</v>
      </c>
      <c r="B163" s="15">
        <v>45735</v>
      </c>
      <c r="C163" s="15">
        <f>B163+8</f>
        <v>45743</v>
      </c>
      <c r="D163" s="14">
        <v>12413</v>
      </c>
      <c r="E163" s="16" t="s">
        <v>456</v>
      </c>
      <c r="F163" s="40" t="s">
        <v>80</v>
      </c>
      <c r="G163" s="17" t="s">
        <v>75</v>
      </c>
      <c r="H163" s="18" t="s">
        <v>57</v>
      </c>
      <c r="I163" s="19" t="s">
        <v>58</v>
      </c>
      <c r="J163" s="20">
        <v>45671</v>
      </c>
      <c r="K163" s="20">
        <v>45671</v>
      </c>
      <c r="L163" s="21">
        <v>300000</v>
      </c>
      <c r="M163" s="22">
        <f>SUM(N163:O163)</f>
        <v>189000</v>
      </c>
      <c r="N163" s="23">
        <v>0</v>
      </c>
      <c r="O163" s="23">
        <v>189000</v>
      </c>
      <c r="P163" s="24">
        <f>L163-N163</f>
        <v>300000</v>
      </c>
      <c r="Q163" s="25">
        <v>189000</v>
      </c>
      <c r="R163" s="26">
        <v>150000</v>
      </c>
      <c r="S163" s="91">
        <f t="shared" si="145"/>
        <v>2</v>
      </c>
      <c r="T163" s="91">
        <f t="shared" si="146"/>
        <v>1.26</v>
      </c>
      <c r="U163" s="27" t="s">
        <v>192</v>
      </c>
      <c r="V163" s="30" t="s">
        <v>59</v>
      </c>
      <c r="W163" s="31">
        <v>45727</v>
      </c>
      <c r="X163" s="22"/>
      <c r="Y163" s="19" t="s">
        <v>52</v>
      </c>
      <c r="Z163" s="19" t="s">
        <v>52</v>
      </c>
      <c r="AA163" s="19" t="s">
        <v>52</v>
      </c>
      <c r="AB163" s="28"/>
      <c r="AC163" s="90"/>
    </row>
    <row r="164" spans="1:33" s="29" customFormat="1" ht="15" customHeight="1" x14ac:dyDescent="0.25">
      <c r="A164" s="14">
        <v>1</v>
      </c>
      <c r="B164" s="15">
        <v>45735</v>
      </c>
      <c r="C164" s="15">
        <f>B164+8</f>
        <v>45743</v>
      </c>
      <c r="D164" s="14">
        <v>12440</v>
      </c>
      <c r="E164" s="16" t="s">
        <v>372</v>
      </c>
      <c r="F164" s="17" t="s">
        <v>461</v>
      </c>
      <c r="G164" s="17" t="s">
        <v>102</v>
      </c>
      <c r="H164" s="18" t="s">
        <v>57</v>
      </c>
      <c r="I164" s="19" t="s">
        <v>58</v>
      </c>
      <c r="J164" s="20">
        <v>45679</v>
      </c>
      <c r="K164" s="20">
        <v>45706</v>
      </c>
      <c r="L164" s="21">
        <v>1000000</v>
      </c>
      <c r="M164" s="22">
        <f>SUM(N164:O164)</f>
        <v>949000</v>
      </c>
      <c r="N164" s="23">
        <v>936000</v>
      </c>
      <c r="O164" s="23">
        <v>13000</v>
      </c>
      <c r="P164" s="24">
        <f>L164-N164</f>
        <v>64000</v>
      </c>
      <c r="Q164" s="25">
        <v>13000</v>
      </c>
      <c r="R164" s="26">
        <v>48000</v>
      </c>
      <c r="S164" s="91">
        <f t="shared" si="145"/>
        <v>1.3333333333333333</v>
      </c>
      <c r="T164" s="91">
        <f t="shared" si="146"/>
        <v>0.27083333333333331</v>
      </c>
      <c r="U164" s="27" t="s">
        <v>192</v>
      </c>
      <c r="V164" s="19" t="s">
        <v>51</v>
      </c>
      <c r="W164" s="20">
        <v>45696</v>
      </c>
      <c r="X164" s="22"/>
      <c r="Y164" s="19" t="s">
        <v>52</v>
      </c>
      <c r="Z164" s="19" t="s">
        <v>52</v>
      </c>
      <c r="AA164" s="19" t="s">
        <v>52</v>
      </c>
      <c r="AB164" s="28"/>
    </row>
    <row r="165" spans="1:33" s="29" customFormat="1" ht="15" customHeight="1" x14ac:dyDescent="0.25">
      <c r="A165" s="14">
        <v>4</v>
      </c>
      <c r="B165" s="15">
        <v>45735</v>
      </c>
      <c r="C165" s="15">
        <f t="shared" ref="C165" si="147">B165+8</f>
        <v>45743</v>
      </c>
      <c r="D165" s="14">
        <v>12221</v>
      </c>
      <c r="E165" s="16" t="s">
        <v>87</v>
      </c>
      <c r="F165" s="40" t="s">
        <v>88</v>
      </c>
      <c r="G165" s="17" t="s">
        <v>75</v>
      </c>
      <c r="H165" s="18" t="s">
        <v>522</v>
      </c>
      <c r="I165" s="19" t="s">
        <v>49</v>
      </c>
      <c r="J165" s="20">
        <v>45637</v>
      </c>
      <c r="K165" s="20">
        <v>45679</v>
      </c>
      <c r="L165" s="21">
        <v>1300000</v>
      </c>
      <c r="M165" s="22">
        <f t="shared" ref="M165:M173" si="148">SUM(N165:O165)</f>
        <v>1254000</v>
      </c>
      <c r="N165" s="23">
        <v>795000</v>
      </c>
      <c r="O165" s="23">
        <v>459000</v>
      </c>
      <c r="P165" s="24">
        <f t="shared" ref="P165" si="149">L165-N165</f>
        <v>505000</v>
      </c>
      <c r="Q165" s="25">
        <v>459000</v>
      </c>
      <c r="R165" s="26">
        <v>150000</v>
      </c>
      <c r="S165" s="91">
        <f t="shared" si="145"/>
        <v>3.3666666666666667</v>
      </c>
      <c r="T165" s="91">
        <f t="shared" si="146"/>
        <v>3.06</v>
      </c>
      <c r="U165" s="27" t="s">
        <v>193</v>
      </c>
      <c r="V165" s="19" t="s">
        <v>51</v>
      </c>
      <c r="W165" s="20">
        <v>45674</v>
      </c>
      <c r="X165" s="22"/>
      <c r="Y165" s="19" t="s">
        <v>52</v>
      </c>
      <c r="Z165" s="19" t="s">
        <v>52</v>
      </c>
      <c r="AA165" s="19" t="s">
        <v>52</v>
      </c>
      <c r="AB165" s="28"/>
      <c r="AC165" s="90"/>
    </row>
    <row r="166" spans="1:33" s="29" customFormat="1" ht="15" customHeight="1" x14ac:dyDescent="0.25">
      <c r="A166" s="14">
        <v>8</v>
      </c>
      <c r="B166" s="15">
        <v>45735</v>
      </c>
      <c r="C166" s="15">
        <f t="shared" ref="C166:C172" si="150">B166+8</f>
        <v>45743</v>
      </c>
      <c r="D166" s="14">
        <v>12279</v>
      </c>
      <c r="E166" s="16" t="s">
        <v>73</v>
      </c>
      <c r="F166" s="17" t="s">
        <v>74</v>
      </c>
      <c r="G166" s="17" t="s">
        <v>75</v>
      </c>
      <c r="H166" s="18" t="s">
        <v>48</v>
      </c>
      <c r="I166" s="19" t="s">
        <v>49</v>
      </c>
      <c r="J166" s="20">
        <v>45646</v>
      </c>
      <c r="K166" s="20">
        <v>45684</v>
      </c>
      <c r="L166" s="21">
        <v>475000</v>
      </c>
      <c r="M166" s="22">
        <f t="shared" ref="M166:M172" si="151">SUM(N166:O166)</f>
        <v>237000</v>
      </c>
      <c r="N166" s="23">
        <v>120000</v>
      </c>
      <c r="O166" s="23">
        <v>117000</v>
      </c>
      <c r="P166" s="24">
        <f t="shared" ref="P166:P172" si="152">L166-N166</f>
        <v>355000</v>
      </c>
      <c r="Q166" s="25">
        <v>100000</v>
      </c>
      <c r="R166" s="26">
        <v>36000</v>
      </c>
      <c r="S166" s="91">
        <f t="shared" si="145"/>
        <v>9.8611111111111107</v>
      </c>
      <c r="T166" s="91">
        <f t="shared" si="146"/>
        <v>2.7777777777777777</v>
      </c>
      <c r="U166" s="27" t="s">
        <v>193</v>
      </c>
      <c r="V166" s="19" t="s">
        <v>51</v>
      </c>
      <c r="W166" s="20">
        <v>45699</v>
      </c>
      <c r="X166" s="22"/>
      <c r="Y166" s="19" t="s">
        <v>52</v>
      </c>
      <c r="Z166" s="19" t="s">
        <v>52</v>
      </c>
      <c r="AA166" s="19" t="s">
        <v>52</v>
      </c>
      <c r="AB166" s="28"/>
      <c r="AC166" s="90"/>
    </row>
    <row r="167" spans="1:33" s="29" customFormat="1" ht="15" customHeight="1" x14ac:dyDescent="0.25">
      <c r="A167" s="14">
        <v>27</v>
      </c>
      <c r="B167" s="15">
        <v>45735</v>
      </c>
      <c r="C167" s="15">
        <f t="shared" si="150"/>
        <v>45743</v>
      </c>
      <c r="D167" s="14">
        <v>12433</v>
      </c>
      <c r="E167" s="16" t="s">
        <v>410</v>
      </c>
      <c r="F167" s="40" t="s">
        <v>411</v>
      </c>
      <c r="G167" s="17" t="s">
        <v>75</v>
      </c>
      <c r="H167" s="18" t="s">
        <v>257</v>
      </c>
      <c r="I167" s="19" t="s">
        <v>104</v>
      </c>
      <c r="J167" s="20">
        <v>45674</v>
      </c>
      <c r="K167" s="20">
        <v>45716</v>
      </c>
      <c r="L167" s="21">
        <v>500000</v>
      </c>
      <c r="M167" s="22">
        <f t="shared" si="151"/>
        <v>270000</v>
      </c>
      <c r="N167" s="23">
        <v>0</v>
      </c>
      <c r="O167" s="23">
        <v>270000</v>
      </c>
      <c r="P167" s="24">
        <f t="shared" si="152"/>
        <v>500000</v>
      </c>
      <c r="Q167" s="25">
        <v>270000</v>
      </c>
      <c r="R167" s="26">
        <v>150000</v>
      </c>
      <c r="S167" s="91">
        <f t="shared" si="145"/>
        <v>3.3333333333333335</v>
      </c>
      <c r="T167" s="91">
        <f t="shared" si="146"/>
        <v>1.8</v>
      </c>
      <c r="U167" s="27" t="s">
        <v>193</v>
      </c>
      <c r="V167" s="19" t="s">
        <v>51</v>
      </c>
      <c r="W167" s="20">
        <v>45694</v>
      </c>
      <c r="X167" s="22"/>
      <c r="Y167" s="19" t="s">
        <v>52</v>
      </c>
      <c r="Z167" s="19" t="s">
        <v>52</v>
      </c>
      <c r="AA167" s="19" t="s">
        <v>52</v>
      </c>
      <c r="AB167" s="28"/>
      <c r="AC167" s="90"/>
    </row>
    <row r="168" spans="1:33" s="29" customFormat="1" ht="15" customHeight="1" x14ac:dyDescent="0.25">
      <c r="A168" s="14">
        <v>4</v>
      </c>
      <c r="B168" s="15">
        <v>45735</v>
      </c>
      <c r="C168" s="15">
        <f t="shared" si="150"/>
        <v>45743</v>
      </c>
      <c r="D168" s="14">
        <v>12411</v>
      </c>
      <c r="E168" s="16" t="s">
        <v>107</v>
      </c>
      <c r="F168" s="17" t="s">
        <v>108</v>
      </c>
      <c r="G168" s="17" t="s">
        <v>102</v>
      </c>
      <c r="H168" s="18" t="s">
        <v>48</v>
      </c>
      <c r="I168" s="19" t="s">
        <v>104</v>
      </c>
      <c r="J168" s="20">
        <v>45671</v>
      </c>
      <c r="K168" s="20">
        <v>45698</v>
      </c>
      <c r="L168" s="21">
        <v>63000</v>
      </c>
      <c r="M168" s="22">
        <f t="shared" si="151"/>
        <v>54000</v>
      </c>
      <c r="N168" s="23">
        <v>0</v>
      </c>
      <c r="O168" s="23">
        <v>54000</v>
      </c>
      <c r="P168" s="24">
        <f t="shared" si="152"/>
        <v>63000</v>
      </c>
      <c r="Q168" s="25">
        <v>54000</v>
      </c>
      <c r="R168" s="26">
        <v>63000</v>
      </c>
      <c r="S168" s="91">
        <f t="shared" si="145"/>
        <v>1</v>
      </c>
      <c r="T168" s="91">
        <f t="shared" si="146"/>
        <v>0.8571428571428571</v>
      </c>
      <c r="U168" s="27" t="s">
        <v>193</v>
      </c>
      <c r="V168" s="19" t="s">
        <v>51</v>
      </c>
      <c r="W168" s="20">
        <v>45685</v>
      </c>
      <c r="X168" s="22"/>
      <c r="Y168" s="19" t="s">
        <v>52</v>
      </c>
      <c r="Z168" s="19" t="s">
        <v>52</v>
      </c>
      <c r="AA168" s="19" t="s">
        <v>52</v>
      </c>
      <c r="AB168" s="28"/>
    </row>
    <row r="169" spans="1:33" s="29" customFormat="1" ht="15" customHeight="1" x14ac:dyDescent="0.25">
      <c r="A169" s="14">
        <v>26</v>
      </c>
      <c r="B169" s="15">
        <v>45735</v>
      </c>
      <c r="C169" s="15">
        <f t="shared" si="150"/>
        <v>45743</v>
      </c>
      <c r="D169" s="14">
        <v>12467</v>
      </c>
      <c r="E169" s="16" t="s">
        <v>464</v>
      </c>
      <c r="F169" s="40" t="s">
        <v>465</v>
      </c>
      <c r="G169" s="17" t="s">
        <v>75</v>
      </c>
      <c r="H169" s="18" t="s">
        <v>113</v>
      </c>
      <c r="I169" s="19" t="s">
        <v>94</v>
      </c>
      <c r="J169" s="20">
        <v>45684</v>
      </c>
      <c r="K169" s="20">
        <v>45713</v>
      </c>
      <c r="L169" s="21">
        <v>1050000</v>
      </c>
      <c r="M169" s="22">
        <f t="shared" si="151"/>
        <v>543000</v>
      </c>
      <c r="N169" s="23">
        <v>300000</v>
      </c>
      <c r="O169" s="23">
        <v>243000</v>
      </c>
      <c r="P169" s="24">
        <f t="shared" si="152"/>
        <v>750000</v>
      </c>
      <c r="Q169" s="25">
        <v>243000</v>
      </c>
      <c r="R169" s="26">
        <v>150000</v>
      </c>
      <c r="S169" s="91">
        <f t="shared" si="145"/>
        <v>5</v>
      </c>
      <c r="T169" s="91">
        <f t="shared" si="146"/>
        <v>1.62</v>
      </c>
      <c r="U169" s="27" t="s">
        <v>193</v>
      </c>
      <c r="V169" s="19" t="s">
        <v>51</v>
      </c>
      <c r="W169" s="20">
        <v>45716</v>
      </c>
      <c r="X169" s="22"/>
      <c r="Y169" s="19" t="s">
        <v>52</v>
      </c>
      <c r="Z169" s="19" t="s">
        <v>52</v>
      </c>
      <c r="AA169" s="19" t="s">
        <v>52</v>
      </c>
      <c r="AB169" s="28"/>
      <c r="AC169" s="90"/>
    </row>
    <row r="170" spans="1:33" s="29" customFormat="1" ht="15" customHeight="1" x14ac:dyDescent="0.25">
      <c r="A170" s="14">
        <v>34</v>
      </c>
      <c r="B170" s="15">
        <v>45735</v>
      </c>
      <c r="C170" s="15">
        <f t="shared" si="150"/>
        <v>45743</v>
      </c>
      <c r="D170" s="14">
        <v>12549</v>
      </c>
      <c r="E170" s="16" t="s">
        <v>89</v>
      </c>
      <c r="F170" s="40" t="s">
        <v>90</v>
      </c>
      <c r="G170" s="17" t="s">
        <v>75</v>
      </c>
      <c r="H170" s="18" t="s">
        <v>257</v>
      </c>
      <c r="I170" s="19" t="s">
        <v>70</v>
      </c>
      <c r="J170" s="20">
        <v>45694</v>
      </c>
      <c r="K170" s="20">
        <v>45736</v>
      </c>
      <c r="L170" s="21">
        <v>2000000</v>
      </c>
      <c r="M170" s="22">
        <f t="shared" si="151"/>
        <v>150000</v>
      </c>
      <c r="N170" s="23">
        <v>0</v>
      </c>
      <c r="O170" s="23">
        <v>150000</v>
      </c>
      <c r="P170" s="24">
        <f t="shared" si="152"/>
        <v>2000000</v>
      </c>
      <c r="Q170" s="25">
        <v>150000</v>
      </c>
      <c r="R170" s="26">
        <v>150000</v>
      </c>
      <c r="S170" s="91">
        <f t="shared" si="145"/>
        <v>13.333333333333334</v>
      </c>
      <c r="T170" s="91">
        <f t="shared" si="146"/>
        <v>1</v>
      </c>
      <c r="U170" s="27" t="s">
        <v>193</v>
      </c>
      <c r="V170" s="30" t="s">
        <v>59</v>
      </c>
      <c r="W170" s="31">
        <v>45728</v>
      </c>
      <c r="X170" s="22"/>
      <c r="Y170" s="19" t="s">
        <v>52</v>
      </c>
      <c r="Z170" s="19" t="s">
        <v>52</v>
      </c>
      <c r="AA170" s="19" t="s">
        <v>52</v>
      </c>
      <c r="AB170" s="28"/>
      <c r="AC170" s="90"/>
    </row>
    <row r="171" spans="1:33" s="29" customFormat="1" ht="15" customHeight="1" x14ac:dyDescent="0.25">
      <c r="A171" s="14">
        <v>33</v>
      </c>
      <c r="B171" s="15">
        <v>45735</v>
      </c>
      <c r="C171" s="15">
        <f t="shared" si="150"/>
        <v>45743</v>
      </c>
      <c r="D171" s="14">
        <v>12545</v>
      </c>
      <c r="E171" s="16" t="s">
        <v>385</v>
      </c>
      <c r="F171" s="40" t="s">
        <v>386</v>
      </c>
      <c r="G171" s="17" t="s">
        <v>75</v>
      </c>
      <c r="H171" s="18" t="s">
        <v>257</v>
      </c>
      <c r="I171" s="19" t="s">
        <v>70</v>
      </c>
      <c r="J171" s="20">
        <v>45694</v>
      </c>
      <c r="K171" s="20">
        <v>45736</v>
      </c>
      <c r="L171" s="21">
        <v>2000000</v>
      </c>
      <c r="M171" s="22">
        <f t="shared" si="151"/>
        <v>300000</v>
      </c>
      <c r="N171" s="23">
        <v>0</v>
      </c>
      <c r="O171" s="23">
        <v>300000</v>
      </c>
      <c r="P171" s="24">
        <f t="shared" si="152"/>
        <v>2000000</v>
      </c>
      <c r="Q171" s="25">
        <v>300000</v>
      </c>
      <c r="R171" s="26">
        <v>150000</v>
      </c>
      <c r="S171" s="91">
        <f t="shared" si="145"/>
        <v>13.333333333333334</v>
      </c>
      <c r="T171" s="91">
        <f t="shared" si="146"/>
        <v>2</v>
      </c>
      <c r="U171" s="27" t="s">
        <v>193</v>
      </c>
      <c r="V171" s="30" t="s">
        <v>59</v>
      </c>
      <c r="W171" s="31">
        <v>45728</v>
      </c>
      <c r="X171" s="22"/>
      <c r="Y171" s="19" t="s">
        <v>52</v>
      </c>
      <c r="Z171" s="19" t="s">
        <v>52</v>
      </c>
      <c r="AA171" s="19" t="s">
        <v>52</v>
      </c>
      <c r="AB171" s="28"/>
      <c r="AC171" s="90"/>
    </row>
    <row r="172" spans="1:33" s="29" customFormat="1" ht="15" customHeight="1" x14ac:dyDescent="0.25">
      <c r="A172" s="14">
        <v>36</v>
      </c>
      <c r="B172" s="15">
        <v>45735</v>
      </c>
      <c r="C172" s="15">
        <f t="shared" si="150"/>
        <v>45743</v>
      </c>
      <c r="D172" s="14">
        <v>12570</v>
      </c>
      <c r="E172" s="16" t="s">
        <v>303</v>
      </c>
      <c r="F172" s="40" t="s">
        <v>304</v>
      </c>
      <c r="G172" s="17" t="s">
        <v>75</v>
      </c>
      <c r="H172" s="18" t="s">
        <v>57</v>
      </c>
      <c r="I172" s="19" t="s">
        <v>64</v>
      </c>
      <c r="J172" s="20">
        <v>45700</v>
      </c>
      <c r="K172" s="20">
        <v>45741</v>
      </c>
      <c r="L172" s="21">
        <v>1000000</v>
      </c>
      <c r="M172" s="22">
        <f t="shared" si="151"/>
        <v>50000</v>
      </c>
      <c r="N172" s="23">
        <v>0</v>
      </c>
      <c r="O172" s="23">
        <v>50000</v>
      </c>
      <c r="P172" s="24">
        <f t="shared" si="152"/>
        <v>1000000</v>
      </c>
      <c r="Q172" s="25">
        <v>50000</v>
      </c>
      <c r="R172" s="26">
        <v>48000</v>
      </c>
      <c r="S172" s="91">
        <f t="shared" si="145"/>
        <v>20.833333333333332</v>
      </c>
      <c r="T172" s="91">
        <f t="shared" si="146"/>
        <v>1.0416666666666667</v>
      </c>
      <c r="U172" s="27" t="s">
        <v>193</v>
      </c>
      <c r="V172" s="30" t="s">
        <v>59</v>
      </c>
      <c r="W172" s="31">
        <v>45728</v>
      </c>
      <c r="X172" s="22"/>
      <c r="Y172" s="19" t="s">
        <v>52</v>
      </c>
      <c r="Z172" s="19" t="s">
        <v>52</v>
      </c>
      <c r="AA172" s="19" t="s">
        <v>52</v>
      </c>
      <c r="AB172" s="28"/>
      <c r="AC172" s="90"/>
    </row>
    <row r="173" spans="1:33" s="29" customFormat="1" ht="15" customHeight="1" x14ac:dyDescent="0.25">
      <c r="A173" s="14">
        <v>5</v>
      </c>
      <c r="B173" s="15">
        <v>45735</v>
      </c>
      <c r="C173" s="15">
        <f t="shared" ref="C173" si="153">B173+8</f>
        <v>45743</v>
      </c>
      <c r="D173" s="14">
        <v>12319</v>
      </c>
      <c r="E173" s="84" t="s">
        <v>303</v>
      </c>
      <c r="F173" s="86" t="s">
        <v>304</v>
      </c>
      <c r="G173" s="87" t="s">
        <v>75</v>
      </c>
      <c r="H173" s="88" t="s">
        <v>57</v>
      </c>
      <c r="I173" s="19" t="s">
        <v>64</v>
      </c>
      <c r="J173" s="20">
        <v>45653</v>
      </c>
      <c r="K173" s="20">
        <v>45680</v>
      </c>
      <c r="L173" s="21">
        <v>1000000</v>
      </c>
      <c r="M173" s="22">
        <f t="shared" si="148"/>
        <v>849000</v>
      </c>
      <c r="N173" s="23">
        <v>545000</v>
      </c>
      <c r="O173" s="23">
        <v>304000</v>
      </c>
      <c r="P173" s="24">
        <f t="shared" ref="P173" si="154">L173-N173</f>
        <v>455000</v>
      </c>
      <c r="Q173" s="25">
        <v>154000</v>
      </c>
      <c r="R173" s="26">
        <v>48000</v>
      </c>
      <c r="S173" s="91">
        <f t="shared" si="145"/>
        <v>9.4791666666666661</v>
      </c>
      <c r="T173" s="91">
        <f t="shared" si="146"/>
        <v>3.2083333333333335</v>
      </c>
      <c r="U173" s="27" t="s">
        <v>193</v>
      </c>
      <c r="V173" s="19" t="s">
        <v>51</v>
      </c>
      <c r="W173" s="20">
        <v>45680</v>
      </c>
      <c r="X173" s="22"/>
      <c r="Y173" s="19" t="s">
        <v>52</v>
      </c>
      <c r="Z173" s="19" t="s">
        <v>52</v>
      </c>
      <c r="AA173" s="19" t="s">
        <v>52</v>
      </c>
      <c r="AB173" s="28"/>
      <c r="AC173" s="90"/>
    </row>
    <row r="174" spans="1:33" ht="15" customHeight="1" x14ac:dyDescent="0.25">
      <c r="A174" s="33" t="s">
        <v>71</v>
      </c>
      <c r="B174" s="34"/>
      <c r="C174" s="34"/>
      <c r="D174" s="34"/>
      <c r="E174" s="34"/>
      <c r="F174" s="35"/>
      <c r="G174" s="35"/>
      <c r="H174" s="34"/>
      <c r="I174" s="34"/>
      <c r="J174" s="34"/>
      <c r="K174" s="34"/>
      <c r="L174" s="36"/>
      <c r="M174" s="36"/>
      <c r="N174" s="36"/>
      <c r="O174" s="36"/>
      <c r="P174" s="36"/>
      <c r="Q174" s="36">
        <f>SUM(Q160:Q173)</f>
        <v>2449000</v>
      </c>
      <c r="R174" s="36"/>
      <c r="S174" s="92"/>
      <c r="T174" s="93">
        <f>SUM(T160:T173)</f>
        <v>24.465198412698413</v>
      </c>
      <c r="U174" s="37"/>
      <c r="V174" s="38"/>
      <c r="W174" s="38"/>
      <c r="X174" s="38"/>
      <c r="Y174" s="34"/>
      <c r="Z174" s="34"/>
      <c r="AA174" s="39"/>
      <c r="AB174" s="29" t="s">
        <v>535</v>
      </c>
      <c r="AC174" s="81" t="s">
        <v>575</v>
      </c>
      <c r="AD174" s="83">
        <v>5000</v>
      </c>
      <c r="AF174" s="83">
        <v>0</v>
      </c>
      <c r="AG174" s="83">
        <f>SUM(AD174,AF174)</f>
        <v>5000</v>
      </c>
    </row>
    <row r="175" spans="1:33" s="29" customFormat="1" ht="15" customHeight="1" x14ac:dyDescent="0.25">
      <c r="A175" s="14">
        <v>7</v>
      </c>
      <c r="B175" s="15">
        <v>45737</v>
      </c>
      <c r="C175" s="15">
        <f>B175+7</f>
        <v>45744</v>
      </c>
      <c r="D175" s="14">
        <v>12639</v>
      </c>
      <c r="E175" s="16" t="s">
        <v>409</v>
      </c>
      <c r="F175" s="17" t="s">
        <v>493</v>
      </c>
      <c r="G175" s="17" t="s">
        <v>102</v>
      </c>
      <c r="H175" s="18" t="s">
        <v>57</v>
      </c>
      <c r="I175" s="19" t="s">
        <v>58</v>
      </c>
      <c r="J175" s="20">
        <v>45714</v>
      </c>
      <c r="K175" s="20" t="s">
        <v>65</v>
      </c>
      <c r="L175" s="21">
        <v>500000</v>
      </c>
      <c r="M175" s="22">
        <f>SUM(N175:O175)</f>
        <v>50000</v>
      </c>
      <c r="N175" s="23">
        <v>0</v>
      </c>
      <c r="O175" s="23">
        <v>50000</v>
      </c>
      <c r="P175" s="24">
        <f>L175-N175</f>
        <v>500000</v>
      </c>
      <c r="Q175" s="25">
        <v>50000</v>
      </c>
      <c r="R175" s="26">
        <v>50000</v>
      </c>
      <c r="S175" s="91">
        <f t="shared" ref="S175:S183" si="155">IF(P175&gt;0,P175/$R175,0)</f>
        <v>10</v>
      </c>
      <c r="T175" s="91">
        <f t="shared" ref="T175:T183" si="156">IF(Q175&gt;0,Q175/$R175,0)</f>
        <v>1</v>
      </c>
      <c r="U175" s="27" t="s">
        <v>192</v>
      </c>
      <c r="V175" s="30" t="s">
        <v>59</v>
      </c>
      <c r="W175" s="31">
        <v>45739</v>
      </c>
      <c r="X175" s="22"/>
      <c r="Y175" s="19" t="s">
        <v>52</v>
      </c>
      <c r="Z175" s="19" t="s">
        <v>52</v>
      </c>
      <c r="AA175" s="19" t="s">
        <v>52</v>
      </c>
      <c r="AB175" s="28"/>
    </row>
    <row r="176" spans="1:33" s="29" customFormat="1" ht="15" customHeight="1" x14ac:dyDescent="0.25">
      <c r="A176" s="14">
        <v>29</v>
      </c>
      <c r="B176" s="15">
        <v>45737</v>
      </c>
      <c r="C176" s="15">
        <f>B176+7</f>
        <v>45744</v>
      </c>
      <c r="D176" s="14">
        <v>12672</v>
      </c>
      <c r="E176" s="16" t="s">
        <v>295</v>
      </c>
      <c r="F176" s="40" t="s">
        <v>296</v>
      </c>
      <c r="G176" s="17" t="s">
        <v>75</v>
      </c>
      <c r="H176" s="18" t="s">
        <v>257</v>
      </c>
      <c r="I176" s="19" t="s">
        <v>49</v>
      </c>
      <c r="J176" s="20">
        <v>45723</v>
      </c>
      <c r="K176" s="20">
        <v>45747</v>
      </c>
      <c r="L176" s="21">
        <v>2000000</v>
      </c>
      <c r="M176" s="22">
        <f>SUM(N176:O176)</f>
        <v>150000</v>
      </c>
      <c r="N176" s="23">
        <v>0</v>
      </c>
      <c r="O176" s="23">
        <v>150000</v>
      </c>
      <c r="P176" s="24">
        <f>L176-N176</f>
        <v>2000000</v>
      </c>
      <c r="Q176" s="25">
        <v>150000</v>
      </c>
      <c r="R176" s="26">
        <v>150000</v>
      </c>
      <c r="S176" s="91">
        <f t="shared" si="155"/>
        <v>13.333333333333334</v>
      </c>
      <c r="T176" s="91">
        <f t="shared" si="156"/>
        <v>1</v>
      </c>
      <c r="U176" s="27" t="s">
        <v>192</v>
      </c>
      <c r="V176" s="19" t="s">
        <v>51</v>
      </c>
      <c r="W176" s="20">
        <v>45730</v>
      </c>
      <c r="X176" s="22"/>
      <c r="Y176" s="19" t="s">
        <v>52</v>
      </c>
      <c r="Z176" s="19" t="s">
        <v>52</v>
      </c>
      <c r="AA176" s="19" t="s">
        <v>52</v>
      </c>
      <c r="AB176" s="28"/>
      <c r="AC176" s="90"/>
    </row>
    <row r="177" spans="1:33" s="29" customFormat="1" ht="15" customHeight="1" x14ac:dyDescent="0.25">
      <c r="A177" s="14">
        <v>2</v>
      </c>
      <c r="B177" s="15">
        <v>45737</v>
      </c>
      <c r="C177" s="15">
        <f>B177+8</f>
        <v>45745</v>
      </c>
      <c r="D177" s="14">
        <v>12408</v>
      </c>
      <c r="E177" s="16" t="s">
        <v>451</v>
      </c>
      <c r="F177" s="17" t="s">
        <v>326</v>
      </c>
      <c r="G177" s="17" t="s">
        <v>132</v>
      </c>
      <c r="H177" s="18" t="s">
        <v>54</v>
      </c>
      <c r="I177" s="19" t="s">
        <v>198</v>
      </c>
      <c r="J177" s="20">
        <v>45671</v>
      </c>
      <c r="K177" s="20">
        <v>45700</v>
      </c>
      <c r="L177" s="21">
        <v>175000</v>
      </c>
      <c r="M177" s="22">
        <f>SUM(N177:O177)</f>
        <v>324000</v>
      </c>
      <c r="N177" s="23">
        <v>0</v>
      </c>
      <c r="O177" s="23">
        <v>324000</v>
      </c>
      <c r="P177" s="24">
        <f>L177-N177</f>
        <v>175000</v>
      </c>
      <c r="Q177" s="25">
        <v>216000</v>
      </c>
      <c r="R177" s="26">
        <v>324000</v>
      </c>
      <c r="S177" s="91">
        <f t="shared" si="155"/>
        <v>0.54012345679012341</v>
      </c>
      <c r="T177" s="91">
        <f t="shared" si="156"/>
        <v>0.66666666666666663</v>
      </c>
      <c r="U177" s="27" t="s">
        <v>56</v>
      </c>
      <c r="V177" s="30" t="s">
        <v>59</v>
      </c>
      <c r="W177" s="31">
        <v>45738</v>
      </c>
      <c r="X177" s="22"/>
      <c r="Y177" s="19" t="s">
        <v>52</v>
      </c>
      <c r="Z177" s="19" t="s">
        <v>52</v>
      </c>
      <c r="AA177" s="19" t="s">
        <v>52</v>
      </c>
      <c r="AB177" s="28"/>
    </row>
    <row r="178" spans="1:33" s="29" customFormat="1" ht="15" customHeight="1" x14ac:dyDescent="0.25">
      <c r="A178" s="14">
        <v>5</v>
      </c>
      <c r="B178" s="15">
        <v>45737</v>
      </c>
      <c r="C178" s="15">
        <f>B178+8</f>
        <v>45745</v>
      </c>
      <c r="D178" s="14">
        <v>12629</v>
      </c>
      <c r="E178" s="16" t="s">
        <v>53</v>
      </c>
      <c r="F178" s="17" t="s">
        <v>402</v>
      </c>
      <c r="G178" s="17" t="s">
        <v>47</v>
      </c>
      <c r="H178" s="18" t="s">
        <v>54</v>
      </c>
      <c r="I178" s="19" t="s">
        <v>55</v>
      </c>
      <c r="J178" s="20">
        <v>45713</v>
      </c>
      <c r="K178" s="20">
        <v>45748</v>
      </c>
      <c r="L178" s="21">
        <v>300000</v>
      </c>
      <c r="M178" s="22">
        <f t="shared" ref="M178" si="157">SUM(N178:O178)</f>
        <v>200000</v>
      </c>
      <c r="N178" s="23">
        <v>0</v>
      </c>
      <c r="O178" s="23">
        <v>200000</v>
      </c>
      <c r="P178" s="24">
        <f t="shared" ref="P178" si="158">L178-N178</f>
        <v>300000</v>
      </c>
      <c r="Q178" s="25">
        <v>200000</v>
      </c>
      <c r="R178" s="26">
        <v>100000</v>
      </c>
      <c r="S178" s="91">
        <f t="shared" si="155"/>
        <v>3</v>
      </c>
      <c r="T178" s="91">
        <f t="shared" si="156"/>
        <v>2</v>
      </c>
      <c r="U178" s="27" t="s">
        <v>56</v>
      </c>
      <c r="V178" s="19" t="s">
        <v>51</v>
      </c>
      <c r="W178" s="20">
        <v>45726</v>
      </c>
      <c r="X178" s="22"/>
      <c r="Y178" s="19" t="s">
        <v>52</v>
      </c>
      <c r="Z178" s="19" t="s">
        <v>52</v>
      </c>
      <c r="AA178" s="19" t="s">
        <v>52</v>
      </c>
      <c r="AB178" s="28"/>
    </row>
    <row r="179" spans="1:33" s="29" customFormat="1" ht="15" customHeight="1" x14ac:dyDescent="0.25">
      <c r="A179" s="14">
        <v>7</v>
      </c>
      <c r="B179" s="15">
        <v>45737</v>
      </c>
      <c r="C179" s="15">
        <f t="shared" ref="C179:C183" si="159">B179+10</f>
        <v>45747</v>
      </c>
      <c r="D179" s="14">
        <v>11785</v>
      </c>
      <c r="E179" s="16" t="s">
        <v>212</v>
      </c>
      <c r="F179" s="40" t="s">
        <v>377</v>
      </c>
      <c r="G179" s="17" t="s">
        <v>75</v>
      </c>
      <c r="H179" s="18" t="s">
        <v>257</v>
      </c>
      <c r="I179" s="19" t="s">
        <v>104</v>
      </c>
      <c r="J179" s="20">
        <v>45575</v>
      </c>
      <c r="K179" s="20">
        <v>45600</v>
      </c>
      <c r="L179" s="21">
        <v>450000</v>
      </c>
      <c r="M179" s="22">
        <f>SUM(N179:O179)</f>
        <v>459000</v>
      </c>
      <c r="N179" s="23">
        <v>333000</v>
      </c>
      <c r="O179" s="23">
        <v>126000</v>
      </c>
      <c r="P179" s="24">
        <f>L179-N179</f>
        <v>117000</v>
      </c>
      <c r="Q179" s="25">
        <v>126000</v>
      </c>
      <c r="R179" s="26">
        <v>150000</v>
      </c>
      <c r="S179" s="91">
        <f t="shared" si="155"/>
        <v>0.78</v>
      </c>
      <c r="T179" s="91">
        <f t="shared" si="156"/>
        <v>0.84</v>
      </c>
      <c r="U179" s="27" t="s">
        <v>193</v>
      </c>
      <c r="V179" s="19" t="s">
        <v>51</v>
      </c>
      <c r="W179" s="20">
        <v>45569</v>
      </c>
      <c r="X179" s="22"/>
      <c r="Y179" s="19" t="s">
        <v>52</v>
      </c>
      <c r="Z179" s="19" t="s">
        <v>52</v>
      </c>
      <c r="AA179" s="19" t="s">
        <v>52</v>
      </c>
      <c r="AB179" s="28"/>
      <c r="AC179" s="90"/>
    </row>
    <row r="180" spans="1:33" s="29" customFormat="1" ht="15" customHeight="1" x14ac:dyDescent="0.25">
      <c r="A180" s="14">
        <v>2</v>
      </c>
      <c r="B180" s="15">
        <v>45737</v>
      </c>
      <c r="C180" s="15">
        <f t="shared" si="159"/>
        <v>45747</v>
      </c>
      <c r="D180" s="14">
        <v>12256</v>
      </c>
      <c r="E180" s="16" t="s">
        <v>194</v>
      </c>
      <c r="F180" s="17" t="s">
        <v>195</v>
      </c>
      <c r="G180" s="17" t="s">
        <v>102</v>
      </c>
      <c r="H180" s="18" t="s">
        <v>257</v>
      </c>
      <c r="I180" s="19" t="s">
        <v>104</v>
      </c>
      <c r="J180" s="20">
        <v>45642</v>
      </c>
      <c r="K180" s="20">
        <v>45670</v>
      </c>
      <c r="L180" s="21">
        <v>300000</v>
      </c>
      <c r="M180" s="22">
        <f>SUM(N180:O180)</f>
        <v>290000</v>
      </c>
      <c r="N180" s="23">
        <v>204000</v>
      </c>
      <c r="O180" s="23">
        <v>86000</v>
      </c>
      <c r="P180" s="24">
        <f>L180-N180</f>
        <v>96000</v>
      </c>
      <c r="Q180" s="25">
        <v>86000</v>
      </c>
      <c r="R180" s="26">
        <v>96000</v>
      </c>
      <c r="S180" s="91">
        <f t="shared" si="155"/>
        <v>1</v>
      </c>
      <c r="T180" s="91">
        <f t="shared" si="156"/>
        <v>0.89583333333333337</v>
      </c>
      <c r="U180" s="27" t="s">
        <v>193</v>
      </c>
      <c r="V180" s="19" t="s">
        <v>51</v>
      </c>
      <c r="W180" s="20">
        <v>45667</v>
      </c>
      <c r="X180" s="22"/>
      <c r="Y180" s="19" t="s">
        <v>52</v>
      </c>
      <c r="Z180" s="19" t="s">
        <v>52</v>
      </c>
      <c r="AA180" s="19" t="s">
        <v>52</v>
      </c>
      <c r="AB180" s="28"/>
    </row>
    <row r="181" spans="1:33" s="29" customFormat="1" ht="15" customHeight="1" x14ac:dyDescent="0.25">
      <c r="A181" s="14">
        <v>3</v>
      </c>
      <c r="B181" s="15">
        <v>45737</v>
      </c>
      <c r="C181" s="15">
        <f t="shared" si="159"/>
        <v>45747</v>
      </c>
      <c r="D181" s="14">
        <v>12319</v>
      </c>
      <c r="E181" s="84" t="s">
        <v>303</v>
      </c>
      <c r="F181" s="86" t="s">
        <v>304</v>
      </c>
      <c r="G181" s="87" t="s">
        <v>75</v>
      </c>
      <c r="H181" s="88" t="s">
        <v>57</v>
      </c>
      <c r="I181" s="19" t="s">
        <v>64</v>
      </c>
      <c r="J181" s="20">
        <v>45653</v>
      </c>
      <c r="K181" s="20">
        <v>45680</v>
      </c>
      <c r="L181" s="21">
        <v>1000000</v>
      </c>
      <c r="M181" s="22">
        <f>SUM(N181:O181)</f>
        <v>645000</v>
      </c>
      <c r="N181" s="23">
        <v>545000</v>
      </c>
      <c r="O181" s="23">
        <v>100000</v>
      </c>
      <c r="P181" s="24">
        <f>L181-N181</f>
        <v>455000</v>
      </c>
      <c r="Q181" s="25">
        <v>100000</v>
      </c>
      <c r="R181" s="26">
        <v>48000</v>
      </c>
      <c r="S181" s="91">
        <f t="shared" si="155"/>
        <v>9.4791666666666661</v>
      </c>
      <c r="T181" s="91">
        <f t="shared" si="156"/>
        <v>2.0833333333333335</v>
      </c>
      <c r="U181" s="27" t="s">
        <v>193</v>
      </c>
      <c r="V181" s="19" t="s">
        <v>51</v>
      </c>
      <c r="W181" s="20">
        <v>45680</v>
      </c>
      <c r="X181" s="22"/>
      <c r="Y181" s="19" t="s">
        <v>52</v>
      </c>
      <c r="Z181" s="19" t="s">
        <v>52</v>
      </c>
      <c r="AA181" s="19" t="s">
        <v>52</v>
      </c>
      <c r="AB181" s="28"/>
      <c r="AC181" s="90"/>
    </row>
    <row r="182" spans="1:33" s="29" customFormat="1" ht="15" customHeight="1" x14ac:dyDescent="0.25">
      <c r="A182" s="14">
        <v>3</v>
      </c>
      <c r="B182" s="15">
        <v>45737</v>
      </c>
      <c r="C182" s="15">
        <f t="shared" si="159"/>
        <v>45747</v>
      </c>
      <c r="D182" s="14">
        <v>12483</v>
      </c>
      <c r="E182" s="16" t="s">
        <v>234</v>
      </c>
      <c r="F182" s="17" t="s">
        <v>235</v>
      </c>
      <c r="G182" s="17" t="s">
        <v>102</v>
      </c>
      <c r="H182" s="18" t="s">
        <v>113</v>
      </c>
      <c r="I182" s="19" t="s">
        <v>118</v>
      </c>
      <c r="J182" s="20">
        <v>45686</v>
      </c>
      <c r="K182" s="20">
        <v>45728</v>
      </c>
      <c r="L182" s="21">
        <v>2000000</v>
      </c>
      <c r="M182" s="22">
        <f>SUM(N182:O182)</f>
        <v>1176000</v>
      </c>
      <c r="N182" s="23">
        <v>0</v>
      </c>
      <c r="O182" s="23">
        <v>1176000</v>
      </c>
      <c r="P182" s="24">
        <f>L182-N182</f>
        <v>2000000</v>
      </c>
      <c r="Q182" s="25">
        <v>1176000</v>
      </c>
      <c r="R182" s="26">
        <v>100000</v>
      </c>
      <c r="S182" s="91">
        <f t="shared" si="155"/>
        <v>20</v>
      </c>
      <c r="T182" s="91">
        <f t="shared" si="156"/>
        <v>11.76</v>
      </c>
      <c r="U182" s="27" t="s">
        <v>193</v>
      </c>
      <c r="V182" s="19" t="s">
        <v>51</v>
      </c>
      <c r="W182" s="20">
        <v>45726</v>
      </c>
      <c r="X182" s="22"/>
      <c r="Y182" s="19" t="s">
        <v>52</v>
      </c>
      <c r="Z182" s="19" t="s">
        <v>52</v>
      </c>
      <c r="AA182" s="19" t="s">
        <v>52</v>
      </c>
      <c r="AB182" s="28"/>
    </row>
    <row r="183" spans="1:33" s="29" customFormat="1" ht="15" customHeight="1" x14ac:dyDescent="0.25">
      <c r="A183" s="14">
        <v>20</v>
      </c>
      <c r="B183" s="15">
        <v>45737</v>
      </c>
      <c r="C183" s="15">
        <f t="shared" si="159"/>
        <v>45747</v>
      </c>
      <c r="D183" s="14">
        <v>12549</v>
      </c>
      <c r="E183" s="16" t="s">
        <v>89</v>
      </c>
      <c r="F183" s="40" t="s">
        <v>90</v>
      </c>
      <c r="G183" s="17" t="s">
        <v>75</v>
      </c>
      <c r="H183" s="18" t="s">
        <v>257</v>
      </c>
      <c r="I183" s="19" t="s">
        <v>70</v>
      </c>
      <c r="J183" s="20">
        <v>45694</v>
      </c>
      <c r="K183" s="20">
        <v>45736</v>
      </c>
      <c r="L183" s="21">
        <v>2000000</v>
      </c>
      <c r="M183" s="22">
        <f t="shared" ref="M183" si="160">SUM(N183:O183)</f>
        <v>750000</v>
      </c>
      <c r="N183" s="23">
        <v>150000</v>
      </c>
      <c r="O183" s="23">
        <v>600000</v>
      </c>
      <c r="P183" s="24">
        <f>L183-N183</f>
        <v>1850000</v>
      </c>
      <c r="Q183" s="25">
        <v>600000</v>
      </c>
      <c r="R183" s="26">
        <v>150000</v>
      </c>
      <c r="S183" s="91">
        <f t="shared" si="155"/>
        <v>12.333333333333334</v>
      </c>
      <c r="T183" s="91">
        <f t="shared" si="156"/>
        <v>4</v>
      </c>
      <c r="U183" s="27" t="s">
        <v>193</v>
      </c>
      <c r="V183" s="19" t="s">
        <v>51</v>
      </c>
      <c r="W183" s="20">
        <v>45728</v>
      </c>
      <c r="X183" s="22"/>
      <c r="Y183" s="19" t="s">
        <v>52</v>
      </c>
      <c r="Z183" s="19" t="s">
        <v>52</v>
      </c>
      <c r="AA183" s="19" t="s">
        <v>52</v>
      </c>
      <c r="AB183" s="28"/>
      <c r="AC183" s="90"/>
    </row>
    <row r="184" spans="1:33" ht="15" customHeight="1" x14ac:dyDescent="0.25">
      <c r="A184" s="33" t="s">
        <v>71</v>
      </c>
      <c r="B184" s="34"/>
      <c r="C184" s="34"/>
      <c r="D184" s="34"/>
      <c r="E184" s="34"/>
      <c r="F184" s="35"/>
      <c r="G184" s="35"/>
      <c r="H184" s="34"/>
      <c r="I184" s="34"/>
      <c r="J184" s="34"/>
      <c r="K184" s="34"/>
      <c r="L184" s="36"/>
      <c r="M184" s="36"/>
      <c r="N184" s="36"/>
      <c r="O184" s="36"/>
      <c r="P184" s="36"/>
      <c r="Q184" s="36">
        <f>SUM(Q175:Q183)</f>
        <v>2704000</v>
      </c>
      <c r="R184" s="36"/>
      <c r="S184" s="92"/>
      <c r="T184" s="93">
        <f>SUM(T175:T183)</f>
        <v>24.24583333333333</v>
      </c>
      <c r="U184" s="37"/>
      <c r="V184" s="38"/>
      <c r="W184" s="38"/>
      <c r="X184" s="38"/>
      <c r="Y184" s="34"/>
      <c r="Z184" s="34"/>
      <c r="AA184" s="39"/>
      <c r="AB184" s="29" t="s">
        <v>543</v>
      </c>
      <c r="AC184" s="81" t="s">
        <v>550</v>
      </c>
      <c r="AD184" s="83">
        <v>5000</v>
      </c>
      <c r="AF184" s="83">
        <v>0</v>
      </c>
      <c r="AG184" s="83">
        <f>SUM(AD184,AF184)</f>
        <v>5000</v>
      </c>
    </row>
    <row r="185" spans="1:33" s="29" customFormat="1" ht="15" customHeight="1" x14ac:dyDescent="0.25">
      <c r="A185" s="14">
        <v>5</v>
      </c>
      <c r="B185" s="15">
        <v>45737</v>
      </c>
      <c r="C185" s="15">
        <f t="shared" ref="C185:C187" si="161">B185+8</f>
        <v>45745</v>
      </c>
      <c r="D185" s="14">
        <v>12265</v>
      </c>
      <c r="E185" s="16" t="s">
        <v>430</v>
      </c>
      <c r="F185" s="40" t="s">
        <v>431</v>
      </c>
      <c r="G185" s="17" t="s">
        <v>75</v>
      </c>
      <c r="H185" s="18" t="s">
        <v>257</v>
      </c>
      <c r="I185" s="19" t="s">
        <v>70</v>
      </c>
      <c r="J185" s="20">
        <v>45643</v>
      </c>
      <c r="K185" s="20">
        <v>45670</v>
      </c>
      <c r="L185" s="21">
        <v>2000000</v>
      </c>
      <c r="M185" s="22">
        <f t="shared" ref="M185:M187" si="162">SUM(N185:O185)</f>
        <v>1602000</v>
      </c>
      <c r="N185" s="23">
        <v>477000</v>
      </c>
      <c r="O185" s="23">
        <v>1125000</v>
      </c>
      <c r="P185" s="24">
        <f t="shared" ref="P185:P187" si="163">L185-N185</f>
        <v>1523000</v>
      </c>
      <c r="Q185" s="25">
        <v>1125000</v>
      </c>
      <c r="R185" s="26">
        <v>150000</v>
      </c>
      <c r="S185" s="91">
        <f t="shared" ref="S185:S187" si="164">IF(P185&gt;0,P185/$R185,0)</f>
        <v>10.153333333333334</v>
      </c>
      <c r="T185" s="91">
        <f t="shared" ref="T185:T187" si="165">IF(Q185&gt;0,Q185/$R185,0)</f>
        <v>7.5</v>
      </c>
      <c r="U185" s="27" t="s">
        <v>193</v>
      </c>
      <c r="V185" s="19" t="s">
        <v>51</v>
      </c>
      <c r="W185" s="20">
        <v>45684</v>
      </c>
      <c r="X185" s="22"/>
      <c r="Y185" s="19" t="s">
        <v>52</v>
      </c>
      <c r="Z185" s="19" t="s">
        <v>52</v>
      </c>
      <c r="AA185" s="19" t="s">
        <v>52</v>
      </c>
      <c r="AB185" s="28"/>
      <c r="AC185" s="90"/>
    </row>
    <row r="186" spans="1:33" s="29" customFormat="1" ht="15" customHeight="1" x14ac:dyDescent="0.25">
      <c r="A186" s="14">
        <v>3</v>
      </c>
      <c r="B186" s="15">
        <v>45737</v>
      </c>
      <c r="C186" s="15">
        <f>B186+8</f>
        <v>45745</v>
      </c>
      <c r="D186" s="14">
        <v>12483</v>
      </c>
      <c r="E186" s="16" t="s">
        <v>234</v>
      </c>
      <c r="F186" s="17" t="s">
        <v>235</v>
      </c>
      <c r="G186" s="17" t="s">
        <v>102</v>
      </c>
      <c r="H186" s="18" t="s">
        <v>113</v>
      </c>
      <c r="I186" s="19" t="s">
        <v>118</v>
      </c>
      <c r="J186" s="20">
        <v>45686</v>
      </c>
      <c r="K186" s="20">
        <v>45728</v>
      </c>
      <c r="L186" s="21">
        <v>2000000</v>
      </c>
      <c r="M186" s="22">
        <f>SUM(N186:O186)</f>
        <v>200000</v>
      </c>
      <c r="N186" s="23">
        <v>0</v>
      </c>
      <c r="O186" s="23">
        <v>200000</v>
      </c>
      <c r="P186" s="24">
        <f>L186-N186</f>
        <v>2000000</v>
      </c>
      <c r="Q186" s="25">
        <v>200000</v>
      </c>
      <c r="R186" s="26">
        <v>100000</v>
      </c>
      <c r="S186" s="91">
        <f t="shared" si="164"/>
        <v>20</v>
      </c>
      <c r="T186" s="91">
        <f t="shared" si="165"/>
        <v>2</v>
      </c>
      <c r="U186" s="27" t="s">
        <v>193</v>
      </c>
      <c r="V186" s="19" t="s">
        <v>51</v>
      </c>
      <c r="W186" s="20">
        <v>45726</v>
      </c>
      <c r="X186" s="22"/>
      <c r="Y186" s="19" t="s">
        <v>52</v>
      </c>
      <c r="Z186" s="19" t="s">
        <v>52</v>
      </c>
      <c r="AA186" s="19" t="s">
        <v>52</v>
      </c>
      <c r="AB186" s="28"/>
    </row>
    <row r="187" spans="1:33" s="29" customFormat="1" ht="15" customHeight="1" x14ac:dyDescent="0.25">
      <c r="A187" s="14">
        <v>22</v>
      </c>
      <c r="B187" s="15">
        <v>45737</v>
      </c>
      <c r="C187" s="15">
        <f t="shared" si="161"/>
        <v>45745</v>
      </c>
      <c r="D187" s="14">
        <v>12570</v>
      </c>
      <c r="E187" s="16" t="s">
        <v>303</v>
      </c>
      <c r="F187" s="40" t="s">
        <v>304</v>
      </c>
      <c r="G187" s="17" t="s">
        <v>75</v>
      </c>
      <c r="H187" s="18" t="s">
        <v>57</v>
      </c>
      <c r="I187" s="19" t="s">
        <v>64</v>
      </c>
      <c r="J187" s="20">
        <v>45700</v>
      </c>
      <c r="K187" s="20">
        <v>45741</v>
      </c>
      <c r="L187" s="21">
        <v>1000000</v>
      </c>
      <c r="M187" s="22">
        <f t="shared" si="162"/>
        <v>1254000</v>
      </c>
      <c r="N187" s="23">
        <v>354000</v>
      </c>
      <c r="O187" s="23">
        <v>900000</v>
      </c>
      <c r="P187" s="24">
        <f t="shared" si="163"/>
        <v>646000</v>
      </c>
      <c r="Q187" s="25">
        <v>900000</v>
      </c>
      <c r="R187" s="26">
        <v>48000</v>
      </c>
      <c r="S187" s="91">
        <f t="shared" si="164"/>
        <v>13.458333333333334</v>
      </c>
      <c r="T187" s="91">
        <f t="shared" si="165"/>
        <v>18.75</v>
      </c>
      <c r="U187" s="27" t="s">
        <v>193</v>
      </c>
      <c r="V187" s="19" t="s">
        <v>51</v>
      </c>
      <c r="W187" s="20">
        <v>45728</v>
      </c>
      <c r="X187" s="22"/>
      <c r="Y187" s="19" t="s">
        <v>52</v>
      </c>
      <c r="Z187" s="19" t="s">
        <v>52</v>
      </c>
      <c r="AA187" s="19" t="s">
        <v>52</v>
      </c>
      <c r="AB187" s="28"/>
      <c r="AC187" s="90"/>
    </row>
    <row r="188" spans="1:33" ht="15" customHeight="1" x14ac:dyDescent="0.25">
      <c r="A188" s="33" t="s">
        <v>71</v>
      </c>
      <c r="B188" s="34"/>
      <c r="C188" s="34"/>
      <c r="D188" s="34"/>
      <c r="E188" s="34"/>
      <c r="F188" s="35"/>
      <c r="G188" s="35"/>
      <c r="H188" s="34"/>
      <c r="I188" s="34"/>
      <c r="J188" s="34"/>
      <c r="K188" s="34"/>
      <c r="L188" s="36"/>
      <c r="M188" s="36"/>
      <c r="N188" s="36"/>
      <c r="O188" s="36"/>
      <c r="P188" s="36"/>
      <c r="Q188" s="36">
        <f>SUM(Q185:Q187)</f>
        <v>2225000</v>
      </c>
      <c r="R188" s="36"/>
      <c r="S188" s="92"/>
      <c r="T188" s="93">
        <f>SUM(T185:T187)</f>
        <v>28.25</v>
      </c>
      <c r="U188" s="37"/>
      <c r="V188" s="38"/>
      <c r="W188" s="38"/>
      <c r="X188" s="38"/>
      <c r="Y188" s="34"/>
      <c r="Z188" s="34"/>
      <c r="AA188" s="39"/>
      <c r="AB188" s="29" t="s">
        <v>544</v>
      </c>
      <c r="AC188" s="81" t="s">
        <v>551</v>
      </c>
      <c r="AD188" s="83">
        <v>5000</v>
      </c>
      <c r="AF188" s="83">
        <v>0</v>
      </c>
      <c r="AG188" s="83">
        <f>SUM(AD188,AF188)</f>
        <v>5000</v>
      </c>
    </row>
    <row r="189" spans="1:33" s="29" customFormat="1" ht="15" customHeight="1" x14ac:dyDescent="0.25">
      <c r="A189" s="14">
        <v>1</v>
      </c>
      <c r="B189" s="15">
        <v>45741</v>
      </c>
      <c r="C189" s="15">
        <f t="shared" ref="C189:C194" si="166">B189+8</f>
        <v>45749</v>
      </c>
      <c r="D189" s="14">
        <v>12274</v>
      </c>
      <c r="E189" s="16" t="s">
        <v>324</v>
      </c>
      <c r="F189" s="17" t="s">
        <v>325</v>
      </c>
      <c r="G189" s="17" t="s">
        <v>132</v>
      </c>
      <c r="H189" s="18" t="s">
        <v>54</v>
      </c>
      <c r="I189" s="19" t="s">
        <v>198</v>
      </c>
      <c r="J189" s="20">
        <v>45645</v>
      </c>
      <c r="K189" s="20">
        <v>45694</v>
      </c>
      <c r="L189" s="21">
        <v>2000000</v>
      </c>
      <c r="M189" s="22">
        <f>SUM(N189:O189)</f>
        <v>906151</v>
      </c>
      <c r="N189" s="23">
        <v>42151</v>
      </c>
      <c r="O189" s="23">
        <v>864000</v>
      </c>
      <c r="P189" s="24">
        <f t="shared" ref="P189:P194" si="167">L189-N189</f>
        <v>1957849</v>
      </c>
      <c r="Q189" s="25">
        <v>864000</v>
      </c>
      <c r="R189" s="26">
        <v>324000</v>
      </c>
      <c r="S189" s="91">
        <f t="shared" ref="S189:S196" si="168">IF(P189&gt;0,P189/$R189,0)</f>
        <v>6.0427438271604936</v>
      </c>
      <c r="T189" s="91">
        <f t="shared" ref="T189:T196" si="169">IF(Q189&gt;0,Q189/$R189,0)</f>
        <v>2.6666666666666665</v>
      </c>
      <c r="U189" s="27" t="s">
        <v>56</v>
      </c>
      <c r="V189" s="19" t="s">
        <v>51</v>
      </c>
      <c r="W189" s="20">
        <v>45698</v>
      </c>
      <c r="X189" s="22"/>
      <c r="Y189" s="19" t="s">
        <v>52</v>
      </c>
      <c r="Z189" s="19" t="s">
        <v>52</v>
      </c>
      <c r="AA189" s="19" t="s">
        <v>52</v>
      </c>
      <c r="AB189"/>
    </row>
    <row r="190" spans="1:33" s="29" customFormat="1" ht="15" customHeight="1" x14ac:dyDescent="0.25">
      <c r="A190" s="14">
        <v>5</v>
      </c>
      <c r="B190" s="15">
        <v>45741</v>
      </c>
      <c r="C190" s="15">
        <f t="shared" si="166"/>
        <v>45749</v>
      </c>
      <c r="D190" s="14">
        <v>12431</v>
      </c>
      <c r="E190" s="16" t="s">
        <v>451</v>
      </c>
      <c r="F190" s="17" t="s">
        <v>326</v>
      </c>
      <c r="G190" s="17" t="s">
        <v>132</v>
      </c>
      <c r="H190" s="18" t="s">
        <v>54</v>
      </c>
      <c r="I190" s="19" t="s">
        <v>198</v>
      </c>
      <c r="J190" s="20">
        <v>45674</v>
      </c>
      <c r="K190" s="20">
        <v>45728</v>
      </c>
      <c r="L190" s="21">
        <v>450000</v>
      </c>
      <c r="M190" s="22">
        <f>SUM(N190:O190)</f>
        <v>432000</v>
      </c>
      <c r="N190" s="23">
        <v>0</v>
      </c>
      <c r="O190" s="23">
        <v>432000</v>
      </c>
      <c r="P190" s="24">
        <f t="shared" si="167"/>
        <v>450000</v>
      </c>
      <c r="Q190" s="25">
        <v>432000</v>
      </c>
      <c r="R190" s="26">
        <v>324000</v>
      </c>
      <c r="S190" s="91">
        <f t="shared" si="168"/>
        <v>1.3888888888888888</v>
      </c>
      <c r="T190" s="91">
        <f t="shared" si="169"/>
        <v>1.3333333333333333</v>
      </c>
      <c r="U190" s="27" t="s">
        <v>56</v>
      </c>
      <c r="V190" s="30" t="s">
        <v>59</v>
      </c>
      <c r="W190" s="31">
        <v>45738</v>
      </c>
      <c r="X190" s="22"/>
      <c r="Y190" s="19" t="s">
        <v>52</v>
      </c>
      <c r="Z190" s="19" t="s">
        <v>52</v>
      </c>
      <c r="AA190" s="19" t="s">
        <v>52</v>
      </c>
      <c r="AB190" s="28"/>
    </row>
    <row r="191" spans="1:33" s="29" customFormat="1" ht="15" customHeight="1" x14ac:dyDescent="0.25">
      <c r="A191" s="14">
        <v>5</v>
      </c>
      <c r="B191" s="15">
        <v>45741</v>
      </c>
      <c r="C191" s="15">
        <f t="shared" si="166"/>
        <v>45749</v>
      </c>
      <c r="D191" s="14">
        <v>12629</v>
      </c>
      <c r="E191" s="16" t="s">
        <v>53</v>
      </c>
      <c r="F191" s="17" t="s">
        <v>402</v>
      </c>
      <c r="G191" s="17" t="s">
        <v>47</v>
      </c>
      <c r="H191" s="18" t="s">
        <v>54</v>
      </c>
      <c r="I191" s="19" t="s">
        <v>55</v>
      </c>
      <c r="J191" s="20">
        <v>45713</v>
      </c>
      <c r="K191" s="20">
        <v>45748</v>
      </c>
      <c r="L191" s="21">
        <v>300000</v>
      </c>
      <c r="M191" s="22">
        <f>SUM(N191:O191)</f>
        <v>336000</v>
      </c>
      <c r="N191" s="23">
        <v>200000</v>
      </c>
      <c r="O191" s="23">
        <v>136000</v>
      </c>
      <c r="P191" s="24">
        <f t="shared" si="167"/>
        <v>100000</v>
      </c>
      <c r="Q191" s="25">
        <v>136000</v>
      </c>
      <c r="R191" s="26">
        <v>100000</v>
      </c>
      <c r="S191" s="91">
        <f t="shared" si="168"/>
        <v>1</v>
      </c>
      <c r="T191" s="91">
        <f t="shared" si="169"/>
        <v>1.36</v>
      </c>
      <c r="U191" s="27" t="s">
        <v>56</v>
      </c>
      <c r="V191" s="19" t="s">
        <v>51</v>
      </c>
      <c r="W191" s="20">
        <v>45726</v>
      </c>
      <c r="X191" s="22"/>
      <c r="Y191" s="19" t="s">
        <v>52</v>
      </c>
      <c r="Z191" s="19" t="s">
        <v>52</v>
      </c>
      <c r="AA191" s="19" t="s">
        <v>52</v>
      </c>
      <c r="AB191" s="28"/>
    </row>
    <row r="192" spans="1:33" s="29" customFormat="1" ht="15" customHeight="1" x14ac:dyDescent="0.25">
      <c r="A192" s="14">
        <v>2</v>
      </c>
      <c r="B192" s="15">
        <v>45741</v>
      </c>
      <c r="C192" s="15">
        <f t="shared" si="166"/>
        <v>45749</v>
      </c>
      <c r="D192" s="14">
        <v>12625</v>
      </c>
      <c r="E192" s="16" t="s">
        <v>263</v>
      </c>
      <c r="F192" s="17" t="s">
        <v>264</v>
      </c>
      <c r="G192" s="17" t="s">
        <v>47</v>
      </c>
      <c r="H192" s="18" t="s">
        <v>54</v>
      </c>
      <c r="I192" s="19" t="s">
        <v>55</v>
      </c>
      <c r="J192" s="20">
        <v>45713</v>
      </c>
      <c r="K192" s="20">
        <v>45740</v>
      </c>
      <c r="L192" s="21">
        <v>400000</v>
      </c>
      <c r="M192" s="22">
        <f t="shared" ref="M192" si="170">SUM(N192:O192)</f>
        <v>309000</v>
      </c>
      <c r="N192" s="23">
        <v>0</v>
      </c>
      <c r="O192" s="23">
        <v>309000</v>
      </c>
      <c r="P192" s="24">
        <f t="shared" si="167"/>
        <v>400000</v>
      </c>
      <c r="Q192" s="25">
        <v>309000</v>
      </c>
      <c r="R192" s="26">
        <v>50000</v>
      </c>
      <c r="S192" s="91">
        <f t="shared" si="168"/>
        <v>8</v>
      </c>
      <c r="T192" s="91">
        <f t="shared" si="169"/>
        <v>6.18</v>
      </c>
      <c r="U192" s="27" t="s">
        <v>56</v>
      </c>
      <c r="V192" s="19" t="s">
        <v>51</v>
      </c>
      <c r="W192" s="20">
        <v>45731</v>
      </c>
      <c r="X192" s="22"/>
      <c r="Y192" s="19" t="s">
        <v>52</v>
      </c>
      <c r="Z192" s="19" t="s">
        <v>52</v>
      </c>
      <c r="AA192" s="19" t="s">
        <v>52</v>
      </c>
      <c r="AB192" s="28"/>
    </row>
    <row r="193" spans="1:33" s="29" customFormat="1" ht="15" customHeight="1" x14ac:dyDescent="0.25">
      <c r="A193" s="14">
        <v>9</v>
      </c>
      <c r="B193" s="15">
        <v>45741</v>
      </c>
      <c r="C193" s="15">
        <f t="shared" si="166"/>
        <v>45749</v>
      </c>
      <c r="D193" s="14">
        <v>12651</v>
      </c>
      <c r="E193" s="16" t="s">
        <v>337</v>
      </c>
      <c r="F193" s="17" t="s">
        <v>338</v>
      </c>
      <c r="G193" s="17" t="s">
        <v>132</v>
      </c>
      <c r="H193" s="18" t="s">
        <v>54</v>
      </c>
      <c r="I193" s="19" t="s">
        <v>135</v>
      </c>
      <c r="J193" s="20">
        <v>45720</v>
      </c>
      <c r="K193" s="20">
        <v>45762</v>
      </c>
      <c r="L193" s="21">
        <v>25000</v>
      </c>
      <c r="M193" s="22">
        <f>SUM(N193:O193)</f>
        <v>33020</v>
      </c>
      <c r="N193" s="23">
        <v>0</v>
      </c>
      <c r="O193" s="23">
        <v>33020</v>
      </c>
      <c r="P193" s="24">
        <f t="shared" si="167"/>
        <v>25000</v>
      </c>
      <c r="Q193" s="25">
        <v>33020</v>
      </c>
      <c r="R193" s="26">
        <v>57276</v>
      </c>
      <c r="S193" s="91">
        <f t="shared" si="168"/>
        <v>0.43648299462252949</v>
      </c>
      <c r="T193" s="91">
        <f t="shared" si="169"/>
        <v>0.57650673929743701</v>
      </c>
      <c r="U193" s="27" t="s">
        <v>56</v>
      </c>
      <c r="V193" s="30" t="s">
        <v>59</v>
      </c>
      <c r="W193" s="31">
        <v>45741</v>
      </c>
      <c r="X193" s="22"/>
      <c r="Y193" s="19" t="s">
        <v>52</v>
      </c>
      <c r="Z193" s="19" t="s">
        <v>52</v>
      </c>
      <c r="AA193" s="19" t="s">
        <v>52</v>
      </c>
      <c r="AB193" s="28"/>
    </row>
    <row r="194" spans="1:33" s="29" customFormat="1" ht="15" customHeight="1" x14ac:dyDescent="0.25">
      <c r="A194" s="14">
        <v>16</v>
      </c>
      <c r="B194" s="15">
        <v>45741</v>
      </c>
      <c r="C194" s="15">
        <f t="shared" si="166"/>
        <v>45749</v>
      </c>
      <c r="D194" s="14">
        <v>12480</v>
      </c>
      <c r="E194" s="16" t="s">
        <v>472</v>
      </c>
      <c r="F194" s="40" t="s">
        <v>473</v>
      </c>
      <c r="G194" s="17" t="s">
        <v>75</v>
      </c>
      <c r="H194" s="18" t="s">
        <v>78</v>
      </c>
      <c r="I194" s="19" t="s">
        <v>79</v>
      </c>
      <c r="J194" s="20">
        <v>45687</v>
      </c>
      <c r="K194" s="20">
        <v>45717</v>
      </c>
      <c r="L194" s="21">
        <v>50000</v>
      </c>
      <c r="M194" s="22">
        <f>SUM(N194:O194)</f>
        <v>52000</v>
      </c>
      <c r="N194" s="23">
        <v>0</v>
      </c>
      <c r="O194" s="23">
        <v>52000</v>
      </c>
      <c r="P194" s="24">
        <f t="shared" si="167"/>
        <v>50000</v>
      </c>
      <c r="Q194" s="25">
        <v>52000</v>
      </c>
      <c r="R194" s="26">
        <v>84000</v>
      </c>
      <c r="S194" s="91">
        <f t="shared" si="168"/>
        <v>0.59523809523809523</v>
      </c>
      <c r="T194" s="91">
        <f t="shared" si="169"/>
        <v>0.61904761904761907</v>
      </c>
      <c r="U194" s="27" t="s">
        <v>56</v>
      </c>
      <c r="V194" s="19" t="s">
        <v>51</v>
      </c>
      <c r="W194" s="20">
        <v>45731</v>
      </c>
      <c r="X194" s="22"/>
      <c r="Y194" s="19" t="s">
        <v>52</v>
      </c>
      <c r="Z194" s="19" t="s">
        <v>52</v>
      </c>
      <c r="AA194" s="19" t="s">
        <v>52</v>
      </c>
      <c r="AB194" s="28"/>
      <c r="AC194" s="90"/>
    </row>
    <row r="195" spans="1:33" s="29" customFormat="1" ht="15" customHeight="1" x14ac:dyDescent="0.25">
      <c r="A195" s="14">
        <v>19</v>
      </c>
      <c r="B195" s="15">
        <v>45741</v>
      </c>
      <c r="C195" s="15">
        <f t="shared" ref="C195:C196" si="171">B195+8</f>
        <v>45749</v>
      </c>
      <c r="D195" s="14">
        <v>12545</v>
      </c>
      <c r="E195" s="16" t="s">
        <v>385</v>
      </c>
      <c r="F195" s="40" t="s">
        <v>386</v>
      </c>
      <c r="G195" s="17" t="s">
        <v>75</v>
      </c>
      <c r="H195" s="18" t="s">
        <v>257</v>
      </c>
      <c r="I195" s="19" t="s">
        <v>70</v>
      </c>
      <c r="J195" s="20">
        <v>45694</v>
      </c>
      <c r="K195" s="20">
        <v>45736</v>
      </c>
      <c r="L195" s="21">
        <v>2000000</v>
      </c>
      <c r="M195" s="22">
        <f t="shared" ref="M195:M196" si="172">SUM(N195:O195)</f>
        <v>1950000</v>
      </c>
      <c r="N195" s="23">
        <v>300000</v>
      </c>
      <c r="O195" s="23">
        <v>1650000</v>
      </c>
      <c r="P195" s="24">
        <f t="shared" ref="P195:P196" si="173">L195-N195</f>
        <v>1700000</v>
      </c>
      <c r="Q195" s="25">
        <v>1650000</v>
      </c>
      <c r="R195" s="26">
        <v>150000</v>
      </c>
      <c r="S195" s="91">
        <f t="shared" si="168"/>
        <v>11.333333333333334</v>
      </c>
      <c r="T195" s="91">
        <f t="shared" si="169"/>
        <v>11</v>
      </c>
      <c r="U195" s="27" t="s">
        <v>193</v>
      </c>
      <c r="V195" s="19" t="s">
        <v>51</v>
      </c>
      <c r="W195" s="20">
        <v>45728</v>
      </c>
      <c r="X195" s="22"/>
      <c r="Y195" s="19" t="s">
        <v>52</v>
      </c>
      <c r="Z195" s="19" t="s">
        <v>52</v>
      </c>
      <c r="AA195" s="19" t="s">
        <v>52</v>
      </c>
      <c r="AB195" s="28"/>
      <c r="AC195" s="90"/>
    </row>
    <row r="196" spans="1:33" s="29" customFormat="1" ht="15" customHeight="1" x14ac:dyDescent="0.25">
      <c r="A196" s="14">
        <v>8</v>
      </c>
      <c r="B196" s="15">
        <v>45741</v>
      </c>
      <c r="C196" s="15">
        <f t="shared" si="171"/>
        <v>45749</v>
      </c>
      <c r="D196" s="14">
        <v>12644</v>
      </c>
      <c r="E196" s="16" t="s">
        <v>389</v>
      </c>
      <c r="F196" s="17" t="s">
        <v>267</v>
      </c>
      <c r="G196" s="17" t="s">
        <v>102</v>
      </c>
      <c r="H196" s="18" t="s">
        <v>57</v>
      </c>
      <c r="I196" s="19" t="s">
        <v>94</v>
      </c>
      <c r="J196" s="20">
        <v>45715</v>
      </c>
      <c r="K196" s="20">
        <v>45751</v>
      </c>
      <c r="L196" s="21">
        <v>250000</v>
      </c>
      <c r="M196" s="22">
        <f t="shared" si="172"/>
        <v>100000</v>
      </c>
      <c r="N196" s="23">
        <v>0</v>
      </c>
      <c r="O196" s="23">
        <v>100000</v>
      </c>
      <c r="P196" s="24">
        <f t="shared" si="173"/>
        <v>250000</v>
      </c>
      <c r="Q196" s="25">
        <v>100000</v>
      </c>
      <c r="R196" s="26">
        <v>50000</v>
      </c>
      <c r="S196" s="91">
        <f t="shared" si="168"/>
        <v>5</v>
      </c>
      <c r="T196" s="91">
        <f t="shared" si="169"/>
        <v>2</v>
      </c>
      <c r="U196" s="27" t="s">
        <v>193</v>
      </c>
      <c r="V196" s="19" t="s">
        <v>51</v>
      </c>
      <c r="W196" s="20">
        <v>45731</v>
      </c>
      <c r="X196" s="22"/>
      <c r="Y196" s="19" t="s">
        <v>52</v>
      </c>
      <c r="Z196" s="19" t="s">
        <v>52</v>
      </c>
      <c r="AA196" s="19" t="s">
        <v>52</v>
      </c>
      <c r="AB196" s="28"/>
    </row>
    <row r="197" spans="1:33" ht="15" customHeight="1" x14ac:dyDescent="0.25">
      <c r="A197" s="33" t="s">
        <v>71</v>
      </c>
      <c r="B197" s="34"/>
      <c r="C197" s="34"/>
      <c r="D197" s="34"/>
      <c r="E197" s="34"/>
      <c r="F197" s="35"/>
      <c r="G197" s="35"/>
      <c r="H197" s="34"/>
      <c r="I197" s="34"/>
      <c r="J197" s="34"/>
      <c r="K197" s="34"/>
      <c r="L197" s="36"/>
      <c r="M197" s="36"/>
      <c r="N197" s="36"/>
      <c r="O197" s="36"/>
      <c r="P197" s="36"/>
      <c r="Q197" s="36">
        <f>SUM(Q189:Q196)</f>
        <v>3576020</v>
      </c>
      <c r="R197" s="36"/>
      <c r="S197" s="92"/>
      <c r="T197" s="93">
        <f>SUM(T189:T196)</f>
        <v>25.735554358345055</v>
      </c>
      <c r="U197" s="37"/>
      <c r="V197" s="38"/>
      <c r="W197" s="38"/>
      <c r="X197" s="38"/>
      <c r="Y197" s="34"/>
      <c r="Z197" s="34"/>
      <c r="AA197" s="39"/>
      <c r="AB197" s="29" t="s">
        <v>554</v>
      </c>
      <c r="AC197" s="81" t="s">
        <v>557</v>
      </c>
      <c r="AD197" s="83">
        <v>5000</v>
      </c>
      <c r="AF197" s="83">
        <v>0</v>
      </c>
      <c r="AG197" s="83">
        <f>SUM(AD197,AF197)</f>
        <v>5000</v>
      </c>
    </row>
    <row r="198" spans="1:33" s="29" customFormat="1" ht="15" customHeight="1" x14ac:dyDescent="0.25">
      <c r="A198" s="14">
        <v>5</v>
      </c>
      <c r="B198" s="15">
        <v>45744</v>
      </c>
      <c r="C198" s="15">
        <f>B198+8</f>
        <v>45752</v>
      </c>
      <c r="D198" s="14">
        <v>12639</v>
      </c>
      <c r="E198" s="16" t="s">
        <v>409</v>
      </c>
      <c r="F198" s="17" t="s">
        <v>493</v>
      </c>
      <c r="G198" s="17" t="s">
        <v>102</v>
      </c>
      <c r="H198" s="18" t="s">
        <v>57</v>
      </c>
      <c r="I198" s="19" t="s">
        <v>58</v>
      </c>
      <c r="J198" s="20">
        <v>45714</v>
      </c>
      <c r="K198" s="20" t="s">
        <v>65</v>
      </c>
      <c r="L198" s="21">
        <v>500000</v>
      </c>
      <c r="M198" s="22">
        <f>SUM(N198:O198)</f>
        <v>465000</v>
      </c>
      <c r="N198" s="23">
        <v>50000</v>
      </c>
      <c r="O198" s="23">
        <v>415000</v>
      </c>
      <c r="P198" s="24">
        <f>L198-N198</f>
        <v>450000</v>
      </c>
      <c r="Q198" s="25">
        <v>415000</v>
      </c>
      <c r="R198" s="26">
        <v>50000</v>
      </c>
      <c r="S198" s="91">
        <f t="shared" ref="S198:S205" si="174">IF(P198&gt;0,P198/$R198,0)</f>
        <v>9</v>
      </c>
      <c r="T198" s="91">
        <f t="shared" ref="T198:T205" si="175">IF(Q198&gt;0,Q198/$R198,0)</f>
        <v>8.3000000000000007</v>
      </c>
      <c r="U198" s="27" t="s">
        <v>192</v>
      </c>
      <c r="V198" s="19" t="s">
        <v>51</v>
      </c>
      <c r="W198" s="20">
        <v>45741</v>
      </c>
      <c r="X198" s="22"/>
      <c r="Y198" s="19" t="s">
        <v>52</v>
      </c>
      <c r="Z198" s="19" t="s">
        <v>52</v>
      </c>
      <c r="AA198" s="19" t="s">
        <v>52</v>
      </c>
      <c r="AB198" s="28"/>
    </row>
    <row r="199" spans="1:33" s="29" customFormat="1" ht="15" customHeight="1" x14ac:dyDescent="0.25">
      <c r="A199" s="14">
        <v>29</v>
      </c>
      <c r="B199" s="15">
        <v>45744</v>
      </c>
      <c r="C199" s="15">
        <f>B199+8</f>
        <v>45752</v>
      </c>
      <c r="D199" s="14">
        <v>12643</v>
      </c>
      <c r="E199" s="16" t="s">
        <v>392</v>
      </c>
      <c r="F199" s="40" t="s">
        <v>393</v>
      </c>
      <c r="G199" s="17" t="s">
        <v>75</v>
      </c>
      <c r="H199" s="18" t="s">
        <v>54</v>
      </c>
      <c r="I199" s="19" t="s">
        <v>64</v>
      </c>
      <c r="J199" s="20">
        <v>45715</v>
      </c>
      <c r="K199" s="20">
        <v>45757</v>
      </c>
      <c r="L199" s="21">
        <v>2000000</v>
      </c>
      <c r="M199" s="22">
        <f>SUM(N199:O199)</f>
        <v>150000</v>
      </c>
      <c r="N199" s="23">
        <v>0</v>
      </c>
      <c r="O199" s="23">
        <v>150000</v>
      </c>
      <c r="P199" s="24">
        <f>L199-N199</f>
        <v>2000000</v>
      </c>
      <c r="Q199" s="25">
        <v>150000</v>
      </c>
      <c r="R199" s="26">
        <v>150000</v>
      </c>
      <c r="S199" s="91">
        <f t="shared" si="174"/>
        <v>13.333333333333334</v>
      </c>
      <c r="T199" s="91">
        <f t="shared" si="175"/>
        <v>1</v>
      </c>
      <c r="U199" s="27" t="s">
        <v>192</v>
      </c>
      <c r="V199" s="30" t="s">
        <v>59</v>
      </c>
      <c r="W199" s="31">
        <v>45751</v>
      </c>
      <c r="X199" s="22"/>
      <c r="Y199" s="19" t="s">
        <v>52</v>
      </c>
      <c r="Z199" s="19" t="s">
        <v>52</v>
      </c>
      <c r="AA199" s="19" t="s">
        <v>52</v>
      </c>
      <c r="AB199" s="28"/>
      <c r="AC199" s="90"/>
    </row>
    <row r="200" spans="1:33" s="29" customFormat="1" ht="15" customHeight="1" x14ac:dyDescent="0.25">
      <c r="A200" s="14">
        <v>8</v>
      </c>
      <c r="B200" s="15">
        <v>45744</v>
      </c>
      <c r="C200" s="15">
        <f t="shared" ref="C200:C205" si="176">B200+8</f>
        <v>45752</v>
      </c>
      <c r="D200" s="14">
        <v>12131</v>
      </c>
      <c r="E200" s="16" t="s">
        <v>341</v>
      </c>
      <c r="F200" s="40" t="s">
        <v>348</v>
      </c>
      <c r="G200" s="17" t="s">
        <v>75</v>
      </c>
      <c r="H200" s="18" t="s">
        <v>257</v>
      </c>
      <c r="I200" s="19" t="s">
        <v>70</v>
      </c>
      <c r="J200" s="20">
        <v>45622</v>
      </c>
      <c r="K200" s="20">
        <v>45649</v>
      </c>
      <c r="L200" s="21">
        <v>4000000</v>
      </c>
      <c r="M200" s="22">
        <f t="shared" ref="M200:M205" si="177">SUM(N200:O200)</f>
        <v>3528000</v>
      </c>
      <c r="N200" s="23">
        <v>3492000</v>
      </c>
      <c r="O200" s="23">
        <v>36000</v>
      </c>
      <c r="P200" s="24">
        <f t="shared" ref="P200:P205" si="178">L200-N200</f>
        <v>508000</v>
      </c>
      <c r="Q200" s="25">
        <v>36000</v>
      </c>
      <c r="R200" s="26">
        <v>150000</v>
      </c>
      <c r="S200" s="91">
        <f t="shared" si="174"/>
        <v>3.3866666666666667</v>
      </c>
      <c r="T200" s="91">
        <f t="shared" si="175"/>
        <v>0.24</v>
      </c>
      <c r="U200" s="27" t="s">
        <v>193</v>
      </c>
      <c r="V200" s="19" t="s">
        <v>51</v>
      </c>
      <c r="W200" s="20">
        <v>45649</v>
      </c>
      <c r="X200" s="22"/>
      <c r="Y200" s="19" t="s">
        <v>52</v>
      </c>
      <c r="Z200" s="19" t="s">
        <v>52</v>
      </c>
      <c r="AA200" s="19" t="s">
        <v>52</v>
      </c>
      <c r="AB200" s="28"/>
      <c r="AC200" s="90"/>
    </row>
    <row r="201" spans="1:33" s="29" customFormat="1" ht="15" customHeight="1" x14ac:dyDescent="0.25">
      <c r="A201" s="14">
        <v>2</v>
      </c>
      <c r="B201" s="15">
        <v>45744</v>
      </c>
      <c r="C201" s="15">
        <f>B201+8</f>
        <v>45752</v>
      </c>
      <c r="D201" s="14">
        <v>12483</v>
      </c>
      <c r="E201" s="16" t="s">
        <v>234</v>
      </c>
      <c r="F201" s="17" t="s">
        <v>235</v>
      </c>
      <c r="G201" s="17" t="s">
        <v>102</v>
      </c>
      <c r="H201" s="18" t="s">
        <v>113</v>
      </c>
      <c r="I201" s="19" t="s">
        <v>118</v>
      </c>
      <c r="J201" s="20">
        <v>45686</v>
      </c>
      <c r="K201" s="20">
        <v>45728</v>
      </c>
      <c r="L201" s="21">
        <v>2000000</v>
      </c>
      <c r="M201" s="22">
        <f>SUM(N201:O201)</f>
        <v>1992000</v>
      </c>
      <c r="N201" s="23">
        <v>1376000</v>
      </c>
      <c r="O201" s="23">
        <v>616000</v>
      </c>
      <c r="P201" s="24">
        <f>L201-N201</f>
        <v>624000</v>
      </c>
      <c r="Q201" s="25">
        <v>616000</v>
      </c>
      <c r="R201" s="26">
        <v>100000</v>
      </c>
      <c r="S201" s="91">
        <f t="shared" si="174"/>
        <v>6.24</v>
      </c>
      <c r="T201" s="91">
        <f t="shared" si="175"/>
        <v>6.16</v>
      </c>
      <c r="U201" s="27" t="s">
        <v>193</v>
      </c>
      <c r="V201" s="19" t="s">
        <v>51</v>
      </c>
      <c r="W201" s="20">
        <v>45726</v>
      </c>
      <c r="X201" s="22"/>
      <c r="Y201" s="19" t="s">
        <v>52</v>
      </c>
      <c r="Z201" s="19" t="s">
        <v>52</v>
      </c>
      <c r="AA201" s="19" t="s">
        <v>52</v>
      </c>
      <c r="AB201" s="28"/>
    </row>
    <row r="202" spans="1:33" s="29" customFormat="1" ht="15" customHeight="1" x14ac:dyDescent="0.25">
      <c r="A202" s="14">
        <v>16</v>
      </c>
      <c r="B202" s="15">
        <v>45744</v>
      </c>
      <c r="C202" s="15">
        <f>B202+8</f>
        <v>45752</v>
      </c>
      <c r="D202" s="14">
        <v>12545</v>
      </c>
      <c r="E202" s="16" t="s">
        <v>385</v>
      </c>
      <c r="F202" s="40" t="s">
        <v>386</v>
      </c>
      <c r="G202" s="17" t="s">
        <v>75</v>
      </c>
      <c r="H202" s="18" t="s">
        <v>257</v>
      </c>
      <c r="I202" s="19" t="s">
        <v>70</v>
      </c>
      <c r="J202" s="20">
        <v>45694</v>
      </c>
      <c r="K202" s="20">
        <v>45736</v>
      </c>
      <c r="L202" s="21">
        <v>2000000</v>
      </c>
      <c r="M202" s="22">
        <f>SUM(N202:O202)</f>
        <v>2031000</v>
      </c>
      <c r="N202" s="23">
        <v>1950000</v>
      </c>
      <c r="O202" s="23">
        <v>81000</v>
      </c>
      <c r="P202" s="24">
        <f>L202-N202</f>
        <v>50000</v>
      </c>
      <c r="Q202" s="25">
        <v>81000</v>
      </c>
      <c r="R202" s="26">
        <v>150000</v>
      </c>
      <c r="S202" s="91">
        <f t="shared" si="174"/>
        <v>0.33333333333333331</v>
      </c>
      <c r="T202" s="91">
        <f t="shared" si="175"/>
        <v>0.54</v>
      </c>
      <c r="U202" s="27" t="s">
        <v>193</v>
      </c>
      <c r="V202" s="19" t="s">
        <v>51</v>
      </c>
      <c r="W202" s="20">
        <v>45728</v>
      </c>
      <c r="X202" s="22"/>
      <c r="Y202" s="19" t="s">
        <v>52</v>
      </c>
      <c r="Z202" s="19" t="s">
        <v>52</v>
      </c>
      <c r="AA202" s="19" t="s">
        <v>52</v>
      </c>
      <c r="AB202" s="28"/>
      <c r="AC202" s="90"/>
    </row>
    <row r="203" spans="1:33" s="29" customFormat="1" ht="15" customHeight="1" x14ac:dyDescent="0.25">
      <c r="A203" s="14">
        <v>19</v>
      </c>
      <c r="B203" s="15">
        <v>45744</v>
      </c>
      <c r="C203" s="15">
        <f>B203+8</f>
        <v>45752</v>
      </c>
      <c r="D203" s="14">
        <v>12590</v>
      </c>
      <c r="E203" s="16" t="s">
        <v>236</v>
      </c>
      <c r="F203" s="40" t="s">
        <v>237</v>
      </c>
      <c r="G203" s="17" t="s">
        <v>75</v>
      </c>
      <c r="H203" s="18" t="s">
        <v>62</v>
      </c>
      <c r="I203" s="19" t="s">
        <v>63</v>
      </c>
      <c r="J203" s="20">
        <v>45706</v>
      </c>
      <c r="K203" s="20">
        <v>45741</v>
      </c>
      <c r="L203" s="21">
        <v>250000</v>
      </c>
      <c r="M203" s="22">
        <f>SUM(N203:O203)</f>
        <v>243000</v>
      </c>
      <c r="N203" s="23">
        <v>0</v>
      </c>
      <c r="O203" s="23">
        <v>243000</v>
      </c>
      <c r="P203" s="24">
        <f>L203-N203</f>
        <v>250000</v>
      </c>
      <c r="Q203" s="25">
        <v>243000</v>
      </c>
      <c r="R203" s="26">
        <v>150000</v>
      </c>
      <c r="S203" s="91">
        <f t="shared" si="174"/>
        <v>1.6666666666666667</v>
      </c>
      <c r="T203" s="91">
        <f t="shared" si="175"/>
        <v>1.62</v>
      </c>
      <c r="U203" s="27" t="s">
        <v>193</v>
      </c>
      <c r="V203" s="30" t="s">
        <v>59</v>
      </c>
      <c r="W203" s="31">
        <v>45742</v>
      </c>
      <c r="X203" s="22"/>
      <c r="Y203" s="19" t="s">
        <v>52</v>
      </c>
      <c r="Z203" s="19" t="s">
        <v>52</v>
      </c>
      <c r="AA203" s="19" t="s">
        <v>52</v>
      </c>
      <c r="AB203" s="28"/>
      <c r="AC203" s="90"/>
    </row>
    <row r="204" spans="1:33" s="29" customFormat="1" ht="15" customHeight="1" x14ac:dyDescent="0.25">
      <c r="A204" s="14">
        <v>20</v>
      </c>
      <c r="B204" s="15">
        <v>45744</v>
      </c>
      <c r="C204" s="15">
        <f>B204+8</f>
        <v>45752</v>
      </c>
      <c r="D204" s="14">
        <v>12596</v>
      </c>
      <c r="E204" s="16" t="s">
        <v>238</v>
      </c>
      <c r="F204" s="40" t="s">
        <v>239</v>
      </c>
      <c r="G204" s="17" t="s">
        <v>75</v>
      </c>
      <c r="H204" s="18" t="s">
        <v>57</v>
      </c>
      <c r="I204" s="19" t="s">
        <v>94</v>
      </c>
      <c r="J204" s="20">
        <v>45708</v>
      </c>
      <c r="K204" s="20">
        <v>45756</v>
      </c>
      <c r="L204" s="21">
        <v>300000</v>
      </c>
      <c r="M204" s="22">
        <f>SUM(N204:O204)</f>
        <v>345000</v>
      </c>
      <c r="N204" s="23">
        <v>0</v>
      </c>
      <c r="O204" s="23">
        <v>345000</v>
      </c>
      <c r="P204" s="24">
        <f>L204-N204</f>
        <v>300000</v>
      </c>
      <c r="Q204" s="25">
        <v>345000</v>
      </c>
      <c r="R204" s="26">
        <v>150000</v>
      </c>
      <c r="S204" s="91">
        <f t="shared" si="174"/>
        <v>2</v>
      </c>
      <c r="T204" s="91">
        <f t="shared" si="175"/>
        <v>2.2999999999999998</v>
      </c>
      <c r="U204" s="27" t="s">
        <v>193</v>
      </c>
      <c r="V204" s="30" t="s">
        <v>59</v>
      </c>
      <c r="W204" s="31">
        <v>45744</v>
      </c>
      <c r="X204" s="22"/>
      <c r="Y204" s="19" t="s">
        <v>52</v>
      </c>
      <c r="Z204" s="19" t="s">
        <v>52</v>
      </c>
      <c r="AA204" s="19" t="s">
        <v>52</v>
      </c>
      <c r="AB204" s="28"/>
      <c r="AC204" s="90"/>
    </row>
    <row r="205" spans="1:33" s="29" customFormat="1" ht="15" customHeight="1" x14ac:dyDescent="0.25">
      <c r="A205" s="14">
        <v>25</v>
      </c>
      <c r="B205" s="15">
        <v>45744</v>
      </c>
      <c r="C205" s="15">
        <f t="shared" si="176"/>
        <v>45752</v>
      </c>
      <c r="D205" s="14">
        <v>12672</v>
      </c>
      <c r="E205" s="16" t="s">
        <v>295</v>
      </c>
      <c r="F205" s="40" t="s">
        <v>296</v>
      </c>
      <c r="G205" s="17" t="s">
        <v>75</v>
      </c>
      <c r="H205" s="18" t="s">
        <v>257</v>
      </c>
      <c r="I205" s="19" t="s">
        <v>49</v>
      </c>
      <c r="J205" s="20">
        <v>45723</v>
      </c>
      <c r="K205" s="20">
        <v>45747</v>
      </c>
      <c r="L205" s="21">
        <v>2000000</v>
      </c>
      <c r="M205" s="22">
        <f t="shared" si="177"/>
        <v>900000</v>
      </c>
      <c r="N205" s="23">
        <v>150000</v>
      </c>
      <c r="O205" s="23">
        <v>750000</v>
      </c>
      <c r="P205" s="24">
        <f t="shared" si="178"/>
        <v>1850000</v>
      </c>
      <c r="Q205" s="25">
        <v>750000</v>
      </c>
      <c r="R205" s="26">
        <v>150000</v>
      </c>
      <c r="S205" s="91">
        <f t="shared" si="174"/>
        <v>12.333333333333334</v>
      </c>
      <c r="T205" s="91">
        <f t="shared" si="175"/>
        <v>5</v>
      </c>
      <c r="U205" s="27" t="s">
        <v>193</v>
      </c>
      <c r="V205" s="19" t="s">
        <v>51</v>
      </c>
      <c r="W205" s="20">
        <v>45730</v>
      </c>
      <c r="X205" s="22"/>
      <c r="Y205" s="19" t="s">
        <v>52</v>
      </c>
      <c r="Z205" s="19" t="s">
        <v>52</v>
      </c>
      <c r="AA205" s="19" t="s">
        <v>52</v>
      </c>
      <c r="AB205" s="28"/>
      <c r="AC205" s="90"/>
    </row>
    <row r="206" spans="1:33" ht="15" customHeight="1" x14ac:dyDescent="0.25">
      <c r="A206" s="33" t="s">
        <v>71</v>
      </c>
      <c r="B206" s="34"/>
      <c r="C206" s="34"/>
      <c r="D206" s="34"/>
      <c r="E206" s="34"/>
      <c r="F206" s="35"/>
      <c r="G206" s="35"/>
      <c r="H206" s="34"/>
      <c r="I206" s="34"/>
      <c r="J206" s="34"/>
      <c r="K206" s="34"/>
      <c r="L206" s="36"/>
      <c r="M206" s="36"/>
      <c r="N206" s="36"/>
      <c r="O206" s="36"/>
      <c r="P206" s="36"/>
      <c r="Q206" s="36">
        <f>SUM(Q198:Q205)</f>
        <v>2636000</v>
      </c>
      <c r="R206" s="36"/>
      <c r="S206" s="92"/>
      <c r="T206" s="93">
        <f>SUM(T198:T205)</f>
        <v>25.160000000000004</v>
      </c>
      <c r="U206" s="37"/>
      <c r="V206" s="38"/>
      <c r="W206" s="38"/>
      <c r="X206" s="38"/>
      <c r="Y206" s="34"/>
      <c r="Z206" s="34"/>
      <c r="AA206" s="39"/>
      <c r="AB206" s="29" t="s">
        <v>562</v>
      </c>
      <c r="AC206" s="81" t="s">
        <v>564</v>
      </c>
      <c r="AD206" s="83">
        <v>5000</v>
      </c>
      <c r="AF206" s="83">
        <v>0</v>
      </c>
      <c r="AG206" s="83">
        <f>SUM(AD206,AF206)</f>
        <v>5000</v>
      </c>
    </row>
    <row r="207" spans="1:33" s="29" customFormat="1" ht="15" customHeight="1" x14ac:dyDescent="0.25">
      <c r="A207" s="14">
        <v>4</v>
      </c>
      <c r="B207" s="15">
        <v>45745</v>
      </c>
      <c r="C207" s="15">
        <f>B207+8</f>
        <v>45753</v>
      </c>
      <c r="D207" s="14">
        <v>12556</v>
      </c>
      <c r="E207" s="16" t="s">
        <v>372</v>
      </c>
      <c r="F207" s="17" t="s">
        <v>478</v>
      </c>
      <c r="G207" s="17" t="s">
        <v>102</v>
      </c>
      <c r="H207" s="18" t="s">
        <v>57</v>
      </c>
      <c r="I207" s="19" t="s">
        <v>58</v>
      </c>
      <c r="J207" s="20">
        <v>45698</v>
      </c>
      <c r="K207" s="20">
        <v>45733</v>
      </c>
      <c r="L207" s="21">
        <v>1500000</v>
      </c>
      <c r="M207" s="22">
        <f>SUM(N207:O207)</f>
        <v>822000</v>
      </c>
      <c r="N207" s="23">
        <v>606000</v>
      </c>
      <c r="O207" s="23">
        <v>216000</v>
      </c>
      <c r="P207" s="24">
        <f>L207-N207</f>
        <v>894000</v>
      </c>
      <c r="Q207" s="25">
        <v>216000</v>
      </c>
      <c r="R207" s="26">
        <v>48000</v>
      </c>
      <c r="S207" s="91">
        <f t="shared" ref="S207:S209" si="179">IF(P207&gt;0,P207/$R207,0)</f>
        <v>18.625</v>
      </c>
      <c r="T207" s="91">
        <f t="shared" ref="T207:T209" si="180">IF(Q207&gt;0,Q207/$R207,0)</f>
        <v>4.5</v>
      </c>
      <c r="U207" s="27" t="s">
        <v>193</v>
      </c>
      <c r="V207" s="19" t="s">
        <v>51</v>
      </c>
      <c r="W207" s="20">
        <v>45716</v>
      </c>
      <c r="X207" s="22"/>
      <c r="Y207" s="19" t="s">
        <v>52</v>
      </c>
      <c r="Z207" s="19" t="s">
        <v>52</v>
      </c>
      <c r="AA207" s="19" t="s">
        <v>52</v>
      </c>
      <c r="AB207" s="28"/>
    </row>
    <row r="208" spans="1:33" s="29" customFormat="1" ht="15" customHeight="1" x14ac:dyDescent="0.25">
      <c r="A208" s="14">
        <v>3</v>
      </c>
      <c r="B208" s="15">
        <v>45745</v>
      </c>
      <c r="C208" s="15">
        <f>B208+8</f>
        <v>45753</v>
      </c>
      <c r="D208" s="14">
        <v>12588</v>
      </c>
      <c r="E208" s="16" t="s">
        <v>482</v>
      </c>
      <c r="F208" s="17" t="s">
        <v>483</v>
      </c>
      <c r="G208" s="17" t="s">
        <v>47</v>
      </c>
      <c r="H208" s="18" t="s">
        <v>57</v>
      </c>
      <c r="I208" s="19" t="s">
        <v>58</v>
      </c>
      <c r="J208" s="20">
        <v>45705</v>
      </c>
      <c r="K208" s="20">
        <v>45747</v>
      </c>
      <c r="L208" s="21">
        <v>1200000</v>
      </c>
      <c r="M208" s="22">
        <f t="shared" ref="M208" si="181">SUM(N208:O208)</f>
        <v>800000</v>
      </c>
      <c r="N208" s="23">
        <v>0</v>
      </c>
      <c r="O208" s="23">
        <v>800000</v>
      </c>
      <c r="P208" s="24">
        <f t="shared" ref="P208:P209" si="182">L208-N208</f>
        <v>1200000</v>
      </c>
      <c r="Q208" s="25">
        <v>800000</v>
      </c>
      <c r="R208" s="26">
        <v>50000</v>
      </c>
      <c r="S208" s="91">
        <f t="shared" si="179"/>
        <v>24</v>
      </c>
      <c r="T208" s="91">
        <f t="shared" si="180"/>
        <v>16</v>
      </c>
      <c r="U208" s="27" t="s">
        <v>193</v>
      </c>
      <c r="V208" s="19" t="s">
        <v>51</v>
      </c>
      <c r="W208" s="20">
        <v>45738</v>
      </c>
      <c r="X208" s="22"/>
      <c r="Y208" s="19" t="s">
        <v>52</v>
      </c>
      <c r="Z208" s="19" t="s">
        <v>52</v>
      </c>
      <c r="AA208" s="19" t="s">
        <v>52</v>
      </c>
      <c r="AB208" s="28"/>
    </row>
    <row r="209" spans="1:33" s="29" customFormat="1" ht="15" customHeight="1" x14ac:dyDescent="0.25">
      <c r="A209" s="14">
        <v>6</v>
      </c>
      <c r="B209" s="15">
        <v>45745</v>
      </c>
      <c r="C209" s="15">
        <f t="shared" ref="C209" si="183">B209+8</f>
        <v>45753</v>
      </c>
      <c r="D209" s="14">
        <v>12644</v>
      </c>
      <c r="E209" s="16" t="s">
        <v>389</v>
      </c>
      <c r="F209" s="17" t="s">
        <v>267</v>
      </c>
      <c r="G209" s="17" t="s">
        <v>102</v>
      </c>
      <c r="H209" s="18" t="s">
        <v>57</v>
      </c>
      <c r="I209" s="19" t="s">
        <v>94</v>
      </c>
      <c r="J209" s="20">
        <v>45715</v>
      </c>
      <c r="K209" s="20">
        <v>45751</v>
      </c>
      <c r="L209" s="21">
        <v>250000</v>
      </c>
      <c r="M209" s="22">
        <f t="shared" ref="M209" si="184">SUM(N209:O209)</f>
        <v>270000</v>
      </c>
      <c r="N209" s="23">
        <v>100000</v>
      </c>
      <c r="O209" s="23">
        <v>170000</v>
      </c>
      <c r="P209" s="24">
        <f t="shared" si="182"/>
        <v>150000</v>
      </c>
      <c r="Q209" s="25">
        <v>170000</v>
      </c>
      <c r="R209" s="26">
        <v>50000</v>
      </c>
      <c r="S209" s="91">
        <f t="shared" si="179"/>
        <v>3</v>
      </c>
      <c r="T209" s="91">
        <f t="shared" si="180"/>
        <v>3.4</v>
      </c>
      <c r="U209" s="27" t="s">
        <v>193</v>
      </c>
      <c r="V209" s="19" t="s">
        <v>51</v>
      </c>
      <c r="W209" s="20">
        <v>45731</v>
      </c>
      <c r="X209" s="22"/>
      <c r="Y209" s="19" t="s">
        <v>52</v>
      </c>
      <c r="Z209" s="19" t="s">
        <v>52</v>
      </c>
      <c r="AA209" s="19" t="s">
        <v>52</v>
      </c>
      <c r="AB209" s="28"/>
    </row>
    <row r="210" spans="1:33" ht="15" customHeight="1" x14ac:dyDescent="0.25">
      <c r="A210" s="33" t="s">
        <v>71</v>
      </c>
      <c r="B210" s="34"/>
      <c r="C210" s="34"/>
      <c r="D210" s="34"/>
      <c r="E210" s="34"/>
      <c r="F210" s="35"/>
      <c r="G210" s="35"/>
      <c r="H210" s="34"/>
      <c r="I210" s="34"/>
      <c r="J210" s="34"/>
      <c r="K210" s="34"/>
      <c r="L210" s="36"/>
      <c r="M210" s="36"/>
      <c r="N210" s="36"/>
      <c r="O210" s="36"/>
      <c r="P210" s="36"/>
      <c r="Q210" s="36">
        <f>SUM(Q207:Q209)</f>
        <v>1186000</v>
      </c>
      <c r="R210" s="36"/>
      <c r="S210" s="92"/>
      <c r="T210" s="93">
        <f>SUM(T207:T209)</f>
        <v>23.9</v>
      </c>
      <c r="U210" s="37"/>
      <c r="V210" s="38"/>
      <c r="W210" s="38"/>
      <c r="X210" s="38"/>
      <c r="Y210" s="34"/>
      <c r="Z210" s="34"/>
      <c r="AA210" s="39"/>
      <c r="AB210" s="29" t="s">
        <v>563</v>
      </c>
      <c r="AC210" s="81" t="s">
        <v>565</v>
      </c>
      <c r="AD210" s="83">
        <v>5000</v>
      </c>
      <c r="AF210" s="83">
        <v>0</v>
      </c>
      <c r="AG210" s="83">
        <f>SUM(AD210,AF210)</f>
        <v>5000</v>
      </c>
    </row>
    <row r="211" spans="1:33" s="29" customFormat="1" ht="15" customHeight="1" x14ac:dyDescent="0.25">
      <c r="A211" s="14">
        <v>2</v>
      </c>
      <c r="B211" s="15">
        <v>45747</v>
      </c>
      <c r="C211" s="15">
        <f t="shared" ref="C211" si="185">B211+8</f>
        <v>45755</v>
      </c>
      <c r="D211" s="14">
        <v>12483</v>
      </c>
      <c r="E211" s="16" t="s">
        <v>234</v>
      </c>
      <c r="F211" s="17" t="s">
        <v>235</v>
      </c>
      <c r="G211" s="17" t="s">
        <v>102</v>
      </c>
      <c r="H211" s="18" t="s">
        <v>113</v>
      </c>
      <c r="I211" s="19" t="s">
        <v>118</v>
      </c>
      <c r="J211" s="20">
        <v>45686</v>
      </c>
      <c r="K211" s="20">
        <v>45728</v>
      </c>
      <c r="L211" s="21">
        <v>2000000</v>
      </c>
      <c r="M211" s="22">
        <f t="shared" ref="M211" si="186">SUM(N211:O211)</f>
        <v>1992000</v>
      </c>
      <c r="N211" s="23">
        <v>1376000</v>
      </c>
      <c r="O211" s="23">
        <v>616000</v>
      </c>
      <c r="P211" s="24">
        <f t="shared" ref="P211" si="187">L211-N211</f>
        <v>624000</v>
      </c>
      <c r="Q211" s="25">
        <v>168000</v>
      </c>
      <c r="R211" s="26">
        <v>100000</v>
      </c>
      <c r="S211" s="91">
        <f t="shared" ref="S211:S216" si="188">IF(P211&gt;0,P211/$R211,0)</f>
        <v>6.24</v>
      </c>
      <c r="T211" s="91">
        <f t="shared" ref="T211:T216" si="189">IF(Q211&gt;0,Q211/$R211,0)</f>
        <v>1.68</v>
      </c>
      <c r="U211" s="27" t="s">
        <v>50</v>
      </c>
      <c r="V211" s="19" t="s">
        <v>51</v>
      </c>
      <c r="W211" s="20">
        <v>45726</v>
      </c>
      <c r="X211" s="22"/>
      <c r="Y211" s="19" t="s">
        <v>52</v>
      </c>
      <c r="Z211" s="19" t="s">
        <v>52</v>
      </c>
      <c r="AA211" s="19" t="s">
        <v>52</v>
      </c>
      <c r="AB211" s="28"/>
    </row>
    <row r="212" spans="1:33" s="29" customFormat="1" ht="15" customHeight="1" x14ac:dyDescent="0.25">
      <c r="A212" s="14">
        <v>1</v>
      </c>
      <c r="B212" s="15">
        <v>45747</v>
      </c>
      <c r="C212" s="15">
        <f>B212+8</f>
        <v>45755</v>
      </c>
      <c r="D212" s="14">
        <v>12274</v>
      </c>
      <c r="E212" s="16" t="s">
        <v>324</v>
      </c>
      <c r="F212" s="17" t="s">
        <v>325</v>
      </c>
      <c r="G212" s="17" t="s">
        <v>132</v>
      </c>
      <c r="H212" s="18" t="s">
        <v>54</v>
      </c>
      <c r="I212" s="19" t="s">
        <v>198</v>
      </c>
      <c r="J212" s="20">
        <v>45645</v>
      </c>
      <c r="K212" s="20">
        <v>45694</v>
      </c>
      <c r="L212" s="21">
        <v>2000000</v>
      </c>
      <c r="M212" s="22">
        <f>SUM(N212:O212)</f>
        <v>1103170</v>
      </c>
      <c r="N212" s="23">
        <v>906150</v>
      </c>
      <c r="O212" s="23">
        <v>197020</v>
      </c>
      <c r="P212" s="24">
        <f>L212-N212</f>
        <v>1093850</v>
      </c>
      <c r="Q212" s="25">
        <v>197020</v>
      </c>
      <c r="R212" s="26">
        <v>324000</v>
      </c>
      <c r="S212" s="91">
        <f t="shared" si="188"/>
        <v>3.3760802469135802</v>
      </c>
      <c r="T212" s="91">
        <f t="shared" si="189"/>
        <v>0.60808641975308642</v>
      </c>
      <c r="U212" s="27" t="s">
        <v>56</v>
      </c>
      <c r="V212" s="19" t="s">
        <v>51</v>
      </c>
      <c r="W212" s="20">
        <v>45698</v>
      </c>
      <c r="X212" s="22"/>
      <c r="Y212" s="19" t="s">
        <v>52</v>
      </c>
      <c r="Z212" s="19" t="s">
        <v>52</v>
      </c>
      <c r="AA212" s="19" t="s">
        <v>52</v>
      </c>
      <c r="AB212"/>
    </row>
    <row r="213" spans="1:33" s="29" customFormat="1" ht="15" customHeight="1" x14ac:dyDescent="0.25">
      <c r="A213" s="14">
        <v>9</v>
      </c>
      <c r="B213" s="15">
        <v>45747</v>
      </c>
      <c r="C213" s="15">
        <f>B213+8</f>
        <v>45755</v>
      </c>
      <c r="D213" s="14">
        <v>12407</v>
      </c>
      <c r="E213" s="16" t="s">
        <v>380</v>
      </c>
      <c r="F213" s="40" t="s">
        <v>381</v>
      </c>
      <c r="G213" s="17" t="s">
        <v>75</v>
      </c>
      <c r="H213" s="18" t="s">
        <v>78</v>
      </c>
      <c r="I213" s="19" t="s">
        <v>79</v>
      </c>
      <c r="J213" s="20">
        <v>45670</v>
      </c>
      <c r="K213" s="20">
        <v>45698</v>
      </c>
      <c r="L213" s="21">
        <v>3000000</v>
      </c>
      <c r="M213" s="22">
        <f>SUM(N213:O213)</f>
        <v>1155000</v>
      </c>
      <c r="N213" s="23">
        <v>0</v>
      </c>
      <c r="O213" s="23">
        <v>1155000</v>
      </c>
      <c r="P213" s="24">
        <f>L213-N213</f>
        <v>3000000</v>
      </c>
      <c r="Q213" s="25">
        <v>1155000</v>
      </c>
      <c r="R213" s="26">
        <v>105000</v>
      </c>
      <c r="S213" s="91">
        <f t="shared" si="188"/>
        <v>28.571428571428573</v>
      </c>
      <c r="T213" s="91">
        <f t="shared" si="189"/>
        <v>11</v>
      </c>
      <c r="U213" s="27" t="s">
        <v>56</v>
      </c>
      <c r="V213" s="19" t="s">
        <v>51</v>
      </c>
      <c r="W213" s="20">
        <v>45694</v>
      </c>
      <c r="X213" s="22"/>
      <c r="Y213" s="19" t="s">
        <v>52</v>
      </c>
      <c r="Z213" s="19" t="s">
        <v>52</v>
      </c>
      <c r="AA213" s="19" t="s">
        <v>52</v>
      </c>
      <c r="AB213" s="28"/>
      <c r="AC213" s="90"/>
    </row>
    <row r="214" spans="1:33" s="29" customFormat="1" ht="15" customHeight="1" x14ac:dyDescent="0.25">
      <c r="A214" s="14">
        <v>2</v>
      </c>
      <c r="B214" s="15">
        <v>45747</v>
      </c>
      <c r="C214" s="15">
        <f>B214+8</f>
        <v>45755</v>
      </c>
      <c r="D214" s="14">
        <v>12393</v>
      </c>
      <c r="E214" s="16" t="s">
        <v>152</v>
      </c>
      <c r="F214" s="17" t="s">
        <v>153</v>
      </c>
      <c r="G214" s="17" t="s">
        <v>132</v>
      </c>
      <c r="H214" s="18" t="s">
        <v>54</v>
      </c>
      <c r="I214" s="19" t="s">
        <v>135</v>
      </c>
      <c r="J214" s="20">
        <v>45672</v>
      </c>
      <c r="K214" s="20">
        <v>45716</v>
      </c>
      <c r="L214" s="21">
        <v>100000</v>
      </c>
      <c r="M214" s="22">
        <f>SUM(N214:O214)</f>
        <v>57330</v>
      </c>
      <c r="N214" s="23">
        <v>0</v>
      </c>
      <c r="O214" s="23">
        <v>57330</v>
      </c>
      <c r="P214" s="24">
        <f>L214-N214</f>
        <v>100000</v>
      </c>
      <c r="Q214" s="25">
        <v>57330</v>
      </c>
      <c r="R214" s="26">
        <v>57330</v>
      </c>
      <c r="S214" s="91">
        <f t="shared" si="188"/>
        <v>1.7442874585731729</v>
      </c>
      <c r="T214" s="91">
        <f t="shared" si="189"/>
        <v>1</v>
      </c>
      <c r="U214" s="27" t="s">
        <v>56</v>
      </c>
      <c r="V214" s="30" t="s">
        <v>59</v>
      </c>
      <c r="W214" s="31">
        <v>45743</v>
      </c>
      <c r="X214" s="22"/>
      <c r="Y214" s="19" t="s">
        <v>52</v>
      </c>
      <c r="Z214" s="19" t="s">
        <v>52</v>
      </c>
      <c r="AA214" s="19" t="s">
        <v>52</v>
      </c>
      <c r="AB214" s="28"/>
    </row>
    <row r="215" spans="1:33" s="29" customFormat="1" ht="15" customHeight="1" x14ac:dyDescent="0.25">
      <c r="A215" s="14">
        <v>14</v>
      </c>
      <c r="B215" s="15">
        <v>45747</v>
      </c>
      <c r="C215" s="15">
        <f>B215+8</f>
        <v>45755</v>
      </c>
      <c r="D215" s="14">
        <v>12493</v>
      </c>
      <c r="E215" s="16" t="s">
        <v>353</v>
      </c>
      <c r="F215" s="40" t="s">
        <v>354</v>
      </c>
      <c r="G215" s="17" t="s">
        <v>75</v>
      </c>
      <c r="H215" s="18" t="s">
        <v>78</v>
      </c>
      <c r="I215" s="19" t="s">
        <v>79</v>
      </c>
      <c r="J215" s="20">
        <v>45688</v>
      </c>
      <c r="K215" s="20">
        <v>45729</v>
      </c>
      <c r="L215" s="21">
        <v>2500000</v>
      </c>
      <c r="M215" s="22">
        <f>SUM(N215:O215)</f>
        <v>1856000</v>
      </c>
      <c r="N215" s="23">
        <v>1436000</v>
      </c>
      <c r="O215" s="23">
        <v>420000</v>
      </c>
      <c r="P215" s="24">
        <f>L215-N215</f>
        <v>1064000</v>
      </c>
      <c r="Q215" s="25">
        <v>420000</v>
      </c>
      <c r="R215" s="26">
        <v>84000</v>
      </c>
      <c r="S215" s="91">
        <f t="shared" si="188"/>
        <v>12.666666666666666</v>
      </c>
      <c r="T215" s="91">
        <f t="shared" si="189"/>
        <v>5</v>
      </c>
      <c r="U215" s="27" t="s">
        <v>56</v>
      </c>
      <c r="V215" s="19" t="s">
        <v>51</v>
      </c>
      <c r="W215" s="20">
        <v>45702</v>
      </c>
      <c r="X215" s="22"/>
      <c r="Y215" s="19" t="s">
        <v>52</v>
      </c>
      <c r="Z215" s="19" t="s">
        <v>52</v>
      </c>
      <c r="AA215" s="19" t="s">
        <v>52</v>
      </c>
      <c r="AB215" s="28"/>
      <c r="AC215" s="90"/>
    </row>
    <row r="216" spans="1:33" s="29" customFormat="1" ht="15" customHeight="1" x14ac:dyDescent="0.25">
      <c r="A216" s="14">
        <v>6</v>
      </c>
      <c r="B216" s="15">
        <v>45747</v>
      </c>
      <c r="C216" s="15">
        <f>B216+8</f>
        <v>45755</v>
      </c>
      <c r="D216" s="14">
        <v>12650</v>
      </c>
      <c r="E216" s="16" t="s">
        <v>154</v>
      </c>
      <c r="F216" s="17" t="s">
        <v>155</v>
      </c>
      <c r="G216" s="17" t="s">
        <v>132</v>
      </c>
      <c r="H216" s="18" t="s">
        <v>54</v>
      </c>
      <c r="I216" s="19" t="s">
        <v>135</v>
      </c>
      <c r="J216" s="20">
        <v>45720</v>
      </c>
      <c r="K216" s="20">
        <v>45762</v>
      </c>
      <c r="L216" s="21">
        <v>80000</v>
      </c>
      <c r="M216" s="22">
        <f>SUM(N216:O216)</f>
        <v>84670</v>
      </c>
      <c r="N216" s="23">
        <v>0</v>
      </c>
      <c r="O216" s="23">
        <v>84670</v>
      </c>
      <c r="P216" s="24">
        <f>L216-N216</f>
        <v>80000</v>
      </c>
      <c r="Q216" s="25">
        <v>84670</v>
      </c>
      <c r="R216" s="26">
        <v>57330</v>
      </c>
      <c r="S216" s="91">
        <f t="shared" si="188"/>
        <v>1.3954299668585384</v>
      </c>
      <c r="T216" s="91">
        <f t="shared" si="189"/>
        <v>1.4768881911739054</v>
      </c>
      <c r="U216" s="27" t="s">
        <v>56</v>
      </c>
      <c r="V216" s="30" t="s">
        <v>59</v>
      </c>
      <c r="W216" s="31">
        <v>45743</v>
      </c>
      <c r="X216" s="22"/>
      <c r="Y216" s="19" t="s">
        <v>52</v>
      </c>
      <c r="Z216" s="19" t="s">
        <v>52</v>
      </c>
      <c r="AA216" s="19" t="s">
        <v>52</v>
      </c>
      <c r="AB216" s="28"/>
    </row>
    <row r="217" spans="1:33" ht="15" customHeight="1" x14ac:dyDescent="0.25">
      <c r="A217" s="33" t="s">
        <v>71</v>
      </c>
      <c r="B217" s="34"/>
      <c r="C217" s="34"/>
      <c r="D217" s="34"/>
      <c r="E217" s="34"/>
      <c r="F217" s="35"/>
      <c r="G217" s="35"/>
      <c r="H217" s="34"/>
      <c r="I217" s="34"/>
      <c r="J217" s="34"/>
      <c r="K217" s="34"/>
      <c r="L217" s="36"/>
      <c r="M217" s="36"/>
      <c r="N217" s="36"/>
      <c r="O217" s="36"/>
      <c r="P217" s="36"/>
      <c r="Q217" s="36">
        <f>SUM(Q211:Q216)</f>
        <v>2082020</v>
      </c>
      <c r="R217" s="36"/>
      <c r="S217" s="92"/>
      <c r="T217" s="93">
        <f>SUM(T211:T216)</f>
        <v>20.764974610926991</v>
      </c>
      <c r="U217" s="37"/>
      <c r="V217" s="38"/>
      <c r="W217" s="38"/>
      <c r="X217" s="38"/>
      <c r="Y217" s="34"/>
      <c r="Z217" s="34"/>
      <c r="AA217" s="39"/>
      <c r="AB217" s="29" t="s">
        <v>566</v>
      </c>
      <c r="AC217" s="81" t="s">
        <v>580</v>
      </c>
      <c r="AD217" s="83">
        <v>4583.33</v>
      </c>
      <c r="AF217" s="83">
        <v>0</v>
      </c>
      <c r="AG217" s="83">
        <f>SUM(AD217,AF217)</f>
        <v>4583.33</v>
      </c>
    </row>
    <row r="218" spans="1:33" s="29" customFormat="1" ht="15" customHeight="1" x14ac:dyDescent="0.25">
      <c r="A218" s="14">
        <v>4</v>
      </c>
      <c r="B218" s="15">
        <v>45747</v>
      </c>
      <c r="C218" s="15">
        <f>B218+8</f>
        <v>45755</v>
      </c>
      <c r="D218" s="14">
        <v>12556</v>
      </c>
      <c r="E218" s="16" t="s">
        <v>372</v>
      </c>
      <c r="F218" s="17" t="s">
        <v>478</v>
      </c>
      <c r="G218" s="17" t="s">
        <v>102</v>
      </c>
      <c r="H218" s="18" t="s">
        <v>57</v>
      </c>
      <c r="I218" s="19" t="s">
        <v>58</v>
      </c>
      <c r="J218" s="20">
        <v>45698</v>
      </c>
      <c r="K218" s="20">
        <v>45733</v>
      </c>
      <c r="L218" s="21">
        <v>1500000</v>
      </c>
      <c r="M218" s="22">
        <f>SUM(N218:O218)</f>
        <v>1146000</v>
      </c>
      <c r="N218" s="23">
        <v>822000</v>
      </c>
      <c r="O218" s="23">
        <v>324000</v>
      </c>
      <c r="P218" s="24">
        <f>L218-N218</f>
        <v>678000</v>
      </c>
      <c r="Q218" s="25">
        <v>324000</v>
      </c>
      <c r="R218" s="26">
        <v>48000</v>
      </c>
      <c r="S218" s="91">
        <f t="shared" ref="S218:S222" si="190">IF(P218&gt;0,P218/$R218,0)</f>
        <v>14.125</v>
      </c>
      <c r="T218" s="91">
        <f t="shared" ref="T218:T222" si="191">IF(Q218&gt;0,Q218/$R218,0)</f>
        <v>6.75</v>
      </c>
      <c r="U218" s="27" t="s">
        <v>193</v>
      </c>
      <c r="V218" s="19" t="s">
        <v>51</v>
      </c>
      <c r="W218" s="20">
        <v>45716</v>
      </c>
      <c r="X218" s="22"/>
      <c r="Y218" s="19" t="s">
        <v>52</v>
      </c>
      <c r="Z218" s="19" t="s">
        <v>52</v>
      </c>
      <c r="AA218" s="19" t="s">
        <v>52</v>
      </c>
      <c r="AB218" s="28"/>
    </row>
    <row r="219" spans="1:33" s="29" customFormat="1" ht="15" customHeight="1" x14ac:dyDescent="0.25">
      <c r="A219" s="14">
        <v>1</v>
      </c>
      <c r="B219" s="15">
        <v>45747</v>
      </c>
      <c r="C219" s="15">
        <f>B219+8</f>
        <v>45755</v>
      </c>
      <c r="D219" s="14">
        <v>12484</v>
      </c>
      <c r="E219" s="16" t="s">
        <v>468</v>
      </c>
      <c r="F219" s="17" t="s">
        <v>469</v>
      </c>
      <c r="G219" s="17" t="s">
        <v>47</v>
      </c>
      <c r="H219" s="18" t="s">
        <v>57</v>
      </c>
      <c r="I219" s="19" t="s">
        <v>58</v>
      </c>
      <c r="J219" s="20">
        <v>45686</v>
      </c>
      <c r="K219" s="20">
        <v>45742</v>
      </c>
      <c r="L219" s="21">
        <v>2000000</v>
      </c>
      <c r="M219" s="22">
        <f t="shared" ref="M219:M222" si="192">SUM(N219:O219)</f>
        <v>524000</v>
      </c>
      <c r="N219" s="23">
        <v>0</v>
      </c>
      <c r="O219" s="23">
        <v>524000</v>
      </c>
      <c r="P219" s="24">
        <f t="shared" ref="P219" si="193">L219-N219</f>
        <v>2000000</v>
      </c>
      <c r="Q219" s="25">
        <v>524000</v>
      </c>
      <c r="R219" s="26">
        <v>96000</v>
      </c>
      <c r="S219" s="91">
        <f t="shared" si="190"/>
        <v>20.833333333333332</v>
      </c>
      <c r="T219" s="91">
        <f t="shared" si="191"/>
        <v>5.458333333333333</v>
      </c>
      <c r="U219" s="27" t="s">
        <v>193</v>
      </c>
      <c r="V219" s="19" t="s">
        <v>51</v>
      </c>
      <c r="W219" s="20">
        <v>45723</v>
      </c>
      <c r="X219" s="22"/>
      <c r="Y219" s="19" t="s">
        <v>52</v>
      </c>
      <c r="Z219" s="19" t="s">
        <v>52</v>
      </c>
      <c r="AA219" s="19" t="s">
        <v>52</v>
      </c>
      <c r="AB219" s="28"/>
    </row>
    <row r="220" spans="1:33" s="29" customFormat="1" ht="15" customHeight="1" x14ac:dyDescent="0.25">
      <c r="A220" s="14">
        <v>3</v>
      </c>
      <c r="B220" s="15">
        <v>45747</v>
      </c>
      <c r="C220" s="15">
        <f>B220+8</f>
        <v>45755</v>
      </c>
      <c r="D220" s="14">
        <v>12588</v>
      </c>
      <c r="E220" s="16" t="s">
        <v>482</v>
      </c>
      <c r="F220" s="17" t="s">
        <v>483</v>
      </c>
      <c r="G220" s="17" t="s">
        <v>47</v>
      </c>
      <c r="H220" s="18" t="s">
        <v>57</v>
      </c>
      <c r="I220" s="19" t="s">
        <v>58</v>
      </c>
      <c r="J220" s="20">
        <v>45705</v>
      </c>
      <c r="K220" s="20">
        <v>45747</v>
      </c>
      <c r="L220" s="21">
        <v>1200000</v>
      </c>
      <c r="M220" s="22">
        <f t="shared" si="192"/>
        <v>1284000</v>
      </c>
      <c r="N220" s="23">
        <v>800000</v>
      </c>
      <c r="O220" s="23">
        <v>484000</v>
      </c>
      <c r="P220" s="24">
        <f t="shared" ref="P220:P222" si="194">L220-N220</f>
        <v>400000</v>
      </c>
      <c r="Q220" s="25">
        <v>484000</v>
      </c>
      <c r="R220" s="26">
        <v>50000</v>
      </c>
      <c r="S220" s="91">
        <f t="shared" si="190"/>
        <v>8</v>
      </c>
      <c r="T220" s="91">
        <f t="shared" si="191"/>
        <v>9.68</v>
      </c>
      <c r="U220" s="27" t="s">
        <v>193</v>
      </c>
      <c r="V220" s="19" t="s">
        <v>51</v>
      </c>
      <c r="W220" s="20">
        <v>45738</v>
      </c>
      <c r="X220" s="22"/>
      <c r="Y220" s="19" t="s">
        <v>52</v>
      </c>
      <c r="Z220" s="19" t="s">
        <v>52</v>
      </c>
      <c r="AA220" s="19" t="s">
        <v>52</v>
      </c>
      <c r="AB220" s="28"/>
    </row>
    <row r="221" spans="1:33" s="29" customFormat="1" ht="15" customHeight="1" x14ac:dyDescent="0.25">
      <c r="A221" s="14">
        <v>24</v>
      </c>
      <c r="B221" s="15">
        <v>45747</v>
      </c>
      <c r="C221" s="15">
        <f>B221+8</f>
        <v>45755</v>
      </c>
      <c r="D221" s="14">
        <v>12610</v>
      </c>
      <c r="E221" s="16" t="s">
        <v>76</v>
      </c>
      <c r="F221" s="40" t="s">
        <v>77</v>
      </c>
      <c r="G221" s="17" t="s">
        <v>75</v>
      </c>
      <c r="H221" s="18" t="s">
        <v>62</v>
      </c>
      <c r="I221" s="19" t="s">
        <v>63</v>
      </c>
      <c r="J221" s="20">
        <v>45708</v>
      </c>
      <c r="K221" s="20">
        <v>45744</v>
      </c>
      <c r="L221" s="21">
        <v>500000</v>
      </c>
      <c r="M221" s="22">
        <f t="shared" si="192"/>
        <v>150000</v>
      </c>
      <c r="N221" s="23">
        <v>0</v>
      </c>
      <c r="O221" s="23">
        <v>150000</v>
      </c>
      <c r="P221" s="24">
        <f>L221-N221</f>
        <v>500000</v>
      </c>
      <c r="Q221" s="25">
        <v>150000</v>
      </c>
      <c r="R221" s="26">
        <v>150000</v>
      </c>
      <c r="S221" s="91">
        <f t="shared" si="190"/>
        <v>3.3333333333333335</v>
      </c>
      <c r="T221" s="91">
        <f t="shared" si="191"/>
        <v>1</v>
      </c>
      <c r="U221" s="27" t="s">
        <v>193</v>
      </c>
      <c r="V221" s="30" t="s">
        <v>59</v>
      </c>
      <c r="W221" s="31">
        <v>45742</v>
      </c>
      <c r="X221" s="22"/>
      <c r="Y221" s="19" t="s">
        <v>52</v>
      </c>
      <c r="Z221" s="19" t="s">
        <v>52</v>
      </c>
      <c r="AA221" s="19" t="s">
        <v>52</v>
      </c>
      <c r="AB221" s="28"/>
      <c r="AC221" s="90"/>
    </row>
    <row r="222" spans="1:33" s="29" customFormat="1" ht="15" customHeight="1" x14ac:dyDescent="0.25">
      <c r="A222" s="14">
        <v>22</v>
      </c>
      <c r="B222" s="15">
        <v>45747</v>
      </c>
      <c r="C222" s="15">
        <f t="shared" ref="C222" si="195">B222+8</f>
        <v>45755</v>
      </c>
      <c r="D222" s="14">
        <v>12615</v>
      </c>
      <c r="E222" s="16" t="s">
        <v>425</v>
      </c>
      <c r="F222" s="40" t="s">
        <v>426</v>
      </c>
      <c r="G222" s="17" t="s">
        <v>75</v>
      </c>
      <c r="H222" s="18" t="s">
        <v>57</v>
      </c>
      <c r="I222" s="19" t="s">
        <v>58</v>
      </c>
      <c r="J222" s="20">
        <v>45709</v>
      </c>
      <c r="K222" s="20">
        <v>45736</v>
      </c>
      <c r="L222" s="21">
        <v>300000</v>
      </c>
      <c r="M222" s="22">
        <f t="shared" si="192"/>
        <v>300000</v>
      </c>
      <c r="N222" s="23">
        <v>0</v>
      </c>
      <c r="O222" s="23">
        <v>300000</v>
      </c>
      <c r="P222" s="24">
        <f t="shared" si="194"/>
        <v>300000</v>
      </c>
      <c r="Q222" s="25">
        <v>300000</v>
      </c>
      <c r="R222" s="26">
        <v>150000</v>
      </c>
      <c r="S222" s="91">
        <f t="shared" si="190"/>
        <v>2</v>
      </c>
      <c r="T222" s="91">
        <f t="shared" si="191"/>
        <v>2</v>
      </c>
      <c r="U222" s="27" t="s">
        <v>193</v>
      </c>
      <c r="V222" s="30" t="s">
        <v>59</v>
      </c>
      <c r="W222" s="31">
        <v>45742</v>
      </c>
      <c r="X222" s="22"/>
      <c r="Y222" s="19" t="s">
        <v>52</v>
      </c>
      <c r="Z222" s="19" t="s">
        <v>52</v>
      </c>
      <c r="AA222" s="19" t="s">
        <v>52</v>
      </c>
      <c r="AB222" s="28"/>
      <c r="AC222" s="90"/>
    </row>
    <row r="223" spans="1:33" ht="15" customHeight="1" x14ac:dyDescent="0.25">
      <c r="A223" s="33" t="s">
        <v>71</v>
      </c>
      <c r="B223" s="34"/>
      <c r="C223" s="34"/>
      <c r="D223" s="34"/>
      <c r="E223" s="34"/>
      <c r="F223" s="35"/>
      <c r="G223" s="35"/>
      <c r="H223" s="34"/>
      <c r="I223" s="34"/>
      <c r="J223" s="34"/>
      <c r="K223" s="34"/>
      <c r="L223" s="36"/>
      <c r="M223" s="36"/>
      <c r="N223" s="36"/>
      <c r="O223" s="36"/>
      <c r="P223" s="36"/>
      <c r="Q223" s="36">
        <f>SUM(Q218:Q222)</f>
        <v>1782000</v>
      </c>
      <c r="R223" s="36"/>
      <c r="S223" s="92"/>
      <c r="T223" s="93">
        <f>SUM(T218:T222)</f>
        <v>24.888333333333332</v>
      </c>
      <c r="U223" s="37"/>
      <c r="V223" s="38"/>
      <c r="W223" s="38"/>
      <c r="X223" s="38"/>
      <c r="Y223" s="34"/>
      <c r="Z223" s="34"/>
      <c r="AA223" s="39"/>
      <c r="AB223" s="29" t="s">
        <v>567</v>
      </c>
      <c r="AC223" s="81" t="s">
        <v>568</v>
      </c>
      <c r="AD223" s="83">
        <v>5000</v>
      </c>
      <c r="AF223" s="83">
        <v>0</v>
      </c>
      <c r="AG223" s="83">
        <f>SUM(AD223,AF223)</f>
        <v>5000</v>
      </c>
    </row>
    <row r="224" spans="1:33" s="29" customFormat="1" ht="15" customHeight="1" x14ac:dyDescent="0.25">
      <c r="A224" s="14">
        <v>8</v>
      </c>
      <c r="B224" s="15">
        <v>45751</v>
      </c>
      <c r="C224" s="15">
        <f t="shared" ref="C224:C227" si="196">B224+8</f>
        <v>45759</v>
      </c>
      <c r="D224" s="14">
        <v>12407</v>
      </c>
      <c r="E224" s="16" t="s">
        <v>380</v>
      </c>
      <c r="F224" s="40" t="s">
        <v>381</v>
      </c>
      <c r="G224" s="17" t="s">
        <v>75</v>
      </c>
      <c r="H224" s="18" t="s">
        <v>78</v>
      </c>
      <c r="I224" s="19" t="s">
        <v>79</v>
      </c>
      <c r="J224" s="20">
        <v>45670</v>
      </c>
      <c r="K224" s="20">
        <v>45698</v>
      </c>
      <c r="L224" s="21">
        <v>3000000</v>
      </c>
      <c r="M224" s="22">
        <f t="shared" ref="M224:M227" si="197">SUM(N224:O224)</f>
        <v>2100000</v>
      </c>
      <c r="N224" s="23">
        <v>1155000</v>
      </c>
      <c r="O224" s="23">
        <v>945000</v>
      </c>
      <c r="P224" s="24">
        <f t="shared" ref="P224:P227" si="198">L224-N224</f>
        <v>1845000</v>
      </c>
      <c r="Q224" s="25">
        <v>945000</v>
      </c>
      <c r="R224" s="26">
        <v>105000</v>
      </c>
      <c r="S224" s="91">
        <f t="shared" ref="S224:S227" si="199">IF(P224&gt;0,P224/$R224,0)</f>
        <v>17.571428571428573</v>
      </c>
      <c r="T224" s="91">
        <f t="shared" ref="T224:T227" si="200">IF(Q224&gt;0,Q224/$R224,0)</f>
        <v>9</v>
      </c>
      <c r="U224" s="27" t="s">
        <v>56</v>
      </c>
      <c r="V224" s="19" t="s">
        <v>51</v>
      </c>
      <c r="W224" s="20">
        <v>45694</v>
      </c>
      <c r="X224" s="22"/>
      <c r="Y224" s="19" t="s">
        <v>52</v>
      </c>
      <c r="Z224" s="19" t="s">
        <v>52</v>
      </c>
      <c r="AA224" s="19" t="s">
        <v>52</v>
      </c>
      <c r="AB224" s="28"/>
      <c r="AC224" s="90"/>
    </row>
    <row r="225" spans="1:33" s="29" customFormat="1" ht="15" customHeight="1" x14ac:dyDescent="0.25">
      <c r="A225" s="14">
        <v>2</v>
      </c>
      <c r="B225" s="15">
        <v>45751</v>
      </c>
      <c r="C225" s="15">
        <f>B225+8</f>
        <v>45759</v>
      </c>
      <c r="D225" s="14">
        <v>12393</v>
      </c>
      <c r="E225" s="16" t="s">
        <v>152</v>
      </c>
      <c r="F225" s="17" t="s">
        <v>153</v>
      </c>
      <c r="G225" s="17" t="s">
        <v>132</v>
      </c>
      <c r="H225" s="18" t="s">
        <v>54</v>
      </c>
      <c r="I225" s="19" t="s">
        <v>135</v>
      </c>
      <c r="J225" s="20">
        <v>45672</v>
      </c>
      <c r="K225" s="20">
        <v>45716</v>
      </c>
      <c r="L225" s="21">
        <v>100000</v>
      </c>
      <c r="M225" s="22">
        <f>SUM(N225:O225)</f>
        <v>84160</v>
      </c>
      <c r="N225" s="23">
        <v>57330</v>
      </c>
      <c r="O225" s="23">
        <v>26830</v>
      </c>
      <c r="P225" s="24">
        <f>L225-N225</f>
        <v>42670</v>
      </c>
      <c r="Q225" s="25">
        <v>26830</v>
      </c>
      <c r="R225" s="26">
        <v>57330</v>
      </c>
      <c r="S225" s="91">
        <f t="shared" si="199"/>
        <v>0.74428745857317291</v>
      </c>
      <c r="T225" s="91">
        <f t="shared" si="200"/>
        <v>0.4679923251351823</v>
      </c>
      <c r="U225" s="27" t="s">
        <v>56</v>
      </c>
      <c r="V225" s="19" t="s">
        <v>51</v>
      </c>
      <c r="W225" s="20">
        <v>45745</v>
      </c>
      <c r="X225" s="22"/>
      <c r="Y225" s="19" t="s">
        <v>52</v>
      </c>
      <c r="Z225" s="19" t="s">
        <v>52</v>
      </c>
      <c r="AA225" s="19" t="s">
        <v>52</v>
      </c>
      <c r="AB225" s="28"/>
    </row>
    <row r="226" spans="1:33" s="29" customFormat="1" ht="15" customHeight="1" x14ac:dyDescent="0.25">
      <c r="A226" s="14">
        <v>12</v>
      </c>
      <c r="B226" s="15">
        <v>45751</v>
      </c>
      <c r="C226" s="15">
        <f t="shared" si="196"/>
        <v>45759</v>
      </c>
      <c r="D226" s="14">
        <v>12493</v>
      </c>
      <c r="E226" s="16" t="s">
        <v>353</v>
      </c>
      <c r="F226" s="40" t="s">
        <v>354</v>
      </c>
      <c r="G226" s="17" t="s">
        <v>75</v>
      </c>
      <c r="H226" s="18" t="s">
        <v>78</v>
      </c>
      <c r="I226" s="19" t="s">
        <v>79</v>
      </c>
      <c r="J226" s="20">
        <v>45688</v>
      </c>
      <c r="K226" s="20">
        <v>45729</v>
      </c>
      <c r="L226" s="21">
        <v>2500000</v>
      </c>
      <c r="M226" s="22">
        <f t="shared" si="197"/>
        <v>2516000</v>
      </c>
      <c r="N226" s="23">
        <v>1856000</v>
      </c>
      <c r="O226" s="23">
        <v>660000</v>
      </c>
      <c r="P226" s="24">
        <f t="shared" si="198"/>
        <v>644000</v>
      </c>
      <c r="Q226" s="25">
        <v>660000</v>
      </c>
      <c r="R226" s="26">
        <v>84000</v>
      </c>
      <c r="S226" s="91">
        <f t="shared" si="199"/>
        <v>7.666666666666667</v>
      </c>
      <c r="T226" s="91">
        <f t="shared" si="200"/>
        <v>7.8571428571428568</v>
      </c>
      <c r="U226" s="27" t="s">
        <v>56</v>
      </c>
      <c r="V226" s="19" t="s">
        <v>51</v>
      </c>
      <c r="W226" s="20">
        <v>45702</v>
      </c>
      <c r="X226" s="22"/>
      <c r="Y226" s="19" t="s">
        <v>52</v>
      </c>
      <c r="Z226" s="19" t="s">
        <v>52</v>
      </c>
      <c r="AA226" s="19" t="s">
        <v>52</v>
      </c>
      <c r="AB226" s="28"/>
      <c r="AC226" s="90"/>
    </row>
    <row r="227" spans="1:33" s="29" customFormat="1" ht="15" customHeight="1" x14ac:dyDescent="0.25">
      <c r="A227" s="14">
        <v>3</v>
      </c>
      <c r="B227" s="15">
        <v>45751</v>
      </c>
      <c r="C227" s="15">
        <f t="shared" si="196"/>
        <v>45759</v>
      </c>
      <c r="D227" s="14">
        <v>12431</v>
      </c>
      <c r="E227" s="16" t="s">
        <v>451</v>
      </c>
      <c r="F227" s="17" t="s">
        <v>326</v>
      </c>
      <c r="G227" s="17" t="s">
        <v>132</v>
      </c>
      <c r="H227" s="18" t="s">
        <v>54</v>
      </c>
      <c r="I227" s="19" t="s">
        <v>198</v>
      </c>
      <c r="J227" s="20">
        <v>45674</v>
      </c>
      <c r="K227" s="20">
        <v>45728</v>
      </c>
      <c r="L227" s="21">
        <v>450000</v>
      </c>
      <c r="M227" s="22">
        <f t="shared" si="197"/>
        <v>498970</v>
      </c>
      <c r="N227" s="23">
        <v>432000</v>
      </c>
      <c r="O227" s="23">
        <v>66970</v>
      </c>
      <c r="P227" s="24">
        <f t="shared" si="198"/>
        <v>18000</v>
      </c>
      <c r="Q227" s="25">
        <v>66970</v>
      </c>
      <c r="R227" s="26">
        <v>324000</v>
      </c>
      <c r="S227" s="91">
        <f t="shared" si="199"/>
        <v>5.5555555555555552E-2</v>
      </c>
      <c r="T227" s="91">
        <f t="shared" si="200"/>
        <v>0.20669753086419754</v>
      </c>
      <c r="U227" s="27" t="s">
        <v>56</v>
      </c>
      <c r="V227" s="19" t="s">
        <v>51</v>
      </c>
      <c r="W227" s="20">
        <v>45736</v>
      </c>
      <c r="X227" s="22"/>
      <c r="Y227" s="19" t="s">
        <v>52</v>
      </c>
      <c r="Z227" s="19" t="s">
        <v>52</v>
      </c>
      <c r="AA227" s="19" t="s">
        <v>52</v>
      </c>
      <c r="AB227" s="28"/>
    </row>
    <row r="228" spans="1:33" ht="15" customHeight="1" x14ac:dyDescent="0.25">
      <c r="A228" s="33" t="s">
        <v>71</v>
      </c>
      <c r="B228" s="34"/>
      <c r="C228" s="34"/>
      <c r="D228" s="34"/>
      <c r="E228" s="34"/>
      <c r="F228" s="35"/>
      <c r="G228" s="35"/>
      <c r="H228" s="34"/>
      <c r="I228" s="34"/>
      <c r="J228" s="34"/>
      <c r="K228" s="34"/>
      <c r="L228" s="36"/>
      <c r="M228" s="36"/>
      <c r="N228" s="36"/>
      <c r="O228" s="36"/>
      <c r="P228" s="36"/>
      <c r="Q228" s="36">
        <f>SUM(Q224:Q227)</f>
        <v>1698800</v>
      </c>
      <c r="R228" s="36"/>
      <c r="S228" s="92"/>
      <c r="T228" s="93">
        <f>SUM(T224:T227)</f>
        <v>17.531832713142236</v>
      </c>
      <c r="U228" s="37"/>
      <c r="V228" s="38"/>
      <c r="W228" s="38"/>
      <c r="X228" s="38"/>
      <c r="Y228" s="34"/>
      <c r="Z228" s="34"/>
      <c r="AA228" s="39"/>
      <c r="AB228" s="29" t="s">
        <v>571</v>
      </c>
      <c r="AC228" s="81" t="s">
        <v>581</v>
      </c>
      <c r="AD228" s="83">
        <v>3958.27</v>
      </c>
      <c r="AF228" s="83">
        <v>0</v>
      </c>
      <c r="AG228" s="83">
        <f>SUM(AD228,AF228)</f>
        <v>3958.27</v>
      </c>
    </row>
    <row r="229" spans="1:33" s="29" customFormat="1" ht="15" customHeight="1" x14ac:dyDescent="0.25">
      <c r="A229" s="14">
        <v>4</v>
      </c>
      <c r="B229" s="15">
        <v>45751</v>
      </c>
      <c r="C229" s="15">
        <f>B229+8</f>
        <v>45759</v>
      </c>
      <c r="D229" s="14">
        <v>12587</v>
      </c>
      <c r="E229" s="16" t="s">
        <v>331</v>
      </c>
      <c r="F229" s="17" t="s">
        <v>332</v>
      </c>
      <c r="G229" s="17" t="s">
        <v>132</v>
      </c>
      <c r="H229" s="18" t="s">
        <v>54</v>
      </c>
      <c r="I229" s="19" t="s">
        <v>135</v>
      </c>
      <c r="J229" s="20">
        <v>45707</v>
      </c>
      <c r="K229" s="20">
        <v>45740</v>
      </c>
      <c r="L229" s="21">
        <v>25000</v>
      </c>
      <c r="M229" s="22">
        <f>SUM(N229:O229)</f>
        <v>25000</v>
      </c>
      <c r="N229" s="23">
        <v>0</v>
      </c>
      <c r="O229" s="23">
        <v>25000</v>
      </c>
      <c r="P229" s="24">
        <f>L229-N229</f>
        <v>25000</v>
      </c>
      <c r="Q229" s="25">
        <v>29440</v>
      </c>
      <c r="R229" s="26">
        <v>75078</v>
      </c>
      <c r="S229" s="91">
        <f t="shared" ref="S229:S237" si="201">IF(P229&gt;0,P229/$R229,0)</f>
        <v>0.33298702682543491</v>
      </c>
      <c r="T229" s="91">
        <f t="shared" ref="T229:T237" si="202">IF(Q229&gt;0,Q229/$R229,0)</f>
        <v>0.39212552278963214</v>
      </c>
      <c r="U229" s="27" t="s">
        <v>56</v>
      </c>
      <c r="V229" s="30" t="s">
        <v>59</v>
      </c>
      <c r="W229" s="31">
        <v>45743</v>
      </c>
      <c r="X229" s="22"/>
      <c r="Y229" s="19" t="s">
        <v>52</v>
      </c>
      <c r="Z229" s="19" t="s">
        <v>52</v>
      </c>
      <c r="AA229" s="19" t="s">
        <v>52</v>
      </c>
      <c r="AB229" s="28"/>
    </row>
    <row r="230" spans="1:33" s="29" customFormat="1" ht="15" customHeight="1" x14ac:dyDescent="0.25">
      <c r="A230" s="14">
        <v>11</v>
      </c>
      <c r="B230" s="15">
        <v>45751</v>
      </c>
      <c r="C230" s="15">
        <f>B230+8</f>
        <v>45759</v>
      </c>
      <c r="D230" s="14">
        <v>11901</v>
      </c>
      <c r="E230" s="16" t="s">
        <v>470</v>
      </c>
      <c r="F230" s="40" t="s">
        <v>471</v>
      </c>
      <c r="G230" s="17" t="s">
        <v>75</v>
      </c>
      <c r="H230" s="18" t="s">
        <v>54</v>
      </c>
      <c r="I230" s="19" t="s">
        <v>421</v>
      </c>
      <c r="J230" s="20">
        <v>45686</v>
      </c>
      <c r="K230" s="20">
        <v>45719</v>
      </c>
      <c r="L230" s="21">
        <v>100000</v>
      </c>
      <c r="M230" s="22">
        <f>SUM(N230:O230)</f>
        <v>100000</v>
      </c>
      <c r="N230" s="23">
        <v>0</v>
      </c>
      <c r="O230" s="23">
        <v>100000</v>
      </c>
      <c r="P230" s="24">
        <f>L230-N230</f>
        <v>100000</v>
      </c>
      <c r="Q230" s="25">
        <v>20000</v>
      </c>
      <c r="R230" s="26">
        <v>84000</v>
      </c>
      <c r="S230" s="91">
        <f t="shared" si="201"/>
        <v>1.1904761904761905</v>
      </c>
      <c r="T230" s="91">
        <f t="shared" si="202"/>
        <v>0.23809523809523808</v>
      </c>
      <c r="U230" s="27" t="s">
        <v>56</v>
      </c>
      <c r="V230" s="19" t="s">
        <v>51</v>
      </c>
      <c r="W230" s="20">
        <v>45747</v>
      </c>
      <c r="X230" s="22"/>
      <c r="Y230" s="19" t="s">
        <v>52</v>
      </c>
      <c r="Z230" s="19" t="s">
        <v>52</v>
      </c>
      <c r="AA230" s="19" t="s">
        <v>52</v>
      </c>
      <c r="AB230" s="28"/>
      <c r="AC230" s="90"/>
    </row>
    <row r="231" spans="1:33" s="29" customFormat="1" ht="15" customHeight="1" x14ac:dyDescent="0.25">
      <c r="A231" s="14">
        <v>2</v>
      </c>
      <c r="B231" s="15">
        <v>45751</v>
      </c>
      <c r="C231" s="15">
        <f>B231+8</f>
        <v>45759</v>
      </c>
      <c r="D231" s="14">
        <v>12556</v>
      </c>
      <c r="E231" s="16" t="s">
        <v>372</v>
      </c>
      <c r="F231" s="17" t="s">
        <v>478</v>
      </c>
      <c r="G231" s="17" t="s">
        <v>102</v>
      </c>
      <c r="H231" s="18" t="s">
        <v>57</v>
      </c>
      <c r="I231" s="19" t="s">
        <v>58</v>
      </c>
      <c r="J231" s="20">
        <v>45698</v>
      </c>
      <c r="K231" s="20">
        <v>45733</v>
      </c>
      <c r="L231" s="21">
        <v>1500000</v>
      </c>
      <c r="M231" s="22">
        <f>SUM(N231:O231)</f>
        <v>1373000</v>
      </c>
      <c r="N231" s="23">
        <v>1146000</v>
      </c>
      <c r="O231" s="23">
        <v>227000</v>
      </c>
      <c r="P231" s="24">
        <f>L231-N231</f>
        <v>354000</v>
      </c>
      <c r="Q231" s="25">
        <v>227000</v>
      </c>
      <c r="R231" s="26">
        <v>48000</v>
      </c>
      <c r="S231" s="91">
        <f t="shared" si="201"/>
        <v>7.375</v>
      </c>
      <c r="T231" s="91">
        <f t="shared" si="202"/>
        <v>4.729166666666667</v>
      </c>
      <c r="U231" s="27" t="s">
        <v>193</v>
      </c>
      <c r="V231" s="19" t="s">
        <v>51</v>
      </c>
      <c r="W231" s="20">
        <v>45716</v>
      </c>
      <c r="X231" s="22"/>
      <c r="Y231" s="19" t="s">
        <v>52</v>
      </c>
      <c r="Z231" s="19" t="s">
        <v>52</v>
      </c>
      <c r="AA231" s="19" t="s">
        <v>52</v>
      </c>
      <c r="AB231" s="28"/>
    </row>
    <row r="232" spans="1:33" s="29" customFormat="1" ht="15" customHeight="1" x14ac:dyDescent="0.25">
      <c r="A232" s="14">
        <v>1</v>
      </c>
      <c r="B232" s="15">
        <v>45751</v>
      </c>
      <c r="C232" s="15">
        <f t="shared" ref="C232" si="203">B232+8</f>
        <v>45759</v>
      </c>
      <c r="D232" s="14">
        <v>12454</v>
      </c>
      <c r="E232" s="16" t="s">
        <v>365</v>
      </c>
      <c r="F232" s="40" t="s">
        <v>366</v>
      </c>
      <c r="G232" s="17" t="s">
        <v>75</v>
      </c>
      <c r="H232" s="18" t="s">
        <v>57</v>
      </c>
      <c r="I232" s="19" t="s">
        <v>58</v>
      </c>
      <c r="J232" s="20">
        <v>45681</v>
      </c>
      <c r="K232" s="20">
        <v>45733</v>
      </c>
      <c r="L232" s="21">
        <v>450000</v>
      </c>
      <c r="M232" s="22">
        <f t="shared" ref="M232" si="204">SUM(N232:O232)</f>
        <v>150000</v>
      </c>
      <c r="N232" s="23">
        <v>0</v>
      </c>
      <c r="O232" s="23">
        <v>150000</v>
      </c>
      <c r="P232" s="24">
        <f t="shared" ref="P232" si="205">L232-N232</f>
        <v>450000</v>
      </c>
      <c r="Q232" s="25">
        <v>150000</v>
      </c>
      <c r="R232" s="26">
        <v>150000</v>
      </c>
      <c r="S232" s="91">
        <f t="shared" si="201"/>
        <v>3</v>
      </c>
      <c r="T232" s="91">
        <f t="shared" si="202"/>
        <v>1</v>
      </c>
      <c r="U232" s="27" t="s">
        <v>193</v>
      </c>
      <c r="V232" s="19" t="s">
        <v>51</v>
      </c>
      <c r="W232" s="20">
        <v>45747</v>
      </c>
      <c r="X232" s="22"/>
      <c r="Y232" s="19" t="s">
        <v>52</v>
      </c>
      <c r="Z232" s="19" t="s">
        <v>52</v>
      </c>
      <c r="AA232" s="19" t="s">
        <v>52</v>
      </c>
      <c r="AB232"/>
      <c r="AC232" s="90"/>
    </row>
    <row r="233" spans="1:33" s="29" customFormat="1" ht="15" customHeight="1" x14ac:dyDescent="0.25">
      <c r="A233" s="14">
        <v>22</v>
      </c>
      <c r="B233" s="15">
        <v>45751</v>
      </c>
      <c r="C233" s="15">
        <f>B233+8</f>
        <v>45759</v>
      </c>
      <c r="D233" s="14">
        <v>12643</v>
      </c>
      <c r="E233" s="16" t="s">
        <v>392</v>
      </c>
      <c r="F233" s="40" t="s">
        <v>393</v>
      </c>
      <c r="G233" s="17" t="s">
        <v>75</v>
      </c>
      <c r="H233" s="18" t="s">
        <v>54</v>
      </c>
      <c r="I233" s="19" t="s">
        <v>64</v>
      </c>
      <c r="J233" s="20">
        <v>45715</v>
      </c>
      <c r="K233" s="20">
        <v>45757</v>
      </c>
      <c r="L233" s="21">
        <v>2000000</v>
      </c>
      <c r="M233" s="22">
        <f>SUM(N233:O233)</f>
        <v>1200000</v>
      </c>
      <c r="N233" s="23">
        <v>150000</v>
      </c>
      <c r="O233" s="23">
        <v>1050000</v>
      </c>
      <c r="P233" s="24">
        <f>L233-N233</f>
        <v>1850000</v>
      </c>
      <c r="Q233" s="25">
        <v>1050000</v>
      </c>
      <c r="R233" s="26">
        <v>150000</v>
      </c>
      <c r="S233" s="91">
        <f t="shared" si="201"/>
        <v>12.333333333333334</v>
      </c>
      <c r="T233" s="91">
        <f t="shared" si="202"/>
        <v>7</v>
      </c>
      <c r="U233" s="27" t="s">
        <v>193</v>
      </c>
      <c r="V233" s="30" t="s">
        <v>59</v>
      </c>
      <c r="W233" s="31">
        <v>45751</v>
      </c>
      <c r="X233" s="22"/>
      <c r="Y233" s="19" t="s">
        <v>52</v>
      </c>
      <c r="Z233" s="19" t="s">
        <v>52</v>
      </c>
      <c r="AA233" s="19" t="s">
        <v>52</v>
      </c>
      <c r="AB233" s="28"/>
      <c r="AC233" s="90"/>
    </row>
    <row r="234" spans="1:33" s="29" customFormat="1" ht="15" customHeight="1" x14ac:dyDescent="0.25">
      <c r="A234" s="14">
        <v>9</v>
      </c>
      <c r="B234" s="15">
        <v>45751</v>
      </c>
      <c r="C234" s="15">
        <f>B234+8</f>
        <v>45759</v>
      </c>
      <c r="D234" s="14">
        <v>12491</v>
      </c>
      <c r="E234" s="16" t="s">
        <v>556</v>
      </c>
      <c r="F234" s="40" t="s">
        <v>474</v>
      </c>
      <c r="G234" s="17" t="s">
        <v>75</v>
      </c>
      <c r="H234" s="18" t="s">
        <v>57</v>
      </c>
      <c r="I234" s="19" t="s">
        <v>58</v>
      </c>
      <c r="J234" s="20">
        <v>45688</v>
      </c>
      <c r="K234" s="20">
        <v>45708</v>
      </c>
      <c r="L234" s="21">
        <v>81000</v>
      </c>
      <c r="M234" s="22">
        <f>SUM(N234:O234)</f>
        <v>54000</v>
      </c>
      <c r="N234" s="23">
        <v>0</v>
      </c>
      <c r="O234" s="23">
        <v>54000</v>
      </c>
      <c r="P234" s="24">
        <f>L234-N234</f>
        <v>81000</v>
      </c>
      <c r="Q234" s="25">
        <v>54000</v>
      </c>
      <c r="R234" s="26">
        <v>150000</v>
      </c>
      <c r="S234" s="91">
        <f t="shared" si="201"/>
        <v>0.54</v>
      </c>
      <c r="T234" s="91">
        <f t="shared" si="202"/>
        <v>0.36</v>
      </c>
      <c r="U234" s="27" t="s">
        <v>193</v>
      </c>
      <c r="V234" s="19" t="s">
        <v>51</v>
      </c>
      <c r="W234" s="20">
        <v>45740</v>
      </c>
      <c r="X234" s="22"/>
      <c r="Y234" s="19" t="s">
        <v>52</v>
      </c>
      <c r="Z234" s="19" t="s">
        <v>52</v>
      </c>
      <c r="AA234" s="19" t="s">
        <v>52</v>
      </c>
      <c r="AB234" s="28"/>
      <c r="AC234" s="90"/>
    </row>
    <row r="235" spans="1:33" s="29" customFormat="1" ht="15" customHeight="1" x14ac:dyDescent="0.25">
      <c r="A235" s="14">
        <v>4</v>
      </c>
      <c r="B235" s="15">
        <v>45751</v>
      </c>
      <c r="C235" s="15">
        <f>B235+8</f>
        <v>45759</v>
      </c>
      <c r="D235" s="14">
        <v>12592</v>
      </c>
      <c r="E235" s="16" t="s">
        <v>485</v>
      </c>
      <c r="F235" s="17" t="s">
        <v>486</v>
      </c>
      <c r="G235" s="17" t="s">
        <v>47</v>
      </c>
      <c r="H235" s="18" t="s">
        <v>57</v>
      </c>
      <c r="I235" s="19" t="s">
        <v>58</v>
      </c>
      <c r="J235" s="20">
        <v>45706</v>
      </c>
      <c r="K235" s="20">
        <v>45747</v>
      </c>
      <c r="L235" s="21">
        <v>250000</v>
      </c>
      <c r="M235" s="22">
        <f>SUM(N235:O235)</f>
        <v>168000</v>
      </c>
      <c r="N235" s="23">
        <v>0</v>
      </c>
      <c r="O235" s="23">
        <v>168000</v>
      </c>
      <c r="P235" s="24">
        <f>L235-N235</f>
        <v>250000</v>
      </c>
      <c r="Q235" s="25">
        <v>168000</v>
      </c>
      <c r="R235" s="26">
        <v>42000</v>
      </c>
      <c r="S235" s="91">
        <f t="shared" si="201"/>
        <v>5.9523809523809526</v>
      </c>
      <c r="T235" s="91">
        <f t="shared" si="202"/>
        <v>4</v>
      </c>
      <c r="U235" s="27" t="s">
        <v>193</v>
      </c>
      <c r="V235" s="19" t="s">
        <v>51</v>
      </c>
      <c r="W235" s="20">
        <v>45747</v>
      </c>
      <c r="X235" s="22"/>
      <c r="Y235" s="19" t="s">
        <v>52</v>
      </c>
      <c r="Z235" s="19" t="s">
        <v>52</v>
      </c>
      <c r="AA235" s="19" t="s">
        <v>52</v>
      </c>
      <c r="AB235" s="28"/>
    </row>
    <row r="236" spans="1:33" s="29" customFormat="1" ht="15" customHeight="1" x14ac:dyDescent="0.25">
      <c r="A236" s="14">
        <v>4</v>
      </c>
      <c r="B236" s="15">
        <v>45751</v>
      </c>
      <c r="C236" s="15">
        <f>B236+8</f>
        <v>45759</v>
      </c>
      <c r="D236" s="14">
        <v>12671</v>
      </c>
      <c r="E236" s="16" t="s">
        <v>244</v>
      </c>
      <c r="F236" s="17" t="s">
        <v>243</v>
      </c>
      <c r="G236" s="17" t="s">
        <v>102</v>
      </c>
      <c r="H236" s="18" t="s">
        <v>62</v>
      </c>
      <c r="I236" s="19" t="s">
        <v>63</v>
      </c>
      <c r="J236" s="20">
        <v>45728</v>
      </c>
      <c r="K236" s="20">
        <v>45756</v>
      </c>
      <c r="L236" s="21">
        <v>400000</v>
      </c>
      <c r="M236" s="22">
        <f t="shared" ref="M236" si="206">SUM(N236:O236)</f>
        <v>396000</v>
      </c>
      <c r="N236" s="23">
        <v>0</v>
      </c>
      <c r="O236" s="23">
        <v>396000</v>
      </c>
      <c r="P236" s="24">
        <f>L236-N236</f>
        <v>400000</v>
      </c>
      <c r="Q236" s="25">
        <v>396000</v>
      </c>
      <c r="R236" s="26">
        <v>84000</v>
      </c>
      <c r="S236" s="91">
        <f t="shared" si="201"/>
        <v>4.7619047619047619</v>
      </c>
      <c r="T236" s="91">
        <f t="shared" si="202"/>
        <v>4.7142857142857144</v>
      </c>
      <c r="U236" s="27" t="s">
        <v>193</v>
      </c>
      <c r="V236" s="30" t="s">
        <v>59</v>
      </c>
      <c r="W236" s="31">
        <v>45751</v>
      </c>
      <c r="X236" s="22"/>
      <c r="Y236" s="19" t="s">
        <v>52</v>
      </c>
      <c r="Z236" s="19" t="s">
        <v>52</v>
      </c>
      <c r="AA236" s="19" t="s">
        <v>52</v>
      </c>
      <c r="AB236" s="28"/>
    </row>
    <row r="237" spans="1:33" s="29" customFormat="1" ht="15" customHeight="1" x14ac:dyDescent="0.25">
      <c r="A237" s="14">
        <v>20</v>
      </c>
      <c r="B237" s="15">
        <v>45751</v>
      </c>
      <c r="C237" s="15">
        <f t="shared" ref="C237" si="207">B237+8</f>
        <v>45759</v>
      </c>
      <c r="D237" s="14">
        <v>12697</v>
      </c>
      <c r="E237" s="16" t="s">
        <v>125</v>
      </c>
      <c r="F237" s="40" t="s">
        <v>126</v>
      </c>
      <c r="G237" s="17" t="s">
        <v>75</v>
      </c>
      <c r="H237" s="18" t="s">
        <v>57</v>
      </c>
      <c r="I237" s="19" t="s">
        <v>94</v>
      </c>
      <c r="J237" s="20">
        <v>45733</v>
      </c>
      <c r="K237" s="20">
        <v>45751</v>
      </c>
      <c r="L237" s="21">
        <v>350000</v>
      </c>
      <c r="M237" s="22">
        <f t="shared" ref="M237" si="208">SUM(N237:O237)</f>
        <v>376000</v>
      </c>
      <c r="N237" s="23">
        <v>0</v>
      </c>
      <c r="O237" s="23">
        <v>376000</v>
      </c>
      <c r="P237" s="24">
        <f t="shared" ref="P237" si="209">L237-N237</f>
        <v>350000</v>
      </c>
      <c r="Q237" s="25">
        <v>150000</v>
      </c>
      <c r="R237" s="26">
        <v>50000</v>
      </c>
      <c r="S237" s="91">
        <f t="shared" si="201"/>
        <v>7</v>
      </c>
      <c r="T237" s="91">
        <f t="shared" si="202"/>
        <v>3</v>
      </c>
      <c r="U237" s="27" t="s">
        <v>50</v>
      </c>
      <c r="V237" s="30" t="s">
        <v>68</v>
      </c>
      <c r="W237" s="31" t="s">
        <v>68</v>
      </c>
      <c r="X237" s="22"/>
      <c r="Y237" s="19" t="s">
        <v>52</v>
      </c>
      <c r="Z237" s="19" t="s">
        <v>52</v>
      </c>
      <c r="AA237" s="19" t="s">
        <v>52</v>
      </c>
      <c r="AB237" s="28"/>
      <c r="AC237" s="90"/>
    </row>
    <row r="238" spans="1:33" ht="15" customHeight="1" x14ac:dyDescent="0.25">
      <c r="A238" s="33" t="s">
        <v>71</v>
      </c>
      <c r="B238" s="34"/>
      <c r="C238" s="34"/>
      <c r="D238" s="34"/>
      <c r="E238" s="34"/>
      <c r="F238" s="35"/>
      <c r="G238" s="35"/>
      <c r="H238" s="34"/>
      <c r="I238" s="34"/>
      <c r="J238" s="34"/>
      <c r="K238" s="34"/>
      <c r="L238" s="36"/>
      <c r="M238" s="36"/>
      <c r="N238" s="36"/>
      <c r="O238" s="36"/>
      <c r="P238" s="36"/>
      <c r="Q238" s="36">
        <f>SUM(Q229:Q237)</f>
        <v>2244440</v>
      </c>
      <c r="R238" s="36"/>
      <c r="S238" s="92"/>
      <c r="T238" s="93">
        <f>SUM(T229:T237)</f>
        <v>25.433673141837254</v>
      </c>
      <c r="U238" s="37"/>
      <c r="V238" s="38"/>
      <c r="W238" s="38"/>
      <c r="X238" s="38"/>
      <c r="Y238" s="34"/>
      <c r="Z238" s="34"/>
      <c r="AA238" s="39"/>
      <c r="AB238" s="29" t="s">
        <v>572</v>
      </c>
      <c r="AC238" s="81" t="s">
        <v>576</v>
      </c>
      <c r="AD238" s="83">
        <v>5000</v>
      </c>
      <c r="AF238" s="83">
        <v>0</v>
      </c>
      <c r="AG238" s="83">
        <f>SUM(AD238,AF238)</f>
        <v>5000</v>
      </c>
    </row>
    <row r="239" spans="1:33" s="29" customFormat="1" ht="15" customHeight="1" x14ac:dyDescent="0.25">
      <c r="A239" s="14">
        <v>4</v>
      </c>
      <c r="B239" s="15">
        <v>45754</v>
      </c>
      <c r="C239" s="15">
        <f>B239+8</f>
        <v>45762</v>
      </c>
      <c r="D239" s="14">
        <v>12265</v>
      </c>
      <c r="E239" s="16" t="s">
        <v>430</v>
      </c>
      <c r="F239" s="40" t="s">
        <v>431</v>
      </c>
      <c r="G239" s="17" t="s">
        <v>75</v>
      </c>
      <c r="H239" s="18" t="s">
        <v>257</v>
      </c>
      <c r="I239" s="19" t="s">
        <v>70</v>
      </c>
      <c r="J239" s="20">
        <v>45643</v>
      </c>
      <c r="K239" s="20">
        <v>45670</v>
      </c>
      <c r="L239" s="21">
        <v>2000000</v>
      </c>
      <c r="M239" s="22">
        <f>SUM(N239:O239)</f>
        <v>1929000</v>
      </c>
      <c r="N239" s="23">
        <v>1602000</v>
      </c>
      <c r="O239" s="23">
        <v>327000</v>
      </c>
      <c r="P239" s="24">
        <f>L239-N239</f>
        <v>398000</v>
      </c>
      <c r="Q239" s="25">
        <v>327000</v>
      </c>
      <c r="R239" s="26">
        <v>150000</v>
      </c>
      <c r="S239" s="91">
        <f t="shared" ref="S239:S244" si="210">IF(P239&gt;0,P239/$R239,0)</f>
        <v>2.6533333333333333</v>
      </c>
      <c r="T239" s="91">
        <f t="shared" ref="T239:T244" si="211">IF(Q239&gt;0,Q239/$R239,0)</f>
        <v>2.1800000000000002</v>
      </c>
      <c r="U239" s="27" t="s">
        <v>193</v>
      </c>
      <c r="V239" s="19" t="s">
        <v>51</v>
      </c>
      <c r="W239" s="20">
        <v>45684</v>
      </c>
      <c r="X239" s="22"/>
      <c r="Y239" s="19" t="s">
        <v>52</v>
      </c>
      <c r="Z239" s="19" t="s">
        <v>52</v>
      </c>
      <c r="AA239" s="19" t="s">
        <v>52</v>
      </c>
      <c r="AB239" s="28"/>
      <c r="AC239" s="90"/>
    </row>
    <row r="240" spans="1:33" s="29" customFormat="1" ht="15" customHeight="1" x14ac:dyDescent="0.25">
      <c r="A240" s="14">
        <v>14</v>
      </c>
      <c r="B240" s="15">
        <v>45754</v>
      </c>
      <c r="C240" s="15">
        <f>B240+8</f>
        <v>45762</v>
      </c>
      <c r="D240" s="14">
        <v>12549</v>
      </c>
      <c r="E240" s="16" t="s">
        <v>89</v>
      </c>
      <c r="F240" s="40" t="s">
        <v>90</v>
      </c>
      <c r="G240" s="17" t="s">
        <v>75</v>
      </c>
      <c r="H240" s="18" t="s">
        <v>257</v>
      </c>
      <c r="I240" s="19" t="s">
        <v>70</v>
      </c>
      <c r="J240" s="20">
        <v>45694</v>
      </c>
      <c r="K240" s="20">
        <v>45736</v>
      </c>
      <c r="L240" s="21">
        <v>2000000</v>
      </c>
      <c r="M240" s="22">
        <f>SUM(N240:O240)</f>
        <v>2079000</v>
      </c>
      <c r="N240" s="23">
        <v>750000</v>
      </c>
      <c r="O240" s="23">
        <v>1329000</v>
      </c>
      <c r="P240" s="24">
        <f>L240-N240</f>
        <v>1250000</v>
      </c>
      <c r="Q240" s="25">
        <v>1329000</v>
      </c>
      <c r="R240" s="26">
        <v>150000</v>
      </c>
      <c r="S240" s="91">
        <f t="shared" si="210"/>
        <v>8.3333333333333339</v>
      </c>
      <c r="T240" s="91">
        <f t="shared" si="211"/>
        <v>8.86</v>
      </c>
      <c r="U240" s="27" t="s">
        <v>193</v>
      </c>
      <c r="V240" s="19" t="s">
        <v>51</v>
      </c>
      <c r="W240" s="20">
        <v>45728</v>
      </c>
      <c r="X240" s="22"/>
      <c r="Y240" s="19" t="s">
        <v>52</v>
      </c>
      <c r="Z240" s="19" t="s">
        <v>52</v>
      </c>
      <c r="AA240" s="19" t="s">
        <v>52</v>
      </c>
      <c r="AB240" s="28"/>
      <c r="AC240" s="90"/>
    </row>
    <row r="241" spans="1:33" s="29" customFormat="1" ht="15" customHeight="1" x14ac:dyDescent="0.25">
      <c r="A241" s="14">
        <v>19</v>
      </c>
      <c r="B241" s="15">
        <v>45754</v>
      </c>
      <c r="C241" s="15">
        <f>B241+8</f>
        <v>45762</v>
      </c>
      <c r="D241" s="14">
        <v>12672</v>
      </c>
      <c r="E241" s="16" t="s">
        <v>295</v>
      </c>
      <c r="F241" s="40" t="s">
        <v>296</v>
      </c>
      <c r="G241" s="17" t="s">
        <v>75</v>
      </c>
      <c r="H241" s="18" t="s">
        <v>257</v>
      </c>
      <c r="I241" s="19" t="s">
        <v>49</v>
      </c>
      <c r="J241" s="20">
        <v>45723</v>
      </c>
      <c r="K241" s="20">
        <v>45747</v>
      </c>
      <c r="L241" s="21">
        <v>2000000</v>
      </c>
      <c r="M241" s="22">
        <f>SUM(N241:O241)</f>
        <v>1797000</v>
      </c>
      <c r="N241" s="23">
        <v>900000</v>
      </c>
      <c r="O241" s="23">
        <v>897000</v>
      </c>
      <c r="P241" s="24">
        <f>L241-N241</f>
        <v>1100000</v>
      </c>
      <c r="Q241" s="25">
        <v>897000</v>
      </c>
      <c r="R241" s="26">
        <v>150000</v>
      </c>
      <c r="S241" s="91">
        <f t="shared" si="210"/>
        <v>7.333333333333333</v>
      </c>
      <c r="T241" s="91">
        <f t="shared" si="211"/>
        <v>5.98</v>
      </c>
      <c r="U241" s="27" t="s">
        <v>193</v>
      </c>
      <c r="V241" s="19" t="s">
        <v>51</v>
      </c>
      <c r="W241" s="20">
        <v>45730</v>
      </c>
      <c r="X241" s="22"/>
      <c r="Y241" s="19" t="s">
        <v>52</v>
      </c>
      <c r="Z241" s="19" t="s">
        <v>52</v>
      </c>
      <c r="AA241" s="19" t="s">
        <v>52</v>
      </c>
      <c r="AB241" s="28"/>
      <c r="AC241" s="90"/>
    </row>
    <row r="242" spans="1:33" s="29" customFormat="1" ht="15" customHeight="1" x14ac:dyDescent="0.25">
      <c r="A242" s="14">
        <v>3</v>
      </c>
      <c r="B242" s="15">
        <v>45754</v>
      </c>
      <c r="C242" s="15">
        <f>B242+8</f>
        <v>45762</v>
      </c>
      <c r="D242" s="14">
        <v>12667</v>
      </c>
      <c r="E242" s="16" t="s">
        <v>466</v>
      </c>
      <c r="F242" s="17" t="s">
        <v>467</v>
      </c>
      <c r="G242" s="17" t="s">
        <v>102</v>
      </c>
      <c r="H242" s="18" t="s">
        <v>57</v>
      </c>
      <c r="I242" s="19" t="s">
        <v>58</v>
      </c>
      <c r="J242" s="20">
        <v>45723</v>
      </c>
      <c r="K242" s="20">
        <v>45751</v>
      </c>
      <c r="L242" s="21">
        <v>1000000</v>
      </c>
      <c r="M242" s="22">
        <f>SUM(N242:O242)</f>
        <v>100000</v>
      </c>
      <c r="N242" s="23">
        <v>0</v>
      </c>
      <c r="O242" s="23">
        <v>100000</v>
      </c>
      <c r="P242" s="24">
        <f>L242-N242</f>
        <v>1000000</v>
      </c>
      <c r="Q242" s="25">
        <v>100000</v>
      </c>
      <c r="R242" s="26">
        <v>50000</v>
      </c>
      <c r="S242" s="91">
        <f t="shared" si="210"/>
        <v>20</v>
      </c>
      <c r="T242" s="91">
        <f t="shared" si="211"/>
        <v>2</v>
      </c>
      <c r="U242" s="27" t="s">
        <v>193</v>
      </c>
      <c r="V242" s="30" t="s">
        <v>59</v>
      </c>
      <c r="W242" s="31">
        <v>45751</v>
      </c>
      <c r="X242" s="22"/>
      <c r="Y242" s="19" t="s">
        <v>52</v>
      </c>
      <c r="Z242" s="19" t="s">
        <v>52</v>
      </c>
      <c r="AA242" s="19" t="s">
        <v>52</v>
      </c>
      <c r="AB242" s="28"/>
    </row>
    <row r="243" spans="1:33" s="29" customFormat="1" ht="15" customHeight="1" x14ac:dyDescent="0.25">
      <c r="A243" s="14">
        <v>6</v>
      </c>
      <c r="B243" s="15">
        <v>45754</v>
      </c>
      <c r="C243" s="15">
        <f>B243+8</f>
        <v>45762</v>
      </c>
      <c r="D243" s="14">
        <v>12693</v>
      </c>
      <c r="E243" s="16" t="s">
        <v>537</v>
      </c>
      <c r="F243" s="17" t="s">
        <v>538</v>
      </c>
      <c r="G243" s="17" t="s">
        <v>102</v>
      </c>
      <c r="H243" s="18" t="s">
        <v>57</v>
      </c>
      <c r="I243" s="19" t="s">
        <v>58</v>
      </c>
      <c r="J243" s="20">
        <v>45734</v>
      </c>
      <c r="K243" s="20">
        <v>45757</v>
      </c>
      <c r="L243" s="21">
        <v>300000</v>
      </c>
      <c r="M243" s="22">
        <f>SUM(N243:O243)</f>
        <v>100000</v>
      </c>
      <c r="N243" s="23">
        <v>0</v>
      </c>
      <c r="O243" s="23">
        <v>100000</v>
      </c>
      <c r="P243" s="24">
        <f>L243-N243</f>
        <v>300000</v>
      </c>
      <c r="Q243" s="25">
        <v>100000</v>
      </c>
      <c r="R243" s="26">
        <v>100000</v>
      </c>
      <c r="S243" s="91">
        <f t="shared" si="210"/>
        <v>3</v>
      </c>
      <c r="T243" s="91">
        <f t="shared" si="211"/>
        <v>1</v>
      </c>
      <c r="U243" s="27" t="s">
        <v>193</v>
      </c>
      <c r="V243" s="30" t="s">
        <v>59</v>
      </c>
      <c r="W243" s="31">
        <v>45757</v>
      </c>
      <c r="X243" s="22"/>
      <c r="Y243" s="19" t="s">
        <v>52</v>
      </c>
      <c r="Z243" s="19" t="s">
        <v>52</v>
      </c>
      <c r="AA243" s="19" t="s">
        <v>52</v>
      </c>
      <c r="AB243" s="28"/>
    </row>
    <row r="244" spans="1:33" s="29" customFormat="1" ht="15" customHeight="1" x14ac:dyDescent="0.25">
      <c r="A244" s="14">
        <v>6</v>
      </c>
      <c r="B244" s="15">
        <v>45754</v>
      </c>
      <c r="C244" s="15">
        <f t="shared" ref="C244" si="212">B244+8</f>
        <v>45762</v>
      </c>
      <c r="D244" s="14">
        <v>12676</v>
      </c>
      <c r="E244" s="16" t="s">
        <v>527</v>
      </c>
      <c r="F244" s="17" t="s">
        <v>528</v>
      </c>
      <c r="G244" s="17" t="s">
        <v>47</v>
      </c>
      <c r="H244" s="18" t="s">
        <v>62</v>
      </c>
      <c r="I244" s="19" t="s">
        <v>63</v>
      </c>
      <c r="J244" s="20">
        <v>45728</v>
      </c>
      <c r="K244" s="20">
        <v>45751</v>
      </c>
      <c r="L244" s="21">
        <v>100000</v>
      </c>
      <c r="M244" s="22">
        <f t="shared" ref="M244" si="213">SUM(N244:O244)</f>
        <v>112000</v>
      </c>
      <c r="N244" s="23">
        <v>0</v>
      </c>
      <c r="O244" s="23">
        <v>112000</v>
      </c>
      <c r="P244" s="24">
        <f t="shared" ref="P244" si="214">L244-N244</f>
        <v>100000</v>
      </c>
      <c r="Q244" s="25">
        <v>112000</v>
      </c>
      <c r="R244" s="26">
        <v>60000</v>
      </c>
      <c r="S244" s="91">
        <f t="shared" si="210"/>
        <v>1.6666666666666667</v>
      </c>
      <c r="T244" s="91">
        <f t="shared" si="211"/>
        <v>1.8666666666666667</v>
      </c>
      <c r="U244" s="27" t="s">
        <v>193</v>
      </c>
      <c r="V244" s="30" t="s">
        <v>59</v>
      </c>
      <c r="W244" s="31">
        <v>45749</v>
      </c>
      <c r="X244" s="22"/>
      <c r="Y244" s="19" t="s">
        <v>52</v>
      </c>
      <c r="Z244" s="19" t="s">
        <v>52</v>
      </c>
      <c r="AA244" s="19" t="s">
        <v>52</v>
      </c>
      <c r="AB244" s="42"/>
    </row>
    <row r="245" spans="1:33" ht="15" customHeight="1" x14ac:dyDescent="0.25">
      <c r="A245" s="33" t="s">
        <v>71</v>
      </c>
      <c r="B245" s="34"/>
      <c r="C245" s="34"/>
      <c r="D245" s="34"/>
      <c r="E245" s="34"/>
      <c r="F245" s="35"/>
      <c r="G245" s="35"/>
      <c r="H245" s="34"/>
      <c r="I245" s="34"/>
      <c r="J245" s="34"/>
      <c r="K245" s="34"/>
      <c r="L245" s="36"/>
      <c r="M245" s="36"/>
      <c r="N245" s="36"/>
      <c r="O245" s="36"/>
      <c r="P245" s="36"/>
      <c r="Q245" s="36">
        <f>SUM(Q239:Q244)</f>
        <v>2865000</v>
      </c>
      <c r="R245" s="36"/>
      <c r="S245" s="92"/>
      <c r="T245" s="93">
        <f>SUM(T239:T244)</f>
        <v>21.886666666666667</v>
      </c>
      <c r="U245" s="37"/>
      <c r="V245" s="38"/>
      <c r="W245" s="38"/>
      <c r="X245" s="38"/>
      <c r="Y245" s="34"/>
      <c r="Z245" s="34"/>
      <c r="AA245" s="39"/>
      <c r="AB245" s="29" t="s">
        <v>573</v>
      </c>
      <c r="AC245" s="81" t="s">
        <v>582</v>
      </c>
      <c r="AD245" s="83">
        <v>4791.67</v>
      </c>
      <c r="AF245" s="83">
        <v>0</v>
      </c>
      <c r="AG245" s="83">
        <f>SUM(AD245,AF245)</f>
        <v>4791.67</v>
      </c>
    </row>
    <row r="246" spans="1:33" s="29" customFormat="1" ht="15" customHeight="1" x14ac:dyDescent="0.25">
      <c r="A246" s="14">
        <v>8</v>
      </c>
      <c r="B246" s="15">
        <v>45755</v>
      </c>
      <c r="C246" s="15">
        <f>B246+8</f>
        <v>45763</v>
      </c>
      <c r="D246" s="14">
        <v>12407</v>
      </c>
      <c r="E246" s="16" t="s">
        <v>380</v>
      </c>
      <c r="F246" s="40" t="s">
        <v>381</v>
      </c>
      <c r="G246" s="17" t="s">
        <v>75</v>
      </c>
      <c r="H246" s="18" t="s">
        <v>78</v>
      </c>
      <c r="I246" s="19" t="s">
        <v>79</v>
      </c>
      <c r="J246" s="20">
        <v>45670</v>
      </c>
      <c r="K246" s="20">
        <v>45698</v>
      </c>
      <c r="L246" s="21">
        <v>3000000</v>
      </c>
      <c r="M246" s="22">
        <f>SUM(N246:O246)</f>
        <v>2250000</v>
      </c>
      <c r="N246" s="23">
        <v>1155000</v>
      </c>
      <c r="O246" s="23">
        <v>1095000</v>
      </c>
      <c r="P246" s="24">
        <f>L246-N246</f>
        <v>1845000</v>
      </c>
      <c r="Q246" s="25">
        <v>1095000</v>
      </c>
      <c r="R246" s="26">
        <v>105000</v>
      </c>
      <c r="S246" s="91">
        <f t="shared" ref="S246:S251" si="215">IF(P246&gt;0,P246/$R246,0)</f>
        <v>17.571428571428573</v>
      </c>
      <c r="T246" s="91">
        <f t="shared" ref="T246:T251" si="216">IF(Q246&gt;0,Q246/$R246,0)</f>
        <v>10.428571428571429</v>
      </c>
      <c r="U246" s="27" t="s">
        <v>56</v>
      </c>
      <c r="V246" s="19" t="s">
        <v>51</v>
      </c>
      <c r="W246" s="20">
        <v>45694</v>
      </c>
      <c r="X246" s="22"/>
      <c r="Y246" s="19" t="s">
        <v>52</v>
      </c>
      <c r="Z246" s="19" t="s">
        <v>52</v>
      </c>
      <c r="AA246" s="19" t="s">
        <v>52</v>
      </c>
      <c r="AB246" s="28"/>
      <c r="AC246" s="90"/>
    </row>
    <row r="247" spans="1:33" s="29" customFormat="1" ht="15" customHeight="1" x14ac:dyDescent="0.25">
      <c r="A247" s="14">
        <v>2</v>
      </c>
      <c r="B247" s="15">
        <v>45755</v>
      </c>
      <c r="C247" s="15">
        <f t="shared" ref="C247" si="217">B247+8</f>
        <v>45763</v>
      </c>
      <c r="D247" s="14">
        <v>12625</v>
      </c>
      <c r="E247" s="16" t="s">
        <v>263</v>
      </c>
      <c r="F247" s="17" t="s">
        <v>264</v>
      </c>
      <c r="G247" s="17" t="s">
        <v>47</v>
      </c>
      <c r="H247" s="18" t="s">
        <v>54</v>
      </c>
      <c r="I247" s="19" t="s">
        <v>55</v>
      </c>
      <c r="J247" s="20">
        <v>45713</v>
      </c>
      <c r="K247" s="20">
        <v>45740</v>
      </c>
      <c r="L247" s="21">
        <v>400000</v>
      </c>
      <c r="M247" s="22">
        <f t="shared" ref="M247" si="218">SUM(N247:O247)</f>
        <v>428000</v>
      </c>
      <c r="N247" s="23">
        <v>309000</v>
      </c>
      <c r="O247" s="23">
        <v>119000</v>
      </c>
      <c r="P247" s="24">
        <f t="shared" ref="P247:P250" si="219">L247-N247</f>
        <v>91000</v>
      </c>
      <c r="Q247" s="25">
        <v>119000</v>
      </c>
      <c r="R247" s="26">
        <v>50000</v>
      </c>
      <c r="S247" s="91">
        <f t="shared" si="215"/>
        <v>1.82</v>
      </c>
      <c r="T247" s="91">
        <f t="shared" si="216"/>
        <v>2.38</v>
      </c>
      <c r="U247" s="27" t="s">
        <v>56</v>
      </c>
      <c r="V247" s="19" t="s">
        <v>51</v>
      </c>
      <c r="W247" s="20">
        <v>45731</v>
      </c>
      <c r="X247" s="22"/>
      <c r="Y247" s="19" t="s">
        <v>52</v>
      </c>
      <c r="Z247" s="19" t="s">
        <v>52</v>
      </c>
      <c r="AA247" s="19" t="s">
        <v>52</v>
      </c>
      <c r="AB247" s="28"/>
    </row>
    <row r="248" spans="1:33" s="29" customFormat="1" ht="15" customHeight="1" x14ac:dyDescent="0.25">
      <c r="A248" s="14">
        <v>6</v>
      </c>
      <c r="B248" s="15">
        <v>45755</v>
      </c>
      <c r="C248" s="15">
        <f>B248+8</f>
        <v>45763</v>
      </c>
      <c r="D248" s="14">
        <v>12649</v>
      </c>
      <c r="E248" s="16" t="s">
        <v>305</v>
      </c>
      <c r="F248" s="17" t="s">
        <v>306</v>
      </c>
      <c r="G248" s="17" t="s">
        <v>132</v>
      </c>
      <c r="H248" s="18" t="s">
        <v>54</v>
      </c>
      <c r="I248" s="19" t="s">
        <v>135</v>
      </c>
      <c r="J248" s="20">
        <v>45720</v>
      </c>
      <c r="K248" s="20">
        <v>45762</v>
      </c>
      <c r="L248" s="21">
        <v>25000</v>
      </c>
      <c r="M248" s="22">
        <f>SUM(N248:O248)</f>
        <v>37930</v>
      </c>
      <c r="N248" s="23">
        <v>0</v>
      </c>
      <c r="O248" s="23">
        <v>37930</v>
      </c>
      <c r="P248" s="24">
        <f>L248-N248</f>
        <v>25000</v>
      </c>
      <c r="Q248" s="25">
        <v>37420</v>
      </c>
      <c r="R248" s="26">
        <v>75078</v>
      </c>
      <c r="S248" s="91">
        <f t="shared" si="215"/>
        <v>0.33298702682543491</v>
      </c>
      <c r="T248" s="91">
        <f t="shared" si="216"/>
        <v>0.49841498175231091</v>
      </c>
      <c r="U248" s="27" t="s">
        <v>56</v>
      </c>
      <c r="V248" s="30" t="s">
        <v>59</v>
      </c>
      <c r="W248" s="31">
        <v>45750</v>
      </c>
      <c r="X248" s="22"/>
      <c r="Y248" s="19" t="s">
        <v>52</v>
      </c>
      <c r="Z248" s="19" t="s">
        <v>52</v>
      </c>
      <c r="AA248" s="19" t="s">
        <v>52</v>
      </c>
      <c r="AB248" s="28"/>
    </row>
    <row r="249" spans="1:33" s="29" customFormat="1" ht="15" customHeight="1" x14ac:dyDescent="0.25">
      <c r="A249" s="14">
        <v>8</v>
      </c>
      <c r="B249" s="15">
        <v>45755</v>
      </c>
      <c r="C249" s="15">
        <f>B249+8</f>
        <v>45763</v>
      </c>
      <c r="D249" s="14">
        <v>12703</v>
      </c>
      <c r="E249" s="16" t="s">
        <v>307</v>
      </c>
      <c r="F249" s="17" t="s">
        <v>308</v>
      </c>
      <c r="G249" s="17" t="s">
        <v>132</v>
      </c>
      <c r="H249" s="18" t="s">
        <v>133</v>
      </c>
      <c r="I249" s="19" t="s">
        <v>198</v>
      </c>
      <c r="J249" s="20">
        <v>45737</v>
      </c>
      <c r="K249" s="20">
        <v>45784</v>
      </c>
      <c r="L249" s="21">
        <v>400000</v>
      </c>
      <c r="M249" s="22">
        <f t="shared" ref="M249:M251" si="220">SUM(N249:O249)</f>
        <v>192000</v>
      </c>
      <c r="N249" s="23">
        <v>0</v>
      </c>
      <c r="O249" s="23">
        <v>192000</v>
      </c>
      <c r="P249" s="24">
        <f t="shared" si="219"/>
        <v>400000</v>
      </c>
      <c r="Q249" s="25">
        <v>192000</v>
      </c>
      <c r="R249" s="26">
        <v>128000</v>
      </c>
      <c r="S249" s="91">
        <f t="shared" si="215"/>
        <v>3.125</v>
      </c>
      <c r="T249" s="91">
        <f t="shared" si="216"/>
        <v>1.5</v>
      </c>
      <c r="U249" s="27" t="s">
        <v>56</v>
      </c>
      <c r="V249" s="30" t="s">
        <v>59</v>
      </c>
      <c r="W249" s="31">
        <v>45754</v>
      </c>
      <c r="X249" s="22"/>
      <c r="Y249" s="19" t="s">
        <v>52</v>
      </c>
      <c r="Z249" s="19" t="s">
        <v>52</v>
      </c>
      <c r="AA249" s="19" t="s">
        <v>52</v>
      </c>
      <c r="AB249" s="28"/>
    </row>
    <row r="250" spans="1:33" s="29" customFormat="1" ht="15" customHeight="1" x14ac:dyDescent="0.25">
      <c r="A250" s="14">
        <v>9</v>
      </c>
      <c r="B250" s="15">
        <v>45755</v>
      </c>
      <c r="C250" s="15">
        <f>B250+8</f>
        <v>45763</v>
      </c>
      <c r="D250" s="14">
        <v>12733</v>
      </c>
      <c r="E250" s="16" t="s">
        <v>415</v>
      </c>
      <c r="F250" s="17" t="s">
        <v>416</v>
      </c>
      <c r="G250" s="17" t="s">
        <v>132</v>
      </c>
      <c r="H250" s="18" t="s">
        <v>133</v>
      </c>
      <c r="I250" s="19" t="s">
        <v>198</v>
      </c>
      <c r="J250" s="20">
        <v>45742</v>
      </c>
      <c r="K250" s="20">
        <v>45784</v>
      </c>
      <c r="L250" s="21">
        <v>175000</v>
      </c>
      <c r="M250" s="22">
        <f t="shared" si="220"/>
        <v>208130</v>
      </c>
      <c r="N250" s="23">
        <v>0</v>
      </c>
      <c r="O250" s="23">
        <v>208130</v>
      </c>
      <c r="P250" s="24">
        <f t="shared" si="219"/>
        <v>175000</v>
      </c>
      <c r="Q250" s="25">
        <v>200000</v>
      </c>
      <c r="R250" s="26">
        <v>128000</v>
      </c>
      <c r="S250" s="91">
        <f t="shared" si="215"/>
        <v>1.3671875</v>
      </c>
      <c r="T250" s="91">
        <f t="shared" si="216"/>
        <v>1.5625</v>
      </c>
      <c r="U250" s="27" t="s">
        <v>56</v>
      </c>
      <c r="V250" s="30" t="s">
        <v>59</v>
      </c>
      <c r="W250" s="31">
        <v>45758</v>
      </c>
      <c r="X250" s="22"/>
      <c r="Y250" s="19" t="s">
        <v>52</v>
      </c>
      <c r="Z250" s="19" t="s">
        <v>52</v>
      </c>
      <c r="AA250" s="19" t="s">
        <v>52</v>
      </c>
      <c r="AB250" s="28"/>
    </row>
    <row r="251" spans="1:33" s="29" customFormat="1" ht="15" customHeight="1" x14ac:dyDescent="0.25">
      <c r="A251" s="14">
        <v>11</v>
      </c>
      <c r="B251" s="15">
        <v>45755</v>
      </c>
      <c r="C251" s="15">
        <f>B251+8</f>
        <v>45763</v>
      </c>
      <c r="D251" s="14">
        <v>11901</v>
      </c>
      <c r="E251" s="16" t="s">
        <v>470</v>
      </c>
      <c r="F251" s="40" t="s">
        <v>471</v>
      </c>
      <c r="G251" s="17" t="s">
        <v>75</v>
      </c>
      <c r="H251" s="18" t="s">
        <v>54</v>
      </c>
      <c r="I251" s="19" t="s">
        <v>421</v>
      </c>
      <c r="J251" s="20">
        <v>45686</v>
      </c>
      <c r="K251" s="20">
        <v>45719</v>
      </c>
      <c r="L251" s="21">
        <v>100000</v>
      </c>
      <c r="M251" s="22">
        <f t="shared" si="220"/>
        <v>106000</v>
      </c>
      <c r="N251" s="23">
        <v>26000</v>
      </c>
      <c r="O251" s="23">
        <v>80000</v>
      </c>
      <c r="P251" s="24">
        <f>L251-N251</f>
        <v>74000</v>
      </c>
      <c r="Q251" s="25">
        <v>80000</v>
      </c>
      <c r="R251" s="26">
        <v>84000</v>
      </c>
      <c r="S251" s="91">
        <f t="shared" si="215"/>
        <v>0.88095238095238093</v>
      </c>
      <c r="T251" s="91">
        <f t="shared" si="216"/>
        <v>0.95238095238095233</v>
      </c>
      <c r="U251" s="27" t="s">
        <v>56</v>
      </c>
      <c r="V251" s="19" t="s">
        <v>51</v>
      </c>
      <c r="W251" s="20">
        <v>45747</v>
      </c>
      <c r="X251" s="22"/>
      <c r="Y251" s="19" t="s">
        <v>52</v>
      </c>
      <c r="Z251" s="19" t="s">
        <v>52</v>
      </c>
      <c r="AA251" s="19" t="s">
        <v>52</v>
      </c>
      <c r="AB251" s="28"/>
      <c r="AC251" s="90"/>
    </row>
    <row r="252" spans="1:33" ht="15" customHeight="1" x14ac:dyDescent="0.25">
      <c r="A252" s="33" t="s">
        <v>71</v>
      </c>
      <c r="B252" s="34"/>
      <c r="C252" s="34"/>
      <c r="D252" s="34"/>
      <c r="E252" s="34"/>
      <c r="F252" s="35"/>
      <c r="G252" s="35"/>
      <c r="H252" s="34"/>
      <c r="I252" s="34"/>
      <c r="J252" s="34"/>
      <c r="K252" s="34"/>
      <c r="L252" s="36"/>
      <c r="M252" s="36"/>
      <c r="N252" s="36"/>
      <c r="O252" s="36"/>
      <c r="P252" s="36"/>
      <c r="Q252" s="36">
        <f>SUM(Q246:Q251)</f>
        <v>1723420</v>
      </c>
      <c r="R252" s="36"/>
      <c r="S252" s="92"/>
      <c r="T252" s="93">
        <f>SUM(T246:T251)</f>
        <v>17.321867362704694</v>
      </c>
      <c r="U252" s="37"/>
      <c r="V252" s="38"/>
      <c r="W252" s="38"/>
      <c r="X252" s="38"/>
      <c r="Y252" s="34"/>
      <c r="Z252" s="34"/>
      <c r="AA252" s="39"/>
      <c r="AB252" s="29" t="s">
        <v>574</v>
      </c>
      <c r="AC252" s="81" t="s">
        <v>600</v>
      </c>
      <c r="AD252" s="83">
        <v>4166.67</v>
      </c>
      <c r="AF252" s="83">
        <v>0</v>
      </c>
      <c r="AG252" s="83">
        <f>SUM(AD252,AF252)</f>
        <v>4166.67</v>
      </c>
    </row>
    <row r="253" spans="1:33" s="29" customFormat="1" ht="15" customHeight="1" x14ac:dyDescent="0.25">
      <c r="A253" s="14">
        <v>15</v>
      </c>
      <c r="B253" s="15">
        <v>45756</v>
      </c>
      <c r="C253" s="15">
        <f t="shared" ref="C253:C261" si="221">B253+8</f>
        <v>45764</v>
      </c>
      <c r="D253" s="14">
        <v>12547</v>
      </c>
      <c r="E253" s="16" t="s">
        <v>341</v>
      </c>
      <c r="F253" s="40" t="s">
        <v>348</v>
      </c>
      <c r="G253" s="17" t="s">
        <v>75</v>
      </c>
      <c r="H253" s="18" t="s">
        <v>257</v>
      </c>
      <c r="I253" s="19" t="s">
        <v>70</v>
      </c>
      <c r="J253" s="20">
        <v>45694</v>
      </c>
      <c r="K253" s="20">
        <v>45736</v>
      </c>
      <c r="L253" s="21">
        <v>4000000</v>
      </c>
      <c r="M253" s="22">
        <f t="shared" ref="M253:M258" si="222">SUM(N253:O253)</f>
        <v>150000</v>
      </c>
      <c r="N253" s="23">
        <v>0</v>
      </c>
      <c r="O253" s="23">
        <v>150000</v>
      </c>
      <c r="P253" s="24">
        <f t="shared" ref="P253:P261" si="223">L253-N253</f>
        <v>4000000</v>
      </c>
      <c r="Q253" s="25">
        <v>150000</v>
      </c>
      <c r="R253" s="26">
        <v>150000</v>
      </c>
      <c r="S253" s="91">
        <f t="shared" ref="S253:S262" si="224">IF(P253&gt;0,P253/$R253,0)</f>
        <v>26.666666666666668</v>
      </c>
      <c r="T253" s="91">
        <f t="shared" ref="T253:T262" si="225">IF(Q253&gt;0,Q253/$R253,0)</f>
        <v>1</v>
      </c>
      <c r="U253" s="27" t="s">
        <v>193</v>
      </c>
      <c r="V253" s="30" t="s">
        <v>59</v>
      </c>
      <c r="W253" s="31">
        <v>45751</v>
      </c>
      <c r="X253" s="22"/>
      <c r="Y253" s="19" t="s">
        <v>52</v>
      </c>
      <c r="Z253" s="19" t="s">
        <v>52</v>
      </c>
      <c r="AA253" s="19" t="s">
        <v>52</v>
      </c>
      <c r="AB253" s="28"/>
      <c r="AC253" s="90"/>
    </row>
    <row r="254" spans="1:33" s="29" customFormat="1" ht="15" customHeight="1" x14ac:dyDescent="0.25">
      <c r="A254" s="14">
        <v>22</v>
      </c>
      <c r="B254" s="15">
        <v>45756</v>
      </c>
      <c r="C254" s="15">
        <f t="shared" si="221"/>
        <v>45764</v>
      </c>
      <c r="D254" s="14">
        <v>12643</v>
      </c>
      <c r="E254" s="16" t="s">
        <v>392</v>
      </c>
      <c r="F254" s="40" t="s">
        <v>393</v>
      </c>
      <c r="G254" s="17" t="s">
        <v>75</v>
      </c>
      <c r="H254" s="18" t="s">
        <v>54</v>
      </c>
      <c r="I254" s="19" t="s">
        <v>64</v>
      </c>
      <c r="J254" s="20">
        <v>45715</v>
      </c>
      <c r="K254" s="20">
        <v>45757</v>
      </c>
      <c r="L254" s="21">
        <v>2000000</v>
      </c>
      <c r="M254" s="22">
        <f t="shared" si="222"/>
        <v>1050000</v>
      </c>
      <c r="N254" s="23">
        <v>150000</v>
      </c>
      <c r="O254" s="23">
        <v>900000</v>
      </c>
      <c r="P254" s="24">
        <f t="shared" si="223"/>
        <v>1850000</v>
      </c>
      <c r="Q254" s="25">
        <v>900000</v>
      </c>
      <c r="R254" s="26">
        <v>150000</v>
      </c>
      <c r="S254" s="91">
        <f t="shared" si="224"/>
        <v>12.333333333333334</v>
      </c>
      <c r="T254" s="91">
        <f t="shared" si="225"/>
        <v>6</v>
      </c>
      <c r="U254" s="27" t="s">
        <v>193</v>
      </c>
      <c r="V254" s="30" t="s">
        <v>59</v>
      </c>
      <c r="W254" s="31">
        <v>45751</v>
      </c>
      <c r="X254" s="22"/>
      <c r="Y254" s="19" t="s">
        <v>52</v>
      </c>
      <c r="Z254" s="19" t="s">
        <v>52</v>
      </c>
      <c r="AA254" s="19" t="s">
        <v>52</v>
      </c>
      <c r="AB254" s="28"/>
      <c r="AC254" s="90"/>
    </row>
    <row r="255" spans="1:33" s="29" customFormat="1" ht="15" customHeight="1" x14ac:dyDescent="0.25">
      <c r="A255" s="14">
        <v>4</v>
      </c>
      <c r="B255" s="15">
        <v>45756</v>
      </c>
      <c r="C255" s="15">
        <f t="shared" si="221"/>
        <v>45764</v>
      </c>
      <c r="D255" s="14">
        <v>12592</v>
      </c>
      <c r="E255" s="16" t="s">
        <v>485</v>
      </c>
      <c r="F255" s="17" t="s">
        <v>486</v>
      </c>
      <c r="G255" s="17" t="s">
        <v>47</v>
      </c>
      <c r="H255" s="18" t="s">
        <v>57</v>
      </c>
      <c r="I255" s="19" t="s">
        <v>58</v>
      </c>
      <c r="J255" s="20">
        <v>45706</v>
      </c>
      <c r="K255" s="20">
        <v>45747</v>
      </c>
      <c r="L255" s="21">
        <v>250000</v>
      </c>
      <c r="M255" s="22">
        <f t="shared" si="222"/>
        <v>112000</v>
      </c>
      <c r="N255" s="23">
        <v>0</v>
      </c>
      <c r="O255" s="23">
        <v>112000</v>
      </c>
      <c r="P255" s="24">
        <f t="shared" si="223"/>
        <v>250000</v>
      </c>
      <c r="Q255" s="25">
        <v>112000</v>
      </c>
      <c r="R255" s="26">
        <v>42000</v>
      </c>
      <c r="S255" s="91">
        <f t="shared" si="224"/>
        <v>5.9523809523809526</v>
      </c>
      <c r="T255" s="91">
        <f t="shared" si="225"/>
        <v>2.6666666666666665</v>
      </c>
      <c r="U255" s="27" t="s">
        <v>193</v>
      </c>
      <c r="V255" s="19" t="s">
        <v>51</v>
      </c>
      <c r="W255" s="20">
        <v>45747</v>
      </c>
      <c r="X255" s="22"/>
      <c r="Y255" s="19" t="s">
        <v>52</v>
      </c>
      <c r="Z255" s="19" t="s">
        <v>52</v>
      </c>
      <c r="AA255" s="19" t="s">
        <v>52</v>
      </c>
      <c r="AB255" s="28"/>
    </row>
    <row r="256" spans="1:33" s="29" customFormat="1" ht="15" customHeight="1" x14ac:dyDescent="0.25">
      <c r="A256" s="14">
        <v>3</v>
      </c>
      <c r="B256" s="15">
        <v>45756</v>
      </c>
      <c r="C256" s="15">
        <f t="shared" si="221"/>
        <v>45764</v>
      </c>
      <c r="D256" s="14">
        <v>12667</v>
      </c>
      <c r="E256" s="16" t="s">
        <v>466</v>
      </c>
      <c r="F256" s="17" t="s">
        <v>467</v>
      </c>
      <c r="G256" s="17" t="s">
        <v>102</v>
      </c>
      <c r="H256" s="18" t="s">
        <v>57</v>
      </c>
      <c r="I256" s="19" t="s">
        <v>58</v>
      </c>
      <c r="J256" s="20">
        <v>45723</v>
      </c>
      <c r="K256" s="20">
        <v>45751</v>
      </c>
      <c r="L256" s="21">
        <v>1000000</v>
      </c>
      <c r="M256" s="22">
        <f t="shared" si="222"/>
        <v>100000</v>
      </c>
      <c r="N256" s="23">
        <v>0</v>
      </c>
      <c r="O256" s="23">
        <v>100000</v>
      </c>
      <c r="P256" s="24">
        <f t="shared" si="223"/>
        <v>1000000</v>
      </c>
      <c r="Q256" s="25">
        <v>100000</v>
      </c>
      <c r="R256" s="26">
        <v>50000</v>
      </c>
      <c r="S256" s="91">
        <f t="shared" si="224"/>
        <v>20</v>
      </c>
      <c r="T256" s="91">
        <f t="shared" si="225"/>
        <v>2</v>
      </c>
      <c r="U256" s="27" t="s">
        <v>193</v>
      </c>
      <c r="V256" s="30" t="s">
        <v>59</v>
      </c>
      <c r="W256" s="31">
        <v>45751</v>
      </c>
      <c r="X256" s="22"/>
      <c r="Y256" s="19" t="s">
        <v>52</v>
      </c>
      <c r="Z256" s="19" t="s">
        <v>52</v>
      </c>
      <c r="AA256" s="19" t="s">
        <v>52</v>
      </c>
      <c r="AB256" s="28"/>
    </row>
    <row r="257" spans="1:33" s="29" customFormat="1" ht="15" customHeight="1" x14ac:dyDescent="0.25">
      <c r="A257" s="14">
        <v>9</v>
      </c>
      <c r="B257" s="15">
        <v>45756</v>
      </c>
      <c r="C257" s="15">
        <f t="shared" si="221"/>
        <v>45764</v>
      </c>
      <c r="D257" s="14">
        <v>12711</v>
      </c>
      <c r="E257" s="16" t="s">
        <v>45</v>
      </c>
      <c r="F257" s="17" t="s">
        <v>540</v>
      </c>
      <c r="G257" s="17" t="s">
        <v>47</v>
      </c>
      <c r="H257" s="18" t="s">
        <v>541</v>
      </c>
      <c r="I257" s="19" t="s">
        <v>49</v>
      </c>
      <c r="J257" s="20">
        <v>45735</v>
      </c>
      <c r="K257" s="20">
        <v>45778</v>
      </c>
      <c r="L257" s="21">
        <v>180000</v>
      </c>
      <c r="M257" s="22">
        <f t="shared" si="222"/>
        <v>208000</v>
      </c>
      <c r="N257" s="23">
        <v>0</v>
      </c>
      <c r="O257" s="23">
        <v>208000</v>
      </c>
      <c r="P257" s="24">
        <f t="shared" si="223"/>
        <v>180000</v>
      </c>
      <c r="Q257" s="25">
        <v>208000</v>
      </c>
      <c r="R257" s="26">
        <v>60000</v>
      </c>
      <c r="S257" s="91">
        <f t="shared" si="224"/>
        <v>3</v>
      </c>
      <c r="T257" s="91">
        <f t="shared" si="225"/>
        <v>3.4666666666666668</v>
      </c>
      <c r="U257" s="27" t="s">
        <v>193</v>
      </c>
      <c r="V257" s="30" t="s">
        <v>59</v>
      </c>
      <c r="W257" s="31">
        <v>45750</v>
      </c>
      <c r="X257" s="22"/>
      <c r="Y257" s="19" t="s">
        <v>52</v>
      </c>
      <c r="Z257" s="19" t="s">
        <v>52</v>
      </c>
      <c r="AA257" s="19" t="s">
        <v>52</v>
      </c>
      <c r="AB257" s="42"/>
    </row>
    <row r="258" spans="1:33" s="29" customFormat="1" ht="15" customHeight="1" x14ac:dyDescent="0.25">
      <c r="A258" s="14">
        <v>24</v>
      </c>
      <c r="B258" s="15">
        <v>45756</v>
      </c>
      <c r="C258" s="15">
        <f t="shared" si="221"/>
        <v>45764</v>
      </c>
      <c r="D258" s="14">
        <v>12710</v>
      </c>
      <c r="E258" s="16" t="s">
        <v>190</v>
      </c>
      <c r="F258" s="40" t="s">
        <v>191</v>
      </c>
      <c r="G258" s="17" t="s">
        <v>75</v>
      </c>
      <c r="H258" s="18" t="s">
        <v>541</v>
      </c>
      <c r="I258" s="19" t="s">
        <v>49</v>
      </c>
      <c r="J258" s="20">
        <v>45735</v>
      </c>
      <c r="K258" s="20">
        <v>45762</v>
      </c>
      <c r="L258" s="21">
        <v>200000</v>
      </c>
      <c r="M258" s="22">
        <f t="shared" si="222"/>
        <v>100000</v>
      </c>
      <c r="N258" s="23">
        <v>0</v>
      </c>
      <c r="O258" s="23">
        <v>100000</v>
      </c>
      <c r="P258" s="24">
        <f t="shared" si="223"/>
        <v>200000</v>
      </c>
      <c r="Q258" s="25">
        <v>100000</v>
      </c>
      <c r="R258" s="26">
        <v>50000</v>
      </c>
      <c r="S258" s="91">
        <f t="shared" si="224"/>
        <v>4</v>
      </c>
      <c r="T258" s="91">
        <f t="shared" si="225"/>
        <v>2</v>
      </c>
      <c r="U258" s="27" t="s">
        <v>193</v>
      </c>
      <c r="V258" s="30" t="s">
        <v>59</v>
      </c>
      <c r="W258" s="31">
        <v>45757</v>
      </c>
      <c r="X258" s="22"/>
      <c r="Y258" s="19" t="s">
        <v>52</v>
      </c>
      <c r="Z258" s="19" t="s">
        <v>52</v>
      </c>
      <c r="AA258" s="19" t="s">
        <v>52</v>
      </c>
      <c r="AB258" s="28"/>
      <c r="AC258" s="90"/>
    </row>
    <row r="259" spans="1:33" s="29" customFormat="1" ht="15" customHeight="1" x14ac:dyDescent="0.25">
      <c r="A259" s="14">
        <v>7</v>
      </c>
      <c r="B259" s="15">
        <v>45756</v>
      </c>
      <c r="C259" s="15">
        <f t="shared" si="221"/>
        <v>45764</v>
      </c>
      <c r="D259" s="14">
        <v>12739</v>
      </c>
      <c r="E259" s="16" t="s">
        <v>129</v>
      </c>
      <c r="F259" s="17" t="s">
        <v>555</v>
      </c>
      <c r="G259" s="17" t="s">
        <v>47</v>
      </c>
      <c r="H259" s="18" t="s">
        <v>542</v>
      </c>
      <c r="I259" s="19" t="s">
        <v>63</v>
      </c>
      <c r="J259" s="20">
        <v>45741</v>
      </c>
      <c r="K259" s="20">
        <v>45776</v>
      </c>
      <c r="L259" s="21">
        <v>1000000</v>
      </c>
      <c r="M259" s="22">
        <f t="shared" ref="M259" si="226">SUM(N259:O259)</f>
        <v>420000</v>
      </c>
      <c r="N259" s="23">
        <v>0</v>
      </c>
      <c r="O259" s="23">
        <v>420000</v>
      </c>
      <c r="P259" s="24">
        <f t="shared" si="223"/>
        <v>1000000</v>
      </c>
      <c r="Q259" s="25">
        <v>420000</v>
      </c>
      <c r="R259" s="26">
        <v>84000</v>
      </c>
      <c r="S259" s="91">
        <f t="shared" si="224"/>
        <v>11.904761904761905</v>
      </c>
      <c r="T259" s="91">
        <f t="shared" si="225"/>
        <v>5</v>
      </c>
      <c r="U259" s="27" t="s">
        <v>193</v>
      </c>
      <c r="V259" s="30" t="s">
        <v>59</v>
      </c>
      <c r="W259" s="31">
        <v>45761</v>
      </c>
      <c r="X259" s="22"/>
      <c r="Y259" s="19" t="s">
        <v>52</v>
      </c>
      <c r="Z259" s="19" t="s">
        <v>52</v>
      </c>
      <c r="AA259" s="19" t="s">
        <v>52</v>
      </c>
      <c r="AB259" s="42"/>
    </row>
    <row r="260" spans="1:33" s="29" customFormat="1" ht="15" customHeight="1" x14ac:dyDescent="0.25">
      <c r="A260" s="14">
        <v>5</v>
      </c>
      <c r="B260" s="15">
        <v>45756</v>
      </c>
      <c r="C260" s="15">
        <f t="shared" si="221"/>
        <v>45764</v>
      </c>
      <c r="D260" s="14">
        <v>12694</v>
      </c>
      <c r="E260" s="16" t="s">
        <v>109</v>
      </c>
      <c r="F260" s="17" t="s">
        <v>110</v>
      </c>
      <c r="G260" s="17" t="s">
        <v>102</v>
      </c>
      <c r="H260" s="18" t="s">
        <v>57</v>
      </c>
      <c r="I260" s="19" t="s">
        <v>94</v>
      </c>
      <c r="J260" s="20">
        <v>45730</v>
      </c>
      <c r="K260" s="20">
        <v>45757</v>
      </c>
      <c r="L260" s="21">
        <v>600000</v>
      </c>
      <c r="M260" s="22">
        <f>SUM(N260:O260)</f>
        <v>200000</v>
      </c>
      <c r="N260" s="23">
        <v>0</v>
      </c>
      <c r="O260" s="23">
        <v>200000</v>
      </c>
      <c r="P260" s="24">
        <f t="shared" si="223"/>
        <v>600000</v>
      </c>
      <c r="Q260" s="25">
        <v>200000</v>
      </c>
      <c r="R260" s="26">
        <v>50000</v>
      </c>
      <c r="S260" s="91">
        <f t="shared" si="224"/>
        <v>12</v>
      </c>
      <c r="T260" s="91">
        <f t="shared" si="225"/>
        <v>4</v>
      </c>
      <c r="U260" s="27" t="s">
        <v>193</v>
      </c>
      <c r="V260" s="30" t="s">
        <v>59</v>
      </c>
      <c r="W260" s="31">
        <v>45750</v>
      </c>
      <c r="X260" s="22"/>
      <c r="Y260" s="19" t="s">
        <v>52</v>
      </c>
      <c r="Z260" s="19" t="s">
        <v>52</v>
      </c>
      <c r="AA260" s="19" t="s">
        <v>52</v>
      </c>
      <c r="AB260" s="28"/>
    </row>
    <row r="261" spans="1:33" s="29" customFormat="1" ht="15" customHeight="1" x14ac:dyDescent="0.25">
      <c r="A261" s="14">
        <v>6</v>
      </c>
      <c r="B261" s="15">
        <v>45756</v>
      </c>
      <c r="C261" s="15">
        <f t="shared" si="221"/>
        <v>45764</v>
      </c>
      <c r="D261" s="14">
        <v>12693</v>
      </c>
      <c r="E261" s="16" t="s">
        <v>537</v>
      </c>
      <c r="F261" s="17" t="s">
        <v>538</v>
      </c>
      <c r="G261" s="17" t="s">
        <v>102</v>
      </c>
      <c r="H261" s="18" t="s">
        <v>57</v>
      </c>
      <c r="I261" s="19" t="s">
        <v>58</v>
      </c>
      <c r="J261" s="20">
        <v>45734</v>
      </c>
      <c r="K261" s="20">
        <v>45757</v>
      </c>
      <c r="L261" s="21">
        <v>300000</v>
      </c>
      <c r="M261" s="22">
        <f>SUM(N261:O261)</f>
        <v>100000</v>
      </c>
      <c r="N261" s="23">
        <v>0</v>
      </c>
      <c r="O261" s="23">
        <v>100000</v>
      </c>
      <c r="P261" s="24">
        <f t="shared" si="223"/>
        <v>300000</v>
      </c>
      <c r="Q261" s="25">
        <v>100000</v>
      </c>
      <c r="R261" s="26">
        <v>100000</v>
      </c>
      <c r="S261" s="91">
        <f t="shared" si="224"/>
        <v>3</v>
      </c>
      <c r="T261" s="91">
        <f t="shared" si="225"/>
        <v>1</v>
      </c>
      <c r="U261" s="27" t="s">
        <v>193</v>
      </c>
      <c r="V261" s="30" t="s">
        <v>59</v>
      </c>
      <c r="W261" s="31">
        <v>45757</v>
      </c>
      <c r="X261" s="22"/>
      <c r="Y261" s="19" t="s">
        <v>52</v>
      </c>
      <c r="Z261" s="19" t="s">
        <v>52</v>
      </c>
      <c r="AA261" s="19" t="s">
        <v>52</v>
      </c>
      <c r="AB261" s="28"/>
    </row>
    <row r="262" spans="1:33" s="29" customFormat="1" ht="15" customHeight="1" x14ac:dyDescent="0.25">
      <c r="A262" s="14">
        <v>10</v>
      </c>
      <c r="B262" s="15">
        <v>45756</v>
      </c>
      <c r="C262" s="15">
        <f t="shared" ref="C262" si="227">B262+8</f>
        <v>45764</v>
      </c>
      <c r="D262" s="14">
        <v>12414</v>
      </c>
      <c r="E262" s="16" t="s">
        <v>206</v>
      </c>
      <c r="F262" s="40" t="s">
        <v>207</v>
      </c>
      <c r="G262" s="17" t="s">
        <v>75</v>
      </c>
      <c r="H262" s="18" t="s">
        <v>522</v>
      </c>
      <c r="I262" s="19" t="s">
        <v>49</v>
      </c>
      <c r="J262" s="20">
        <v>45672</v>
      </c>
      <c r="K262" s="20">
        <v>45709</v>
      </c>
      <c r="L262" s="21">
        <v>500000</v>
      </c>
      <c r="M262" s="22">
        <f t="shared" ref="M262" si="228">SUM(N262:O262)</f>
        <v>558000</v>
      </c>
      <c r="N262" s="23">
        <v>441000</v>
      </c>
      <c r="O262" s="23">
        <v>117000</v>
      </c>
      <c r="P262" s="24">
        <f t="shared" ref="P262" si="229">L262-N262</f>
        <v>59000</v>
      </c>
      <c r="Q262" s="25">
        <v>117000</v>
      </c>
      <c r="R262" s="26">
        <v>150000</v>
      </c>
      <c r="S262" s="91">
        <f t="shared" si="224"/>
        <v>0.39333333333333331</v>
      </c>
      <c r="T262" s="91">
        <f t="shared" si="225"/>
        <v>0.78</v>
      </c>
      <c r="U262" s="27" t="s">
        <v>193</v>
      </c>
      <c r="V262" s="19" t="s">
        <v>51</v>
      </c>
      <c r="W262" s="20">
        <v>45687</v>
      </c>
      <c r="X262" s="22"/>
      <c r="Y262" s="19" t="s">
        <v>52</v>
      </c>
      <c r="Z262" s="19" t="s">
        <v>52</v>
      </c>
      <c r="AA262" s="19" t="s">
        <v>52</v>
      </c>
      <c r="AB262" s="28"/>
      <c r="AC262" s="90"/>
    </row>
    <row r="263" spans="1:33" ht="15" customHeight="1" x14ac:dyDescent="0.25">
      <c r="A263" s="33" t="s">
        <v>71</v>
      </c>
      <c r="B263" s="34"/>
      <c r="C263" s="34"/>
      <c r="D263" s="34"/>
      <c r="E263" s="34"/>
      <c r="F263" s="35"/>
      <c r="G263" s="35"/>
      <c r="H263" s="34"/>
      <c r="I263" s="34"/>
      <c r="J263" s="34"/>
      <c r="K263" s="34"/>
      <c r="L263" s="36"/>
      <c r="M263" s="36"/>
      <c r="N263" s="36"/>
      <c r="O263" s="36"/>
      <c r="P263" s="36"/>
      <c r="Q263" s="36">
        <f>SUM(Q253:Q262)</f>
        <v>2407000</v>
      </c>
      <c r="R263" s="36"/>
      <c r="S263" s="92"/>
      <c r="T263" s="93">
        <f>SUM(T253:T262)</f>
        <v>27.913333333333334</v>
      </c>
      <c r="U263" s="37"/>
      <c r="V263" s="38"/>
      <c r="W263" s="38"/>
      <c r="X263" s="38"/>
      <c r="Y263" s="34"/>
      <c r="Z263" s="34"/>
      <c r="AA263" s="39"/>
      <c r="AB263" s="29" t="s">
        <v>577</v>
      </c>
      <c r="AC263" s="81" t="s">
        <v>584</v>
      </c>
      <c r="AD263" s="83">
        <v>5000</v>
      </c>
      <c r="AF263" s="83">
        <v>0</v>
      </c>
      <c r="AG263" s="83">
        <f>SUM(AD263,AF263)</f>
        <v>5000</v>
      </c>
    </row>
    <row r="264" spans="1:33" s="29" customFormat="1" ht="15" customHeight="1" x14ac:dyDescent="0.25">
      <c r="A264" s="14">
        <v>2</v>
      </c>
      <c r="B264" s="15">
        <v>45758</v>
      </c>
      <c r="C264" s="15">
        <f t="shared" ref="C264:C270" si="230">B264+8</f>
        <v>45766</v>
      </c>
      <c r="D264" s="14">
        <v>12442</v>
      </c>
      <c r="E264" s="16" t="s">
        <v>459</v>
      </c>
      <c r="F264" s="40" t="s">
        <v>460</v>
      </c>
      <c r="G264" s="17" t="s">
        <v>75</v>
      </c>
      <c r="H264" s="18" t="s">
        <v>78</v>
      </c>
      <c r="I264" s="19" t="s">
        <v>79</v>
      </c>
      <c r="J264" s="20">
        <v>45678</v>
      </c>
      <c r="K264" s="20">
        <v>45713</v>
      </c>
      <c r="L264" s="21">
        <v>450000</v>
      </c>
      <c r="M264" s="22">
        <f>SUM(N264:O264)</f>
        <v>480000</v>
      </c>
      <c r="N264" s="23">
        <v>291000</v>
      </c>
      <c r="O264" s="23">
        <v>189000</v>
      </c>
      <c r="P264" s="24">
        <f t="shared" ref="P264:P270" si="231">L264-N264</f>
        <v>159000</v>
      </c>
      <c r="Q264" s="25">
        <v>189000</v>
      </c>
      <c r="R264" s="26">
        <v>96000</v>
      </c>
      <c r="S264" s="91">
        <f t="shared" ref="S264:S274" si="232">IF(P264&gt;0,P264/$R264,0)</f>
        <v>1.65625</v>
      </c>
      <c r="T264" s="91">
        <f t="shared" ref="T264:T274" si="233">IF(Q264&gt;0,Q264/$R264,0)</f>
        <v>1.96875</v>
      </c>
      <c r="U264" s="27" t="s">
        <v>56</v>
      </c>
      <c r="V264" s="30" t="s">
        <v>59</v>
      </c>
      <c r="W264" s="31">
        <v>45757</v>
      </c>
      <c r="X264" s="22"/>
      <c r="Y264" s="19" t="s">
        <v>52</v>
      </c>
      <c r="Z264" s="19" t="s">
        <v>52</v>
      </c>
      <c r="AA264" s="19" t="s">
        <v>52</v>
      </c>
      <c r="AB264" s="28"/>
      <c r="AC264" s="90"/>
    </row>
    <row r="265" spans="1:33" s="29" customFormat="1" ht="15" customHeight="1" x14ac:dyDescent="0.25">
      <c r="A265" s="14">
        <v>8</v>
      </c>
      <c r="B265" s="15">
        <v>45758</v>
      </c>
      <c r="C265" s="15">
        <f t="shared" si="230"/>
        <v>45766</v>
      </c>
      <c r="D265" s="14">
        <v>12537</v>
      </c>
      <c r="E265" s="16" t="s">
        <v>320</v>
      </c>
      <c r="F265" s="40" t="s">
        <v>321</v>
      </c>
      <c r="G265" s="17" t="s">
        <v>75</v>
      </c>
      <c r="H265" s="18" t="s">
        <v>133</v>
      </c>
      <c r="I265" s="19" t="s">
        <v>198</v>
      </c>
      <c r="J265" s="20">
        <v>45695</v>
      </c>
      <c r="K265" s="20">
        <v>45733</v>
      </c>
      <c r="L265" s="21">
        <v>150000</v>
      </c>
      <c r="M265" s="22">
        <f>SUM(N265:O265)</f>
        <v>182000</v>
      </c>
      <c r="N265" s="23">
        <v>0</v>
      </c>
      <c r="O265" s="23">
        <v>182000</v>
      </c>
      <c r="P265" s="24">
        <f t="shared" si="231"/>
        <v>150000</v>
      </c>
      <c r="Q265" s="25">
        <v>182000</v>
      </c>
      <c r="R265" s="26">
        <v>72000</v>
      </c>
      <c r="S265" s="91">
        <f t="shared" si="232"/>
        <v>2.0833333333333335</v>
      </c>
      <c r="T265" s="91">
        <f t="shared" si="233"/>
        <v>2.5277777777777777</v>
      </c>
      <c r="U265" s="27" t="s">
        <v>56</v>
      </c>
      <c r="V265" s="30" t="s">
        <v>59</v>
      </c>
      <c r="W265" s="31">
        <v>45757</v>
      </c>
      <c r="X265" s="22"/>
      <c r="Y265" s="19" t="s">
        <v>52</v>
      </c>
      <c r="Z265" s="19" t="s">
        <v>52</v>
      </c>
      <c r="AA265" s="19" t="s">
        <v>52</v>
      </c>
      <c r="AB265" s="28"/>
      <c r="AC265" s="90"/>
    </row>
    <row r="266" spans="1:33" s="29" customFormat="1" ht="15" customHeight="1" x14ac:dyDescent="0.25">
      <c r="A266" s="14">
        <v>31</v>
      </c>
      <c r="B266" s="15">
        <v>45758</v>
      </c>
      <c r="C266" s="15">
        <f t="shared" si="230"/>
        <v>45766</v>
      </c>
      <c r="D266" s="14">
        <v>12623</v>
      </c>
      <c r="E266" s="16" t="s">
        <v>97</v>
      </c>
      <c r="F266" s="40" t="s">
        <v>98</v>
      </c>
      <c r="G266" s="17" t="s">
        <v>75</v>
      </c>
      <c r="H266" s="18" t="s">
        <v>54</v>
      </c>
      <c r="I266" s="19" t="s">
        <v>86</v>
      </c>
      <c r="J266" s="20">
        <v>45713</v>
      </c>
      <c r="K266" s="20">
        <v>45751</v>
      </c>
      <c r="L266" s="21">
        <v>500000</v>
      </c>
      <c r="M266" s="22">
        <f t="shared" ref="M266" si="234">SUM(N266:O266)</f>
        <v>561000</v>
      </c>
      <c r="N266" s="23"/>
      <c r="O266" s="23">
        <v>561000</v>
      </c>
      <c r="P266" s="24">
        <f t="shared" si="231"/>
        <v>500000</v>
      </c>
      <c r="Q266" s="25">
        <v>561000</v>
      </c>
      <c r="R266" s="26">
        <v>126000</v>
      </c>
      <c r="S266" s="91">
        <f t="shared" si="232"/>
        <v>3.9682539682539684</v>
      </c>
      <c r="T266" s="91">
        <f t="shared" si="233"/>
        <v>4.4523809523809526</v>
      </c>
      <c r="U266" s="27" t="s">
        <v>56</v>
      </c>
      <c r="V266" s="19" t="s">
        <v>51</v>
      </c>
      <c r="W266" s="20">
        <v>45744</v>
      </c>
      <c r="X266" s="22"/>
      <c r="Y266" s="19" t="s">
        <v>52</v>
      </c>
      <c r="Z266" s="19" t="s">
        <v>52</v>
      </c>
      <c r="AA266" s="19" t="s">
        <v>52</v>
      </c>
      <c r="AB266" s="28"/>
      <c r="AC266" s="90"/>
    </row>
    <row r="267" spans="1:33" s="29" customFormat="1" ht="15" customHeight="1" x14ac:dyDescent="0.25">
      <c r="A267" s="14">
        <v>4</v>
      </c>
      <c r="B267" s="15">
        <v>45758</v>
      </c>
      <c r="C267" s="15">
        <f t="shared" si="230"/>
        <v>45766</v>
      </c>
      <c r="D267" s="14">
        <v>12703</v>
      </c>
      <c r="E267" s="16" t="s">
        <v>307</v>
      </c>
      <c r="F267" s="17" t="s">
        <v>308</v>
      </c>
      <c r="G267" s="17" t="s">
        <v>132</v>
      </c>
      <c r="H267" s="18" t="s">
        <v>133</v>
      </c>
      <c r="I267" s="19" t="s">
        <v>198</v>
      </c>
      <c r="J267" s="20">
        <v>45737</v>
      </c>
      <c r="K267" s="20">
        <v>45784</v>
      </c>
      <c r="L267" s="21">
        <v>400000</v>
      </c>
      <c r="M267" s="22">
        <f>SUM(N267:O267)</f>
        <v>386290</v>
      </c>
      <c r="N267" s="23">
        <v>192000</v>
      </c>
      <c r="O267" s="23">
        <v>194290</v>
      </c>
      <c r="P267" s="24">
        <f t="shared" si="231"/>
        <v>208000</v>
      </c>
      <c r="Q267" s="25">
        <v>194280</v>
      </c>
      <c r="R267" s="26">
        <v>128000</v>
      </c>
      <c r="S267" s="91">
        <f t="shared" si="232"/>
        <v>1.625</v>
      </c>
      <c r="T267" s="91">
        <f t="shared" si="233"/>
        <v>1.5178125</v>
      </c>
      <c r="U267" s="27" t="s">
        <v>56</v>
      </c>
      <c r="V267" s="30" t="s">
        <v>59</v>
      </c>
      <c r="W267" s="31">
        <v>45754</v>
      </c>
      <c r="X267" s="22"/>
      <c r="Y267" s="19" t="s">
        <v>52</v>
      </c>
      <c r="Z267" s="19" t="s">
        <v>52</v>
      </c>
      <c r="AA267" s="19" t="s">
        <v>52</v>
      </c>
      <c r="AB267" s="28"/>
    </row>
    <row r="268" spans="1:33" s="29" customFormat="1" ht="15" customHeight="1" x14ac:dyDescent="0.25">
      <c r="A268" s="14">
        <v>9</v>
      </c>
      <c r="B268" s="15">
        <v>45758</v>
      </c>
      <c r="C268" s="15">
        <f t="shared" si="230"/>
        <v>45766</v>
      </c>
      <c r="D268" s="14">
        <v>12547</v>
      </c>
      <c r="E268" s="16" t="s">
        <v>341</v>
      </c>
      <c r="F268" s="40" t="s">
        <v>348</v>
      </c>
      <c r="G268" s="17" t="s">
        <v>75</v>
      </c>
      <c r="H268" s="18" t="s">
        <v>542</v>
      </c>
      <c r="I268" s="19" t="s">
        <v>70</v>
      </c>
      <c r="J268" s="20">
        <v>45694</v>
      </c>
      <c r="K268" s="20">
        <v>45736</v>
      </c>
      <c r="L268" s="21">
        <v>4000000</v>
      </c>
      <c r="M268" s="22">
        <f>SUM(N268:O268)</f>
        <v>1050000</v>
      </c>
      <c r="N268" s="23">
        <v>150000</v>
      </c>
      <c r="O268" s="23">
        <v>900000</v>
      </c>
      <c r="P268" s="24">
        <f t="shared" si="231"/>
        <v>3850000</v>
      </c>
      <c r="Q268" s="25">
        <v>900000</v>
      </c>
      <c r="R268" s="26">
        <v>150000</v>
      </c>
      <c r="S268" s="91">
        <f t="shared" si="232"/>
        <v>25.666666666666668</v>
      </c>
      <c r="T268" s="91">
        <f t="shared" si="233"/>
        <v>6</v>
      </c>
      <c r="U268" s="27" t="s">
        <v>193</v>
      </c>
      <c r="V268" s="30" t="s">
        <v>59</v>
      </c>
      <c r="W268" s="31">
        <v>45757</v>
      </c>
      <c r="X268" s="22"/>
      <c r="Y268" s="19" t="s">
        <v>52</v>
      </c>
      <c r="Z268" s="19" t="s">
        <v>52</v>
      </c>
      <c r="AA268" s="19" t="s">
        <v>52</v>
      </c>
      <c r="AB268" s="28"/>
      <c r="AC268" s="90"/>
    </row>
    <row r="269" spans="1:33" s="29" customFormat="1" ht="15" customHeight="1" x14ac:dyDescent="0.25">
      <c r="A269" s="14">
        <v>15</v>
      </c>
      <c r="B269" s="15">
        <v>45758</v>
      </c>
      <c r="C269" s="15">
        <f t="shared" si="230"/>
        <v>45766</v>
      </c>
      <c r="D269" s="14">
        <v>12647</v>
      </c>
      <c r="E269" s="16" t="s">
        <v>462</v>
      </c>
      <c r="F269" s="40" t="s">
        <v>463</v>
      </c>
      <c r="G269" s="17" t="s">
        <v>75</v>
      </c>
      <c r="H269" s="18" t="s">
        <v>542</v>
      </c>
      <c r="I269" s="19" t="s">
        <v>49</v>
      </c>
      <c r="J269" s="20">
        <v>45715</v>
      </c>
      <c r="K269" s="20">
        <v>45754</v>
      </c>
      <c r="L269" s="21">
        <v>150000</v>
      </c>
      <c r="M269" s="22">
        <f>SUM(N269:O269)</f>
        <v>174000</v>
      </c>
      <c r="N269" s="23">
        <v>0</v>
      </c>
      <c r="O269" s="23">
        <v>174000</v>
      </c>
      <c r="P269" s="24">
        <f t="shared" si="231"/>
        <v>150000</v>
      </c>
      <c r="Q269" s="25">
        <v>174000</v>
      </c>
      <c r="R269" s="26">
        <v>150000</v>
      </c>
      <c r="S269" s="91">
        <f t="shared" si="232"/>
        <v>1</v>
      </c>
      <c r="T269" s="91">
        <f t="shared" si="233"/>
        <v>1.1599999999999999</v>
      </c>
      <c r="U269" s="27" t="s">
        <v>193</v>
      </c>
      <c r="V269" s="19" t="s">
        <v>51</v>
      </c>
      <c r="W269" s="20">
        <v>45751</v>
      </c>
      <c r="X269" s="22"/>
      <c r="Y269" s="19" t="s">
        <v>52</v>
      </c>
      <c r="Z269" s="19" t="s">
        <v>52</v>
      </c>
      <c r="AA269" s="19" t="s">
        <v>52</v>
      </c>
      <c r="AB269" s="28"/>
      <c r="AC269" s="90"/>
    </row>
    <row r="270" spans="1:33" s="29" customFormat="1" ht="15" customHeight="1" x14ac:dyDescent="0.25">
      <c r="A270" s="14">
        <v>19</v>
      </c>
      <c r="B270" s="15">
        <v>45758</v>
      </c>
      <c r="C270" s="15">
        <f t="shared" si="230"/>
        <v>45766</v>
      </c>
      <c r="D270" s="14">
        <v>12731</v>
      </c>
      <c r="E270" s="16" t="s">
        <v>456</v>
      </c>
      <c r="F270" s="40" t="s">
        <v>80</v>
      </c>
      <c r="G270" s="17" t="s">
        <v>75</v>
      </c>
      <c r="H270" s="18" t="s">
        <v>57</v>
      </c>
      <c r="I270" s="19" t="s">
        <v>58</v>
      </c>
      <c r="J270" s="20">
        <v>45741</v>
      </c>
      <c r="K270" s="20">
        <v>45768</v>
      </c>
      <c r="L270" s="21">
        <v>300000</v>
      </c>
      <c r="M270" s="22">
        <f>SUM(N270:O270)</f>
        <v>150000</v>
      </c>
      <c r="N270" s="23">
        <v>0</v>
      </c>
      <c r="O270" s="23">
        <v>150000</v>
      </c>
      <c r="P270" s="24">
        <f t="shared" si="231"/>
        <v>300000</v>
      </c>
      <c r="Q270" s="25">
        <v>150000</v>
      </c>
      <c r="R270" s="26">
        <v>150000</v>
      </c>
      <c r="S270" s="91">
        <f t="shared" si="232"/>
        <v>2</v>
      </c>
      <c r="T270" s="91">
        <f t="shared" si="233"/>
        <v>1</v>
      </c>
      <c r="U270" s="27" t="s">
        <v>193</v>
      </c>
      <c r="V270" s="30" t="s">
        <v>59</v>
      </c>
      <c r="W270" s="31">
        <v>45758</v>
      </c>
      <c r="X270" s="22"/>
      <c r="Y270" s="19" t="s">
        <v>52</v>
      </c>
      <c r="Z270" s="19" t="s">
        <v>52</v>
      </c>
      <c r="AA270" s="19" t="s">
        <v>52</v>
      </c>
      <c r="AB270" s="28"/>
      <c r="AC270" s="90"/>
    </row>
    <row r="271" spans="1:33" s="29" customFormat="1" ht="15" customHeight="1" x14ac:dyDescent="0.25">
      <c r="A271" s="14">
        <v>2</v>
      </c>
      <c r="B271" s="15">
        <v>45758</v>
      </c>
      <c r="C271" s="15">
        <f t="shared" ref="C271:C273" si="235">B271+8</f>
        <v>45766</v>
      </c>
      <c r="D271" s="14">
        <v>12739</v>
      </c>
      <c r="E271" s="16" t="s">
        <v>129</v>
      </c>
      <c r="F271" s="17" t="s">
        <v>555</v>
      </c>
      <c r="G271" s="17" t="s">
        <v>47</v>
      </c>
      <c r="H271" s="18" t="s">
        <v>62</v>
      </c>
      <c r="I271" s="19" t="s">
        <v>63</v>
      </c>
      <c r="J271" s="20">
        <v>45741</v>
      </c>
      <c r="K271" s="20">
        <v>45776</v>
      </c>
      <c r="L271" s="21">
        <v>1000000</v>
      </c>
      <c r="M271" s="22">
        <f t="shared" ref="M271" si="236">SUM(N271:O271)</f>
        <v>504000</v>
      </c>
      <c r="N271" s="23">
        <v>420000</v>
      </c>
      <c r="O271" s="23">
        <v>84000</v>
      </c>
      <c r="P271" s="24">
        <f t="shared" ref="P271:P274" si="237">L271-N271</f>
        <v>580000</v>
      </c>
      <c r="Q271" s="25">
        <v>84000</v>
      </c>
      <c r="R271" s="26">
        <v>84000</v>
      </c>
      <c r="S271" s="91">
        <f t="shared" si="232"/>
        <v>6.9047619047619051</v>
      </c>
      <c r="T271" s="91">
        <f t="shared" si="233"/>
        <v>1</v>
      </c>
      <c r="U271" s="27" t="s">
        <v>193</v>
      </c>
      <c r="V271" s="19" t="s">
        <v>51</v>
      </c>
      <c r="W271" s="20">
        <v>45758</v>
      </c>
      <c r="X271" s="22"/>
      <c r="Y271" s="19" t="s">
        <v>52</v>
      </c>
      <c r="Z271" s="19" t="s">
        <v>52</v>
      </c>
      <c r="AA271" s="19" t="s">
        <v>52</v>
      </c>
      <c r="AB271" s="42"/>
    </row>
    <row r="272" spans="1:33" s="29" customFormat="1" ht="15" customHeight="1" x14ac:dyDescent="0.25">
      <c r="A272" s="14">
        <v>2</v>
      </c>
      <c r="B272" s="15">
        <v>45758</v>
      </c>
      <c r="C272" s="15">
        <f>B272+8</f>
        <v>45766</v>
      </c>
      <c r="D272" s="14">
        <v>12694</v>
      </c>
      <c r="E272" s="16" t="s">
        <v>109</v>
      </c>
      <c r="F272" s="17" t="s">
        <v>110</v>
      </c>
      <c r="G272" s="17" t="s">
        <v>102</v>
      </c>
      <c r="H272" s="18" t="s">
        <v>57</v>
      </c>
      <c r="I272" s="19" t="s">
        <v>94</v>
      </c>
      <c r="J272" s="20">
        <v>45730</v>
      </c>
      <c r="K272" s="20">
        <v>45757</v>
      </c>
      <c r="L272" s="21">
        <v>600000</v>
      </c>
      <c r="M272" s="22">
        <f>SUM(N272:O272)</f>
        <v>500000</v>
      </c>
      <c r="N272" s="23">
        <v>200000</v>
      </c>
      <c r="O272" s="23">
        <v>300000</v>
      </c>
      <c r="P272" s="24">
        <f>L272-N272</f>
        <v>400000</v>
      </c>
      <c r="Q272" s="25">
        <v>300000</v>
      </c>
      <c r="R272" s="26">
        <v>50000</v>
      </c>
      <c r="S272" s="91">
        <f t="shared" si="232"/>
        <v>8</v>
      </c>
      <c r="T272" s="91">
        <f t="shared" si="233"/>
        <v>6</v>
      </c>
      <c r="U272" s="27" t="s">
        <v>193</v>
      </c>
      <c r="V272" s="19" t="s">
        <v>51</v>
      </c>
      <c r="W272" s="20">
        <v>45750</v>
      </c>
      <c r="X272" s="22"/>
      <c r="Y272" s="19" t="s">
        <v>52</v>
      </c>
      <c r="Z272" s="19" t="s">
        <v>52</v>
      </c>
      <c r="AA272" s="19" t="s">
        <v>52</v>
      </c>
      <c r="AB272" s="28"/>
    </row>
    <row r="273" spans="1:33" s="29" customFormat="1" ht="15" customHeight="1" x14ac:dyDescent="0.25">
      <c r="A273" s="14">
        <v>16</v>
      </c>
      <c r="B273" s="15">
        <v>45758</v>
      </c>
      <c r="C273" s="15">
        <f t="shared" si="235"/>
        <v>45766</v>
      </c>
      <c r="D273" s="14">
        <v>12709</v>
      </c>
      <c r="E273" s="16" t="s">
        <v>206</v>
      </c>
      <c r="F273" s="40" t="s">
        <v>207</v>
      </c>
      <c r="G273" s="17" t="s">
        <v>75</v>
      </c>
      <c r="H273" s="18" t="s">
        <v>542</v>
      </c>
      <c r="I273" s="19" t="s">
        <v>49</v>
      </c>
      <c r="J273" s="20">
        <v>45735</v>
      </c>
      <c r="K273" s="20">
        <v>45762</v>
      </c>
      <c r="L273" s="21">
        <v>600000</v>
      </c>
      <c r="M273" s="22">
        <f t="shared" ref="M273:M274" si="238">SUM(N273:O273)</f>
        <v>201000</v>
      </c>
      <c r="N273" s="23">
        <v>0</v>
      </c>
      <c r="O273" s="23">
        <v>201000</v>
      </c>
      <c r="P273" s="24">
        <f t="shared" si="237"/>
        <v>600000</v>
      </c>
      <c r="Q273" s="25">
        <v>201000</v>
      </c>
      <c r="R273" s="26">
        <v>150000</v>
      </c>
      <c r="S273" s="91">
        <f t="shared" si="232"/>
        <v>4</v>
      </c>
      <c r="T273" s="91">
        <f t="shared" si="233"/>
        <v>1.34</v>
      </c>
      <c r="U273" s="27" t="s">
        <v>193</v>
      </c>
      <c r="V273" s="19" t="s">
        <v>51</v>
      </c>
      <c r="W273" s="20">
        <v>45752</v>
      </c>
      <c r="X273" s="22"/>
      <c r="Y273" s="19" t="s">
        <v>52</v>
      </c>
      <c r="Z273" s="19" t="s">
        <v>52</v>
      </c>
      <c r="AA273" s="19" t="s">
        <v>52</v>
      </c>
      <c r="AB273" s="28"/>
      <c r="AC273" s="90"/>
    </row>
    <row r="274" spans="1:33" s="29" customFormat="1" ht="15" customHeight="1" x14ac:dyDescent="0.25">
      <c r="A274" s="14">
        <v>3</v>
      </c>
      <c r="B274" s="15">
        <v>45758</v>
      </c>
      <c r="C274" s="15">
        <f t="shared" ref="C274" si="239">B274+8</f>
        <v>45766</v>
      </c>
      <c r="D274" s="14">
        <v>12693</v>
      </c>
      <c r="E274" s="16" t="s">
        <v>537</v>
      </c>
      <c r="F274" s="17" t="s">
        <v>538</v>
      </c>
      <c r="G274" s="17" t="s">
        <v>102</v>
      </c>
      <c r="H274" s="18" t="s">
        <v>57</v>
      </c>
      <c r="I274" s="19" t="s">
        <v>58</v>
      </c>
      <c r="J274" s="20">
        <v>45734</v>
      </c>
      <c r="K274" s="20">
        <v>45757</v>
      </c>
      <c r="L274" s="21">
        <v>300000</v>
      </c>
      <c r="M274" s="22">
        <f t="shared" si="238"/>
        <v>150000</v>
      </c>
      <c r="N274" s="23">
        <v>100000</v>
      </c>
      <c r="O274" s="23">
        <v>50000</v>
      </c>
      <c r="P274" s="24">
        <f t="shared" si="237"/>
        <v>200000</v>
      </c>
      <c r="Q274" s="25">
        <v>50000</v>
      </c>
      <c r="R274" s="26">
        <v>100000</v>
      </c>
      <c r="S274" s="91">
        <f t="shared" si="232"/>
        <v>2</v>
      </c>
      <c r="T274" s="91">
        <f t="shared" si="233"/>
        <v>0.5</v>
      </c>
      <c r="U274" s="27" t="s">
        <v>193</v>
      </c>
      <c r="V274" s="19" t="s">
        <v>51</v>
      </c>
      <c r="W274" s="20">
        <v>45752</v>
      </c>
      <c r="X274" s="22"/>
      <c r="Y274" s="19" t="s">
        <v>52</v>
      </c>
      <c r="Z274" s="19" t="s">
        <v>52</v>
      </c>
      <c r="AA274" s="19" t="s">
        <v>52</v>
      </c>
      <c r="AB274" s="28"/>
    </row>
    <row r="275" spans="1:33" ht="15" customHeight="1" x14ac:dyDescent="0.25">
      <c r="A275" s="33" t="s">
        <v>71</v>
      </c>
      <c r="B275" s="34"/>
      <c r="C275" s="34"/>
      <c r="D275" s="34"/>
      <c r="E275" s="34"/>
      <c r="F275" s="35"/>
      <c r="G275" s="35"/>
      <c r="H275" s="34"/>
      <c r="I275" s="34"/>
      <c r="J275" s="34"/>
      <c r="K275" s="34"/>
      <c r="L275" s="36"/>
      <c r="M275" s="36"/>
      <c r="N275" s="36"/>
      <c r="O275" s="36"/>
      <c r="P275" s="36"/>
      <c r="Q275" s="36">
        <f>SUM(Q264:Q274)</f>
        <v>2985280</v>
      </c>
      <c r="R275" s="36"/>
      <c r="S275" s="92"/>
      <c r="T275" s="93">
        <f>SUM(T264:T274)</f>
        <v>27.466721230158733</v>
      </c>
      <c r="U275" s="37"/>
      <c r="V275" s="38"/>
      <c r="W275" s="38"/>
      <c r="X275" s="38"/>
      <c r="Y275" s="34"/>
      <c r="Z275" s="34"/>
      <c r="AA275" s="39"/>
      <c r="AB275" s="29" t="s">
        <v>583</v>
      </c>
      <c r="AC275" s="81" t="s">
        <v>589</v>
      </c>
      <c r="AD275" s="83">
        <v>5000</v>
      </c>
      <c r="AF275" s="83">
        <v>0</v>
      </c>
      <c r="AG275" s="83">
        <f>SUM(AD275,AF275)</f>
        <v>5000</v>
      </c>
    </row>
    <row r="276" spans="1:33" s="29" customFormat="1" ht="15" customHeight="1" x14ac:dyDescent="0.25">
      <c r="A276" s="14">
        <v>11</v>
      </c>
      <c r="B276" s="15">
        <v>45762</v>
      </c>
      <c r="C276" s="15">
        <f t="shared" ref="C276:C281" si="240">B276+8</f>
        <v>45770</v>
      </c>
      <c r="D276" s="14">
        <v>12642</v>
      </c>
      <c r="E276" s="16" t="s">
        <v>497</v>
      </c>
      <c r="F276" s="40" t="s">
        <v>498</v>
      </c>
      <c r="G276" s="17" t="s">
        <v>75</v>
      </c>
      <c r="H276" s="18" t="s">
        <v>133</v>
      </c>
      <c r="I276" s="19" t="s">
        <v>198</v>
      </c>
      <c r="J276" s="20">
        <v>45719</v>
      </c>
      <c r="K276" s="20">
        <v>45740</v>
      </c>
      <c r="L276" s="21">
        <v>60000</v>
      </c>
      <c r="M276" s="22">
        <f t="shared" ref="M276:M281" si="241">SUM(N276:O276)</f>
        <v>60000</v>
      </c>
      <c r="N276" s="23">
        <v>0</v>
      </c>
      <c r="O276" s="23">
        <v>60000</v>
      </c>
      <c r="P276" s="24">
        <f t="shared" ref="P276:P281" si="242">L276-N276</f>
        <v>60000</v>
      </c>
      <c r="Q276" s="25">
        <v>60000</v>
      </c>
      <c r="R276" s="26">
        <v>60000</v>
      </c>
      <c r="S276" s="91">
        <f t="shared" ref="S276:S284" si="243">IF(P276&gt;0,P276/$R276,0)</f>
        <v>1</v>
      </c>
      <c r="T276" s="91">
        <f t="shared" ref="T276:T284" si="244">IF(Q276&gt;0,Q276/$R276,0)</f>
        <v>1</v>
      </c>
      <c r="U276" s="27" t="s">
        <v>56</v>
      </c>
      <c r="V276" s="30" t="s">
        <v>59</v>
      </c>
      <c r="W276" s="31">
        <v>45750</v>
      </c>
      <c r="X276" s="22"/>
      <c r="Y276" s="19" t="s">
        <v>52</v>
      </c>
      <c r="Z276" s="19" t="s">
        <v>52</v>
      </c>
      <c r="AA276" s="19" t="s">
        <v>52</v>
      </c>
      <c r="AB276" s="28"/>
      <c r="AC276" s="90"/>
    </row>
    <row r="277" spans="1:33" s="29" customFormat="1" ht="15" customHeight="1" x14ac:dyDescent="0.25">
      <c r="A277" s="14">
        <v>9</v>
      </c>
      <c r="B277" s="15">
        <v>45762</v>
      </c>
      <c r="C277" s="15">
        <f t="shared" si="240"/>
        <v>45770</v>
      </c>
      <c r="D277" s="14">
        <v>12547</v>
      </c>
      <c r="E277" s="16" t="s">
        <v>341</v>
      </c>
      <c r="F277" s="40" t="s">
        <v>348</v>
      </c>
      <c r="G277" s="17" t="s">
        <v>75</v>
      </c>
      <c r="H277" s="18" t="s">
        <v>542</v>
      </c>
      <c r="I277" s="19" t="s">
        <v>70</v>
      </c>
      <c r="J277" s="20">
        <v>45694</v>
      </c>
      <c r="K277" s="20">
        <v>45736</v>
      </c>
      <c r="L277" s="21">
        <v>4000000</v>
      </c>
      <c r="M277" s="22">
        <f t="shared" si="241"/>
        <v>1350000</v>
      </c>
      <c r="N277" s="23">
        <v>150000</v>
      </c>
      <c r="O277" s="23">
        <v>1200000</v>
      </c>
      <c r="P277" s="24">
        <f t="shared" si="242"/>
        <v>3850000</v>
      </c>
      <c r="Q277" s="25">
        <v>1200000</v>
      </c>
      <c r="R277" s="26">
        <v>150000</v>
      </c>
      <c r="S277" s="91">
        <f t="shared" si="243"/>
        <v>25.666666666666668</v>
      </c>
      <c r="T277" s="91">
        <f t="shared" si="244"/>
        <v>8</v>
      </c>
      <c r="U277" s="27" t="s">
        <v>193</v>
      </c>
      <c r="V277" s="30" t="s">
        <v>59</v>
      </c>
      <c r="W277" s="31">
        <v>45757</v>
      </c>
      <c r="X277" s="22"/>
      <c r="Y277" s="19" t="s">
        <v>52</v>
      </c>
      <c r="Z277" s="19" t="s">
        <v>52</v>
      </c>
      <c r="AA277" s="19" t="s">
        <v>52</v>
      </c>
      <c r="AB277" s="28"/>
      <c r="AC277" s="90"/>
    </row>
    <row r="278" spans="1:33" s="29" customFormat="1" ht="15" customHeight="1" x14ac:dyDescent="0.25">
      <c r="A278" s="14">
        <v>1</v>
      </c>
      <c r="B278" s="15">
        <v>45762</v>
      </c>
      <c r="C278" s="15">
        <f t="shared" si="240"/>
        <v>45770</v>
      </c>
      <c r="D278" s="14">
        <v>12484</v>
      </c>
      <c r="E278" s="16" t="s">
        <v>468</v>
      </c>
      <c r="F278" s="17" t="s">
        <v>469</v>
      </c>
      <c r="G278" s="17" t="s">
        <v>47</v>
      </c>
      <c r="H278" s="18" t="s">
        <v>57</v>
      </c>
      <c r="I278" s="19" t="s">
        <v>58</v>
      </c>
      <c r="J278" s="20">
        <v>45686</v>
      </c>
      <c r="K278" s="20">
        <v>45742</v>
      </c>
      <c r="L278" s="21">
        <v>2000000</v>
      </c>
      <c r="M278" s="22">
        <f t="shared" si="241"/>
        <v>1196000</v>
      </c>
      <c r="N278" s="23">
        <v>524000</v>
      </c>
      <c r="O278" s="23">
        <v>672000</v>
      </c>
      <c r="P278" s="24">
        <f t="shared" si="242"/>
        <v>1476000</v>
      </c>
      <c r="Q278" s="25">
        <v>672000</v>
      </c>
      <c r="R278" s="26">
        <v>96000</v>
      </c>
      <c r="S278" s="91">
        <f t="shared" si="243"/>
        <v>15.375</v>
      </c>
      <c r="T278" s="91">
        <f t="shared" si="244"/>
        <v>7</v>
      </c>
      <c r="U278" s="27" t="s">
        <v>193</v>
      </c>
      <c r="V278" s="19" t="s">
        <v>51</v>
      </c>
      <c r="W278" s="20">
        <v>45723</v>
      </c>
      <c r="X278" s="22"/>
      <c r="Y278" s="19" t="s">
        <v>52</v>
      </c>
      <c r="Z278" s="19" t="s">
        <v>52</v>
      </c>
      <c r="AA278" s="19" t="s">
        <v>52</v>
      </c>
      <c r="AB278" s="28"/>
    </row>
    <row r="279" spans="1:33" s="29" customFormat="1" ht="15" customHeight="1" x14ac:dyDescent="0.25">
      <c r="A279" s="14">
        <v>12</v>
      </c>
      <c r="B279" s="15">
        <v>45762</v>
      </c>
      <c r="C279" s="15">
        <f t="shared" si="240"/>
        <v>45770</v>
      </c>
      <c r="D279" s="14">
        <v>12610</v>
      </c>
      <c r="E279" s="16" t="s">
        <v>76</v>
      </c>
      <c r="F279" s="40" t="s">
        <v>77</v>
      </c>
      <c r="G279" s="17" t="s">
        <v>75</v>
      </c>
      <c r="H279" s="18" t="s">
        <v>62</v>
      </c>
      <c r="I279" s="19" t="s">
        <v>63</v>
      </c>
      <c r="J279" s="20">
        <v>45708</v>
      </c>
      <c r="K279" s="20">
        <v>45744</v>
      </c>
      <c r="L279" s="21">
        <v>500000</v>
      </c>
      <c r="M279" s="22">
        <f t="shared" si="241"/>
        <v>300000</v>
      </c>
      <c r="N279" s="23">
        <v>150000</v>
      </c>
      <c r="O279" s="23">
        <v>150000</v>
      </c>
      <c r="P279" s="24">
        <f t="shared" si="242"/>
        <v>350000</v>
      </c>
      <c r="Q279" s="25">
        <v>150000</v>
      </c>
      <c r="R279" s="26">
        <v>150000</v>
      </c>
      <c r="S279" s="91">
        <f t="shared" si="243"/>
        <v>2.3333333333333335</v>
      </c>
      <c r="T279" s="91">
        <f t="shared" si="244"/>
        <v>1</v>
      </c>
      <c r="U279" s="27" t="s">
        <v>193</v>
      </c>
      <c r="V279" s="19" t="s">
        <v>51</v>
      </c>
      <c r="W279" s="20">
        <v>45744</v>
      </c>
      <c r="X279" s="22"/>
      <c r="Y279" s="19" t="s">
        <v>52</v>
      </c>
      <c r="Z279" s="19" t="s">
        <v>52</v>
      </c>
      <c r="AA279" s="19" t="s">
        <v>52</v>
      </c>
      <c r="AB279" s="28"/>
      <c r="AC279" s="90"/>
    </row>
    <row r="280" spans="1:33" s="29" customFormat="1" ht="15" customHeight="1" x14ac:dyDescent="0.25">
      <c r="A280" s="14">
        <v>13</v>
      </c>
      <c r="B280" s="15">
        <v>45762</v>
      </c>
      <c r="C280" s="15">
        <f t="shared" si="240"/>
        <v>45770</v>
      </c>
      <c r="D280" s="14">
        <v>12672</v>
      </c>
      <c r="E280" s="16" t="s">
        <v>295</v>
      </c>
      <c r="F280" s="40" t="s">
        <v>296</v>
      </c>
      <c r="G280" s="17" t="s">
        <v>75</v>
      </c>
      <c r="H280" s="18" t="s">
        <v>542</v>
      </c>
      <c r="I280" s="19" t="s">
        <v>49</v>
      </c>
      <c r="J280" s="20">
        <v>45723</v>
      </c>
      <c r="K280" s="20">
        <v>45747</v>
      </c>
      <c r="L280" s="21">
        <v>2000000</v>
      </c>
      <c r="M280" s="22">
        <f t="shared" si="241"/>
        <v>2097000</v>
      </c>
      <c r="N280" s="23">
        <v>1797000</v>
      </c>
      <c r="O280" s="23">
        <v>300000</v>
      </c>
      <c r="P280" s="24">
        <f t="shared" si="242"/>
        <v>203000</v>
      </c>
      <c r="Q280" s="25">
        <v>300000</v>
      </c>
      <c r="R280" s="26">
        <v>150000</v>
      </c>
      <c r="S280" s="91">
        <f t="shared" si="243"/>
        <v>1.3533333333333333</v>
      </c>
      <c r="T280" s="91">
        <f t="shared" si="244"/>
        <v>2</v>
      </c>
      <c r="U280" s="27" t="s">
        <v>193</v>
      </c>
      <c r="V280" s="19" t="s">
        <v>51</v>
      </c>
      <c r="W280" s="20">
        <v>45730</v>
      </c>
      <c r="X280" s="22"/>
      <c r="Y280" s="19" t="s">
        <v>52</v>
      </c>
      <c r="Z280" s="19" t="s">
        <v>52</v>
      </c>
      <c r="AA280" s="19" t="s">
        <v>52</v>
      </c>
      <c r="AB280" s="28"/>
      <c r="AC280" s="90"/>
    </row>
    <row r="281" spans="1:33" s="29" customFormat="1" ht="15" customHeight="1" x14ac:dyDescent="0.25">
      <c r="A281" s="14">
        <v>17</v>
      </c>
      <c r="B281" s="15">
        <v>45762</v>
      </c>
      <c r="C281" s="15">
        <f t="shared" si="240"/>
        <v>45770</v>
      </c>
      <c r="D281" s="14">
        <v>12710</v>
      </c>
      <c r="E281" s="16" t="s">
        <v>190</v>
      </c>
      <c r="F281" s="40" t="s">
        <v>191</v>
      </c>
      <c r="G281" s="17" t="s">
        <v>75</v>
      </c>
      <c r="H281" s="18" t="s">
        <v>542</v>
      </c>
      <c r="I281" s="19" t="s">
        <v>49</v>
      </c>
      <c r="J281" s="20">
        <v>45735</v>
      </c>
      <c r="K281" s="20">
        <v>45762</v>
      </c>
      <c r="L281" s="21">
        <v>200000</v>
      </c>
      <c r="M281" s="22">
        <f t="shared" si="241"/>
        <v>196000</v>
      </c>
      <c r="N281" s="23">
        <v>100000</v>
      </c>
      <c r="O281" s="23">
        <v>96000</v>
      </c>
      <c r="P281" s="24">
        <f t="shared" si="242"/>
        <v>100000</v>
      </c>
      <c r="Q281" s="25">
        <v>96000</v>
      </c>
      <c r="R281" s="26">
        <v>50000</v>
      </c>
      <c r="S281" s="91">
        <f t="shared" si="243"/>
        <v>2</v>
      </c>
      <c r="T281" s="91">
        <f t="shared" si="244"/>
        <v>1.92</v>
      </c>
      <c r="U281" s="27" t="s">
        <v>193</v>
      </c>
      <c r="V281" s="19" t="s">
        <v>51</v>
      </c>
      <c r="W281" s="20">
        <v>45751</v>
      </c>
      <c r="X281" s="22"/>
      <c r="Y281" s="19" t="s">
        <v>52</v>
      </c>
      <c r="Z281" s="19" t="s">
        <v>52</v>
      </c>
      <c r="AA281" s="19" t="s">
        <v>52</v>
      </c>
      <c r="AB281" s="28"/>
      <c r="AC281" s="90"/>
    </row>
    <row r="282" spans="1:33" s="29" customFormat="1" ht="15" customHeight="1" x14ac:dyDescent="0.25">
      <c r="A282" s="14">
        <v>2</v>
      </c>
      <c r="B282" s="15">
        <v>45762</v>
      </c>
      <c r="C282" s="15">
        <f t="shared" ref="C282:C284" si="245">B282+8</f>
        <v>45770</v>
      </c>
      <c r="D282" s="14">
        <v>12739</v>
      </c>
      <c r="E282" s="16" t="s">
        <v>129</v>
      </c>
      <c r="F282" s="17" t="s">
        <v>555</v>
      </c>
      <c r="G282" s="17" t="s">
        <v>47</v>
      </c>
      <c r="H282" s="18" t="s">
        <v>62</v>
      </c>
      <c r="I282" s="19" t="s">
        <v>63</v>
      </c>
      <c r="J282" s="20">
        <v>45741</v>
      </c>
      <c r="K282" s="20">
        <v>45776</v>
      </c>
      <c r="L282" s="21">
        <v>1000000</v>
      </c>
      <c r="M282" s="22">
        <f t="shared" ref="M282" si="246">SUM(N282:O282)</f>
        <v>672000</v>
      </c>
      <c r="N282" s="23">
        <v>504000</v>
      </c>
      <c r="O282" s="23">
        <v>168000</v>
      </c>
      <c r="P282" s="24">
        <f t="shared" ref="P282:P284" si="247">L282-N282</f>
        <v>496000</v>
      </c>
      <c r="Q282" s="25">
        <v>168000</v>
      </c>
      <c r="R282" s="26">
        <v>84000</v>
      </c>
      <c r="S282" s="91">
        <f t="shared" si="243"/>
        <v>5.9047619047619051</v>
      </c>
      <c r="T282" s="91">
        <f t="shared" si="244"/>
        <v>2</v>
      </c>
      <c r="U282" s="27" t="s">
        <v>193</v>
      </c>
      <c r="V282" s="19" t="s">
        <v>51</v>
      </c>
      <c r="W282" s="20">
        <v>45758</v>
      </c>
      <c r="X282" s="22"/>
      <c r="Y282" s="19" t="s">
        <v>52</v>
      </c>
      <c r="Z282" s="19" t="s">
        <v>52</v>
      </c>
      <c r="AA282" s="19" t="s">
        <v>52</v>
      </c>
      <c r="AB282" s="42"/>
    </row>
    <row r="283" spans="1:33" s="29" customFormat="1" ht="15" customHeight="1" x14ac:dyDescent="0.25">
      <c r="A283" s="14">
        <v>22</v>
      </c>
      <c r="B283" s="15">
        <v>45762</v>
      </c>
      <c r="C283" s="15">
        <f t="shared" si="245"/>
        <v>45770</v>
      </c>
      <c r="D283" s="14">
        <v>12755</v>
      </c>
      <c r="E283" s="16" t="s">
        <v>427</v>
      </c>
      <c r="F283" s="40" t="s">
        <v>561</v>
      </c>
      <c r="G283" s="17" t="s">
        <v>75</v>
      </c>
      <c r="H283" s="18" t="s">
        <v>57</v>
      </c>
      <c r="I283" s="19" t="s">
        <v>58</v>
      </c>
      <c r="J283" s="20">
        <v>45743</v>
      </c>
      <c r="K283" s="20">
        <v>45778</v>
      </c>
      <c r="L283" s="21">
        <v>300000</v>
      </c>
      <c r="M283" s="22">
        <f t="shared" ref="M283:M284" si="248">SUM(N283:O283)</f>
        <v>144000</v>
      </c>
      <c r="N283" s="23">
        <v>0</v>
      </c>
      <c r="O283" s="23">
        <v>144000</v>
      </c>
      <c r="P283" s="24">
        <f t="shared" si="247"/>
        <v>300000</v>
      </c>
      <c r="Q283" s="25">
        <v>105000</v>
      </c>
      <c r="R283" s="26">
        <v>144000</v>
      </c>
      <c r="S283" s="91">
        <f t="shared" si="243"/>
        <v>2.0833333333333335</v>
      </c>
      <c r="T283" s="91">
        <f t="shared" si="244"/>
        <v>0.72916666666666663</v>
      </c>
      <c r="U283" s="27" t="s">
        <v>193</v>
      </c>
      <c r="V283" s="30" t="s">
        <v>59</v>
      </c>
      <c r="W283" s="31">
        <v>45759</v>
      </c>
      <c r="X283" s="22"/>
      <c r="Y283" s="19" t="s">
        <v>52</v>
      </c>
      <c r="Z283" s="19" t="s">
        <v>52</v>
      </c>
      <c r="AA283" s="19" t="s">
        <v>52</v>
      </c>
      <c r="AB283" s="28"/>
      <c r="AC283" s="90"/>
    </row>
    <row r="284" spans="1:33" s="29" customFormat="1" ht="15" customHeight="1" x14ac:dyDescent="0.25">
      <c r="A284" s="14">
        <v>18</v>
      </c>
      <c r="B284" s="15">
        <v>45762</v>
      </c>
      <c r="C284" s="15">
        <f t="shared" si="245"/>
        <v>45770</v>
      </c>
      <c r="D284" s="14">
        <v>12704</v>
      </c>
      <c r="E284" s="16" t="s">
        <v>87</v>
      </c>
      <c r="F284" s="40" t="s">
        <v>88</v>
      </c>
      <c r="G284" s="17" t="s">
        <v>75</v>
      </c>
      <c r="H284" s="18" t="s">
        <v>542</v>
      </c>
      <c r="I284" s="19" t="s">
        <v>49</v>
      </c>
      <c r="J284" s="20">
        <v>45755</v>
      </c>
      <c r="K284" s="20">
        <v>45765</v>
      </c>
      <c r="L284" s="21">
        <v>1200000</v>
      </c>
      <c r="M284" s="22">
        <f t="shared" si="248"/>
        <v>150000</v>
      </c>
      <c r="N284" s="23">
        <v>0</v>
      </c>
      <c r="O284" s="23">
        <v>150000</v>
      </c>
      <c r="P284" s="24">
        <f t="shared" si="247"/>
        <v>1200000</v>
      </c>
      <c r="Q284" s="25">
        <v>150000</v>
      </c>
      <c r="R284" s="26">
        <v>150000</v>
      </c>
      <c r="S284" s="91">
        <f t="shared" si="243"/>
        <v>8</v>
      </c>
      <c r="T284" s="91">
        <f t="shared" si="244"/>
        <v>1</v>
      </c>
      <c r="U284" s="27" t="s">
        <v>193</v>
      </c>
      <c r="V284" s="30" t="s">
        <v>68</v>
      </c>
      <c r="W284" s="31" t="s">
        <v>68</v>
      </c>
      <c r="X284" s="22"/>
      <c r="Y284" s="19" t="s">
        <v>52</v>
      </c>
      <c r="Z284" s="19" t="s">
        <v>52</v>
      </c>
      <c r="AA284" s="19" t="s">
        <v>52</v>
      </c>
      <c r="AB284" s="28"/>
      <c r="AC284" s="90"/>
    </row>
    <row r="285" spans="1:33" ht="15" customHeight="1" x14ac:dyDescent="0.25">
      <c r="A285" s="33" t="s">
        <v>71</v>
      </c>
      <c r="B285" s="34"/>
      <c r="C285" s="34"/>
      <c r="D285" s="34"/>
      <c r="E285" s="34"/>
      <c r="F285" s="35"/>
      <c r="G285" s="35"/>
      <c r="H285" s="34"/>
      <c r="I285" s="34"/>
      <c r="J285" s="34"/>
      <c r="K285" s="34"/>
      <c r="L285" s="36"/>
      <c r="M285" s="36"/>
      <c r="N285" s="36"/>
      <c r="O285" s="36"/>
      <c r="P285" s="36"/>
      <c r="Q285" s="36">
        <f>SUM(Q276:Q284)</f>
        <v>2901000</v>
      </c>
      <c r="R285" s="36"/>
      <c r="S285" s="92"/>
      <c r="T285" s="93">
        <f>SUM(T276:T284)</f>
        <v>24.64916666666667</v>
      </c>
      <c r="U285" s="37"/>
      <c r="V285" s="38"/>
      <c r="W285" s="38"/>
      <c r="X285" s="38"/>
      <c r="Y285" s="34"/>
      <c r="Z285" s="34"/>
      <c r="AA285" s="39"/>
      <c r="AB285" s="29" t="s">
        <v>585</v>
      </c>
      <c r="AC285" s="81" t="s">
        <v>590</v>
      </c>
      <c r="AD285" s="83">
        <v>5000</v>
      </c>
      <c r="AF285" s="83">
        <v>0</v>
      </c>
      <c r="AG285" s="83">
        <f>SUM(AD285,AF285)</f>
        <v>5000</v>
      </c>
    </row>
    <row r="286" spans="1:33" s="29" customFormat="1" ht="15" customHeight="1" x14ac:dyDescent="0.25">
      <c r="A286" s="14">
        <v>1</v>
      </c>
      <c r="B286" s="15">
        <v>45762</v>
      </c>
      <c r="C286" s="15">
        <f t="shared" ref="C286:C290" si="249">B286+8</f>
        <v>45770</v>
      </c>
      <c r="D286" s="14">
        <v>12667</v>
      </c>
      <c r="E286" s="16" t="s">
        <v>466</v>
      </c>
      <c r="F286" s="17" t="s">
        <v>467</v>
      </c>
      <c r="G286" s="17" t="s">
        <v>102</v>
      </c>
      <c r="H286" s="18" t="s">
        <v>57</v>
      </c>
      <c r="I286" s="19" t="s">
        <v>58</v>
      </c>
      <c r="J286" s="20">
        <v>45723</v>
      </c>
      <c r="K286" s="20">
        <v>45751</v>
      </c>
      <c r="L286" s="21">
        <v>1000000</v>
      </c>
      <c r="M286" s="22">
        <f t="shared" ref="M286:M290" si="250">SUM(N286:O286)</f>
        <v>500000</v>
      </c>
      <c r="N286" s="23">
        <v>200000</v>
      </c>
      <c r="O286" s="23">
        <v>300000</v>
      </c>
      <c r="P286" s="24">
        <f t="shared" ref="P286:P290" si="251">L286-N286</f>
        <v>800000</v>
      </c>
      <c r="Q286" s="25">
        <v>300000</v>
      </c>
      <c r="R286" s="26">
        <v>50000</v>
      </c>
      <c r="S286" s="91">
        <f t="shared" ref="S286:S290" si="252">IF(P286&gt;0,P286/$R286,0)</f>
        <v>16</v>
      </c>
      <c r="T286" s="91">
        <f t="shared" ref="T286:T290" si="253">IF(Q286&gt;0,Q286/$R286,0)</f>
        <v>6</v>
      </c>
      <c r="U286" s="27" t="s">
        <v>193</v>
      </c>
      <c r="V286" s="19" t="s">
        <v>51</v>
      </c>
      <c r="W286" s="20">
        <v>45751</v>
      </c>
      <c r="X286" s="22"/>
      <c r="Y286" s="19" t="s">
        <v>52</v>
      </c>
      <c r="Z286" s="19" t="s">
        <v>52</v>
      </c>
      <c r="AA286" s="19" t="s">
        <v>52</v>
      </c>
      <c r="AB286" s="28"/>
    </row>
    <row r="287" spans="1:33" s="29" customFormat="1" ht="15" customHeight="1" x14ac:dyDescent="0.25">
      <c r="A287" s="14">
        <v>19</v>
      </c>
      <c r="B287" s="15">
        <v>45762</v>
      </c>
      <c r="C287" s="15">
        <f>B287+8</f>
        <v>45770</v>
      </c>
      <c r="D287" s="14">
        <v>12731</v>
      </c>
      <c r="E287" s="16" t="s">
        <v>456</v>
      </c>
      <c r="F287" s="40" t="s">
        <v>80</v>
      </c>
      <c r="G287" s="17" t="s">
        <v>75</v>
      </c>
      <c r="H287" s="18" t="s">
        <v>57</v>
      </c>
      <c r="I287" s="19" t="s">
        <v>58</v>
      </c>
      <c r="J287" s="20">
        <v>45741</v>
      </c>
      <c r="K287" s="20">
        <v>45768</v>
      </c>
      <c r="L287" s="21">
        <v>300000</v>
      </c>
      <c r="M287" s="22">
        <f>SUM(N287:O287)</f>
        <v>150000</v>
      </c>
      <c r="N287" s="23">
        <v>0</v>
      </c>
      <c r="O287" s="23">
        <v>150000</v>
      </c>
      <c r="P287" s="24">
        <f>L287-N287</f>
        <v>300000</v>
      </c>
      <c r="Q287" s="25">
        <v>150000</v>
      </c>
      <c r="R287" s="26">
        <v>150000</v>
      </c>
      <c r="S287" s="91">
        <f t="shared" si="252"/>
        <v>2</v>
      </c>
      <c r="T287" s="91">
        <f t="shared" si="253"/>
        <v>1</v>
      </c>
      <c r="U287" s="27" t="s">
        <v>193</v>
      </c>
      <c r="V287" s="30" t="s">
        <v>59</v>
      </c>
      <c r="W287" s="31">
        <v>45758</v>
      </c>
      <c r="X287" s="22"/>
      <c r="Y287" s="19" t="s">
        <v>52</v>
      </c>
      <c r="Z287" s="19" t="s">
        <v>52</v>
      </c>
      <c r="AA287" s="19" t="s">
        <v>52</v>
      </c>
      <c r="AB287" s="28"/>
      <c r="AC287" s="90"/>
    </row>
    <row r="288" spans="1:33" s="29" customFormat="1" ht="15" customHeight="1" x14ac:dyDescent="0.25">
      <c r="A288" s="14">
        <v>4</v>
      </c>
      <c r="B288" s="15">
        <v>45762</v>
      </c>
      <c r="C288" s="15">
        <f>B288+8</f>
        <v>45770</v>
      </c>
      <c r="D288" s="14">
        <v>12716</v>
      </c>
      <c r="E288" s="16" t="s">
        <v>121</v>
      </c>
      <c r="F288" s="17" t="s">
        <v>122</v>
      </c>
      <c r="G288" s="17" t="s">
        <v>102</v>
      </c>
      <c r="H288" s="18" t="s">
        <v>542</v>
      </c>
      <c r="I288" s="19" t="s">
        <v>70</v>
      </c>
      <c r="J288" s="20">
        <v>45736</v>
      </c>
      <c r="K288" s="20">
        <v>45777</v>
      </c>
      <c r="L288" s="21">
        <v>300000</v>
      </c>
      <c r="M288" s="22">
        <f>SUM(N288:O288)</f>
        <v>100000</v>
      </c>
      <c r="N288" s="23">
        <v>0</v>
      </c>
      <c r="O288" s="23">
        <v>100000</v>
      </c>
      <c r="P288" s="24">
        <f>L288-N288</f>
        <v>300000</v>
      </c>
      <c r="Q288" s="25">
        <v>100000</v>
      </c>
      <c r="R288" s="26">
        <v>50000</v>
      </c>
      <c r="S288" s="91">
        <f t="shared" si="252"/>
        <v>6</v>
      </c>
      <c r="T288" s="91">
        <f t="shared" si="253"/>
        <v>2</v>
      </c>
      <c r="U288" s="27" t="s">
        <v>193</v>
      </c>
      <c r="V288" s="30" t="s">
        <v>59</v>
      </c>
      <c r="W288" s="31">
        <v>45757</v>
      </c>
      <c r="X288" s="22"/>
      <c r="Y288" s="19" t="s">
        <v>52</v>
      </c>
      <c r="Z288" s="19" t="s">
        <v>52</v>
      </c>
      <c r="AA288" s="19" t="s">
        <v>52</v>
      </c>
      <c r="AB288" s="28"/>
    </row>
    <row r="289" spans="1:33" s="29" customFormat="1" ht="15" customHeight="1" x14ac:dyDescent="0.25">
      <c r="A289" s="14">
        <v>2</v>
      </c>
      <c r="B289" s="15">
        <v>45762</v>
      </c>
      <c r="C289" s="15">
        <f t="shared" si="249"/>
        <v>45770</v>
      </c>
      <c r="D289" s="14">
        <v>12694</v>
      </c>
      <c r="E289" s="16" t="s">
        <v>109</v>
      </c>
      <c r="F289" s="17" t="s">
        <v>110</v>
      </c>
      <c r="G289" s="17" t="s">
        <v>102</v>
      </c>
      <c r="H289" s="18" t="s">
        <v>57</v>
      </c>
      <c r="I289" s="19" t="s">
        <v>94</v>
      </c>
      <c r="J289" s="20">
        <v>45730</v>
      </c>
      <c r="K289" s="20">
        <v>45757</v>
      </c>
      <c r="L289" s="21">
        <v>600000</v>
      </c>
      <c r="M289" s="22">
        <f t="shared" si="250"/>
        <v>579000</v>
      </c>
      <c r="N289" s="23">
        <v>300000</v>
      </c>
      <c r="O289" s="23">
        <v>279000</v>
      </c>
      <c r="P289" s="24">
        <f t="shared" si="251"/>
        <v>300000</v>
      </c>
      <c r="Q289" s="25">
        <v>279000</v>
      </c>
      <c r="R289" s="26">
        <v>50000</v>
      </c>
      <c r="S289" s="91">
        <f t="shared" si="252"/>
        <v>6</v>
      </c>
      <c r="T289" s="91">
        <f t="shared" si="253"/>
        <v>5.58</v>
      </c>
      <c r="U289" s="27" t="s">
        <v>193</v>
      </c>
      <c r="V289" s="19" t="s">
        <v>51</v>
      </c>
      <c r="W289" s="20">
        <v>45750</v>
      </c>
      <c r="X289" s="22"/>
      <c r="Y289" s="19" t="s">
        <v>52</v>
      </c>
      <c r="Z289" s="19" t="s">
        <v>52</v>
      </c>
      <c r="AA289" s="19" t="s">
        <v>52</v>
      </c>
      <c r="AB289" s="28"/>
    </row>
    <row r="290" spans="1:33" s="29" customFormat="1" ht="15" customHeight="1" x14ac:dyDescent="0.25">
      <c r="A290" s="14">
        <v>3</v>
      </c>
      <c r="B290" s="15">
        <v>45762</v>
      </c>
      <c r="C290" s="15">
        <f t="shared" si="249"/>
        <v>45770</v>
      </c>
      <c r="D290" s="14">
        <v>12693</v>
      </c>
      <c r="E290" s="16" t="s">
        <v>537</v>
      </c>
      <c r="F290" s="17" t="s">
        <v>538</v>
      </c>
      <c r="G290" s="17" t="s">
        <v>102</v>
      </c>
      <c r="H290" s="18" t="s">
        <v>57</v>
      </c>
      <c r="I290" s="19" t="s">
        <v>58</v>
      </c>
      <c r="J290" s="20">
        <v>45734</v>
      </c>
      <c r="K290" s="20">
        <v>45757</v>
      </c>
      <c r="L290" s="21">
        <v>300000</v>
      </c>
      <c r="M290" s="22">
        <f t="shared" si="250"/>
        <v>307000</v>
      </c>
      <c r="N290" s="23">
        <v>200000</v>
      </c>
      <c r="O290" s="23">
        <v>107000</v>
      </c>
      <c r="P290" s="24">
        <f t="shared" si="251"/>
        <v>100000</v>
      </c>
      <c r="Q290" s="25">
        <v>107000</v>
      </c>
      <c r="R290" s="26">
        <v>100000</v>
      </c>
      <c r="S290" s="91">
        <f t="shared" si="252"/>
        <v>1</v>
      </c>
      <c r="T290" s="91">
        <f t="shared" si="253"/>
        <v>1.07</v>
      </c>
      <c r="U290" s="27" t="s">
        <v>193</v>
      </c>
      <c r="V290" s="19" t="s">
        <v>51</v>
      </c>
      <c r="W290" s="20">
        <v>45752</v>
      </c>
      <c r="X290" s="22"/>
      <c r="Y290" s="19" t="s">
        <v>52</v>
      </c>
      <c r="Z290" s="19" t="s">
        <v>52</v>
      </c>
      <c r="AA290" s="19" t="s">
        <v>52</v>
      </c>
      <c r="AB290" s="28"/>
    </row>
    <row r="291" spans="1:33" ht="15" customHeight="1" x14ac:dyDescent="0.25">
      <c r="A291" s="33" t="s">
        <v>71</v>
      </c>
      <c r="B291" s="34"/>
      <c r="C291" s="34"/>
      <c r="D291" s="34"/>
      <c r="E291" s="34"/>
      <c r="F291" s="35"/>
      <c r="G291" s="35"/>
      <c r="H291" s="34"/>
      <c r="I291" s="34"/>
      <c r="J291" s="34"/>
      <c r="K291" s="34"/>
      <c r="L291" s="36"/>
      <c r="M291" s="36"/>
      <c r="N291" s="36"/>
      <c r="O291" s="36"/>
      <c r="P291" s="36"/>
      <c r="Q291" s="36">
        <f>SUM(Q286:Q290)</f>
        <v>936000</v>
      </c>
      <c r="R291" s="36"/>
      <c r="S291" s="92"/>
      <c r="T291" s="93">
        <f>SUM(T286:T290)</f>
        <v>15.65</v>
      </c>
      <c r="U291" s="37"/>
      <c r="V291" s="38"/>
      <c r="W291" s="38"/>
      <c r="X291" s="38"/>
      <c r="Y291" s="34"/>
      <c r="Z291" s="34"/>
      <c r="AA291" s="39"/>
      <c r="AB291" s="29" t="s">
        <v>586</v>
      </c>
      <c r="AC291" s="81" t="s">
        <v>603</v>
      </c>
      <c r="AD291" s="83">
        <v>3541.67</v>
      </c>
      <c r="AF291" s="83">
        <v>0</v>
      </c>
      <c r="AG291" s="83">
        <f>SUM(AD291,AF291)</f>
        <v>3541.67</v>
      </c>
    </row>
    <row r="292" spans="1:33" s="29" customFormat="1" ht="15" customHeight="1" x14ac:dyDescent="0.25">
      <c r="A292" s="14">
        <v>5</v>
      </c>
      <c r="B292" s="15">
        <v>45769</v>
      </c>
      <c r="C292" s="15">
        <f t="shared" ref="C292:C297" si="254">B292+8</f>
        <v>45777</v>
      </c>
      <c r="D292" s="14">
        <v>12547</v>
      </c>
      <c r="E292" s="16" t="s">
        <v>341</v>
      </c>
      <c r="F292" s="40" t="s">
        <v>348</v>
      </c>
      <c r="G292" s="17" t="s">
        <v>75</v>
      </c>
      <c r="H292" s="18" t="s">
        <v>542</v>
      </c>
      <c r="I292" s="19" t="s">
        <v>70</v>
      </c>
      <c r="J292" s="20">
        <v>45694</v>
      </c>
      <c r="K292" s="20">
        <v>45736</v>
      </c>
      <c r="L292" s="21">
        <v>4000000</v>
      </c>
      <c r="M292" s="22">
        <f t="shared" ref="M292:M297" si="255">SUM(N292:O292)</f>
        <v>3000000</v>
      </c>
      <c r="N292" s="23">
        <v>2250000</v>
      </c>
      <c r="O292" s="23">
        <v>750000</v>
      </c>
      <c r="P292" s="24">
        <f t="shared" ref="P292:P297" si="256">L292-N292</f>
        <v>1750000</v>
      </c>
      <c r="Q292" s="25">
        <v>750000</v>
      </c>
      <c r="R292" s="26">
        <v>150000</v>
      </c>
      <c r="S292" s="91">
        <f t="shared" ref="S292:S297" si="257">IF(P292&gt;0,P292/$R292,0)</f>
        <v>11.666666666666666</v>
      </c>
      <c r="T292" s="91">
        <f t="shared" ref="T292:T297" si="258">IF(Q292&gt;0,Q292/$R292,0)</f>
        <v>5</v>
      </c>
      <c r="U292" s="27" t="s">
        <v>193</v>
      </c>
      <c r="V292" s="19" t="s">
        <v>51</v>
      </c>
      <c r="W292" s="20">
        <v>45759</v>
      </c>
      <c r="X292" s="22"/>
      <c r="Y292" s="19" t="s">
        <v>52</v>
      </c>
      <c r="Z292" s="19" t="s">
        <v>52</v>
      </c>
      <c r="AA292" s="19" t="s">
        <v>52</v>
      </c>
      <c r="AB292" s="28"/>
      <c r="AC292" s="90"/>
    </row>
    <row r="293" spans="1:33" s="29" customFormat="1" ht="15" customHeight="1" x14ac:dyDescent="0.25">
      <c r="A293" s="14">
        <v>6</v>
      </c>
      <c r="B293" s="15">
        <v>45769</v>
      </c>
      <c r="C293" s="15">
        <f>B293+8</f>
        <v>45777</v>
      </c>
      <c r="D293" s="14">
        <v>12612</v>
      </c>
      <c r="E293" s="16" t="s">
        <v>340</v>
      </c>
      <c r="F293" s="40" t="s">
        <v>201</v>
      </c>
      <c r="G293" s="17" t="s">
        <v>75</v>
      </c>
      <c r="H293" s="18" t="s">
        <v>57</v>
      </c>
      <c r="I293" s="19" t="s">
        <v>58</v>
      </c>
      <c r="J293" s="20">
        <v>45708</v>
      </c>
      <c r="K293" s="20">
        <v>45736</v>
      </c>
      <c r="L293" s="21">
        <v>750000</v>
      </c>
      <c r="M293" s="22">
        <f>SUM(N293:O293)</f>
        <v>450000</v>
      </c>
      <c r="N293" s="23">
        <v>0</v>
      </c>
      <c r="O293" s="23">
        <v>450000</v>
      </c>
      <c r="P293" s="24">
        <f>L293-N293</f>
        <v>750000</v>
      </c>
      <c r="Q293" s="25">
        <v>450000</v>
      </c>
      <c r="R293" s="26">
        <v>150000</v>
      </c>
      <c r="S293" s="91">
        <f t="shared" si="257"/>
        <v>5</v>
      </c>
      <c r="T293" s="91">
        <f t="shared" si="258"/>
        <v>3</v>
      </c>
      <c r="U293" s="27" t="s">
        <v>193</v>
      </c>
      <c r="V293" s="19" t="s">
        <v>51</v>
      </c>
      <c r="W293" s="20">
        <v>45761</v>
      </c>
      <c r="X293" s="22"/>
      <c r="Y293" s="19" t="s">
        <v>52</v>
      </c>
      <c r="Z293" s="19" t="s">
        <v>52</v>
      </c>
      <c r="AA293" s="19" t="s">
        <v>52</v>
      </c>
      <c r="AB293" s="28"/>
      <c r="AC293" s="90"/>
    </row>
    <row r="294" spans="1:33" s="29" customFormat="1" ht="15" customHeight="1" x14ac:dyDescent="0.25">
      <c r="A294" s="14">
        <v>4</v>
      </c>
      <c r="B294" s="15">
        <v>45769</v>
      </c>
      <c r="C294" s="15">
        <f>B294+8</f>
        <v>45777</v>
      </c>
      <c r="D294" s="14">
        <v>12741</v>
      </c>
      <c r="E294" s="16" t="s">
        <v>400</v>
      </c>
      <c r="F294" s="17" t="s">
        <v>401</v>
      </c>
      <c r="G294" s="17" t="s">
        <v>47</v>
      </c>
      <c r="H294" s="18" t="s">
        <v>542</v>
      </c>
      <c r="I294" s="19" t="s">
        <v>49</v>
      </c>
      <c r="J294" s="20">
        <v>45742</v>
      </c>
      <c r="K294" s="20">
        <v>45777</v>
      </c>
      <c r="L294" s="21">
        <v>100000</v>
      </c>
      <c r="M294" s="22">
        <f t="shared" ref="M294" si="259">SUM(N294:O294)</f>
        <v>106000</v>
      </c>
      <c r="N294" s="23">
        <v>0</v>
      </c>
      <c r="O294" s="23">
        <v>106000</v>
      </c>
      <c r="P294" s="24">
        <f>L294-N294</f>
        <v>100000</v>
      </c>
      <c r="Q294" s="25">
        <v>106000</v>
      </c>
      <c r="R294" s="26">
        <v>100000</v>
      </c>
      <c r="S294" s="91">
        <f t="shared" si="257"/>
        <v>1</v>
      </c>
      <c r="T294" s="91">
        <f t="shared" si="258"/>
        <v>1.06</v>
      </c>
      <c r="U294" s="27" t="s">
        <v>193</v>
      </c>
      <c r="V294" s="19" t="s">
        <v>51</v>
      </c>
      <c r="W294" s="20">
        <v>45759</v>
      </c>
      <c r="X294" s="22"/>
      <c r="Y294" s="19" t="s">
        <v>52</v>
      </c>
      <c r="Z294" s="19" t="s">
        <v>52</v>
      </c>
      <c r="AA294" s="19" t="s">
        <v>52</v>
      </c>
      <c r="AB294" s="42"/>
    </row>
    <row r="295" spans="1:33" s="29" customFormat="1" ht="15" customHeight="1" x14ac:dyDescent="0.25">
      <c r="A295" s="14">
        <v>15</v>
      </c>
      <c r="B295" s="15">
        <v>45769</v>
      </c>
      <c r="C295" s="15">
        <f>B295+8</f>
        <v>45777</v>
      </c>
      <c r="D295" s="14">
        <v>12772</v>
      </c>
      <c r="E295" s="16" t="s">
        <v>73</v>
      </c>
      <c r="F295" s="40" t="s">
        <v>74</v>
      </c>
      <c r="G295" s="17" t="s">
        <v>75</v>
      </c>
      <c r="H295" s="18" t="s">
        <v>542</v>
      </c>
      <c r="I295" s="19" t="s">
        <v>49</v>
      </c>
      <c r="J295" s="20">
        <v>45748</v>
      </c>
      <c r="K295" s="20">
        <v>45775</v>
      </c>
      <c r="L295" s="21">
        <v>600000</v>
      </c>
      <c r="M295" s="22">
        <f>SUM(N295:O295)</f>
        <v>550000</v>
      </c>
      <c r="N295" s="23">
        <v>0</v>
      </c>
      <c r="O295" s="23">
        <v>550000</v>
      </c>
      <c r="P295" s="24">
        <f>L295-N295</f>
        <v>600000</v>
      </c>
      <c r="Q295" s="25">
        <v>550000</v>
      </c>
      <c r="R295" s="26">
        <v>36000</v>
      </c>
      <c r="S295" s="91">
        <f t="shared" si="257"/>
        <v>16.666666666666668</v>
      </c>
      <c r="T295" s="91">
        <f t="shared" si="258"/>
        <v>15.277777777777779</v>
      </c>
      <c r="U295" s="27" t="s">
        <v>193</v>
      </c>
      <c r="V295" s="30" t="s">
        <v>59</v>
      </c>
      <c r="W295" s="31">
        <v>45768</v>
      </c>
      <c r="X295" s="22"/>
      <c r="Y295" s="19" t="s">
        <v>52</v>
      </c>
      <c r="Z295" s="19" t="s">
        <v>52</v>
      </c>
      <c r="AA295" s="19" t="s">
        <v>52</v>
      </c>
      <c r="AB295" s="28"/>
      <c r="AC295" s="90"/>
    </row>
    <row r="296" spans="1:33" s="29" customFormat="1" ht="15" customHeight="1" x14ac:dyDescent="0.25">
      <c r="A296" s="14">
        <v>10</v>
      </c>
      <c r="B296" s="15">
        <v>45769</v>
      </c>
      <c r="C296" s="15">
        <f t="shared" si="254"/>
        <v>45777</v>
      </c>
      <c r="D296" s="14">
        <v>12704</v>
      </c>
      <c r="E296" s="16" t="s">
        <v>87</v>
      </c>
      <c r="F296" s="40" t="s">
        <v>88</v>
      </c>
      <c r="G296" s="17" t="s">
        <v>75</v>
      </c>
      <c r="H296" s="18" t="s">
        <v>542</v>
      </c>
      <c r="I296" s="19" t="s">
        <v>49</v>
      </c>
      <c r="J296" s="20">
        <v>45755</v>
      </c>
      <c r="K296" s="20">
        <v>45765</v>
      </c>
      <c r="L296" s="21">
        <v>1200000</v>
      </c>
      <c r="M296" s="22">
        <f t="shared" si="255"/>
        <v>396000</v>
      </c>
      <c r="N296" s="23">
        <v>150000</v>
      </c>
      <c r="O296" s="23">
        <v>246000</v>
      </c>
      <c r="P296" s="24">
        <f t="shared" si="256"/>
        <v>1050000</v>
      </c>
      <c r="Q296" s="25">
        <v>246000</v>
      </c>
      <c r="R296" s="26">
        <v>150000</v>
      </c>
      <c r="S296" s="91">
        <f t="shared" si="257"/>
        <v>7</v>
      </c>
      <c r="T296" s="91">
        <f t="shared" si="258"/>
        <v>1.64</v>
      </c>
      <c r="U296" s="27" t="s">
        <v>193</v>
      </c>
      <c r="V296" s="19" t="s">
        <v>51</v>
      </c>
      <c r="W296" s="20">
        <v>45758</v>
      </c>
      <c r="X296" s="22"/>
      <c r="Y296" s="19" t="s">
        <v>52</v>
      </c>
      <c r="Z296" s="19" t="s">
        <v>52</v>
      </c>
      <c r="AA296" s="19" t="s">
        <v>52</v>
      </c>
      <c r="AB296" s="28"/>
      <c r="AC296" s="90"/>
    </row>
    <row r="297" spans="1:33" s="29" customFormat="1" ht="15" customHeight="1" x14ac:dyDescent="0.25">
      <c r="A297" s="14">
        <v>3</v>
      </c>
      <c r="B297" s="15">
        <v>45769</v>
      </c>
      <c r="C297" s="15">
        <f t="shared" si="254"/>
        <v>45777</v>
      </c>
      <c r="D297" s="14">
        <v>12005</v>
      </c>
      <c r="E297" s="16" t="s">
        <v>398</v>
      </c>
      <c r="F297" s="40" t="s">
        <v>399</v>
      </c>
      <c r="G297" s="17" t="s">
        <v>75</v>
      </c>
      <c r="H297" s="18" t="s">
        <v>57</v>
      </c>
      <c r="I297" s="19" t="s">
        <v>94</v>
      </c>
      <c r="J297" s="20">
        <v>45602</v>
      </c>
      <c r="K297" s="20">
        <v>45625</v>
      </c>
      <c r="L297" s="21">
        <v>1500000</v>
      </c>
      <c r="M297" s="22">
        <f t="shared" si="255"/>
        <v>2055000</v>
      </c>
      <c r="N297" s="23">
        <v>1440000</v>
      </c>
      <c r="O297" s="23">
        <v>615000</v>
      </c>
      <c r="P297" s="24">
        <f t="shared" si="256"/>
        <v>60000</v>
      </c>
      <c r="Q297" s="25">
        <v>615000</v>
      </c>
      <c r="R297" s="26">
        <v>144000</v>
      </c>
      <c r="S297" s="91">
        <f t="shared" si="257"/>
        <v>0.41666666666666669</v>
      </c>
      <c r="T297" s="91">
        <f t="shared" si="258"/>
        <v>4.270833333333333</v>
      </c>
      <c r="U297" s="27" t="s">
        <v>56</v>
      </c>
      <c r="V297" s="19" t="s">
        <v>51</v>
      </c>
      <c r="W297" s="20">
        <v>45633</v>
      </c>
      <c r="X297" s="22"/>
      <c r="Y297" s="19" t="s">
        <v>52</v>
      </c>
      <c r="Z297" s="19" t="s">
        <v>52</v>
      </c>
      <c r="AA297" s="19" t="s">
        <v>52</v>
      </c>
      <c r="AB297" s="28"/>
      <c r="AC297" s="90"/>
    </row>
    <row r="298" spans="1:33" ht="15" customHeight="1" x14ac:dyDescent="0.25">
      <c r="A298" s="33" t="s">
        <v>71</v>
      </c>
      <c r="B298" s="34"/>
      <c r="C298" s="34"/>
      <c r="D298" s="34"/>
      <c r="E298" s="34"/>
      <c r="F298" s="35"/>
      <c r="G298" s="35"/>
      <c r="H298" s="34"/>
      <c r="I298" s="34"/>
      <c r="J298" s="34"/>
      <c r="K298" s="34"/>
      <c r="L298" s="36"/>
      <c r="M298" s="36"/>
      <c r="N298" s="36"/>
      <c r="O298" s="36"/>
      <c r="P298" s="36"/>
      <c r="Q298" s="36">
        <f>SUM(Q292:Q297)</f>
        <v>2717000</v>
      </c>
      <c r="R298" s="36"/>
      <c r="S298" s="92"/>
      <c r="T298" s="93">
        <f>SUM(T292:T297)</f>
        <v>30.248611111111114</v>
      </c>
      <c r="U298" s="37"/>
      <c r="V298" s="38"/>
      <c r="W298" s="38"/>
      <c r="X298" s="38"/>
      <c r="Y298" s="34"/>
      <c r="Z298" s="34"/>
      <c r="AA298" s="39"/>
      <c r="AB298" s="29" t="s">
        <v>594</v>
      </c>
      <c r="AC298" s="81" t="s">
        <v>599</v>
      </c>
      <c r="AD298" s="83">
        <v>5000</v>
      </c>
      <c r="AF298" s="83">
        <v>0</v>
      </c>
      <c r="AG298" s="83">
        <f>SUM(AD298,AF298)</f>
        <v>5000</v>
      </c>
    </row>
    <row r="299" spans="1:33" s="29" customFormat="1" ht="15" customHeight="1" x14ac:dyDescent="0.25">
      <c r="A299" s="14">
        <v>3</v>
      </c>
      <c r="B299" s="15">
        <v>45769</v>
      </c>
      <c r="C299" s="15">
        <f t="shared" ref="C299:C304" si="260">B299+8</f>
        <v>45777</v>
      </c>
      <c r="D299" s="14">
        <v>12679</v>
      </c>
      <c r="E299" s="16" t="s">
        <v>314</v>
      </c>
      <c r="F299" s="17" t="s">
        <v>315</v>
      </c>
      <c r="G299" s="17" t="s">
        <v>47</v>
      </c>
      <c r="H299" s="18" t="s">
        <v>133</v>
      </c>
      <c r="I299" s="19" t="s">
        <v>198</v>
      </c>
      <c r="J299" s="20">
        <v>45727</v>
      </c>
      <c r="K299" s="20">
        <v>45778</v>
      </c>
      <c r="L299" s="21">
        <v>75000</v>
      </c>
      <c r="M299" s="22">
        <f>SUM(N299:O299)</f>
        <v>73000</v>
      </c>
      <c r="N299" s="23">
        <v>0</v>
      </c>
      <c r="O299" s="23">
        <v>73000</v>
      </c>
      <c r="P299" s="24">
        <f t="shared" ref="P299:P304" si="261">L299-N299</f>
        <v>75000</v>
      </c>
      <c r="Q299" s="25">
        <v>73000</v>
      </c>
      <c r="R299" s="26">
        <v>32000</v>
      </c>
      <c r="S299" s="91">
        <f t="shared" ref="S299:S305" si="262">IF(P299&gt;0,P299/$R299,0)</f>
        <v>2.34375</v>
      </c>
      <c r="T299" s="91">
        <f t="shared" ref="T299:T305" si="263">IF(Q299&gt;0,Q299/$R299,0)</f>
        <v>2.28125</v>
      </c>
      <c r="U299" s="27" t="s">
        <v>56</v>
      </c>
      <c r="V299" s="30" t="s">
        <v>59</v>
      </c>
      <c r="W299" s="31">
        <v>45757</v>
      </c>
      <c r="X299" s="22"/>
      <c r="Y299" s="19" t="s">
        <v>52</v>
      </c>
      <c r="Z299" s="19" t="s">
        <v>52</v>
      </c>
      <c r="AA299" s="19" t="s">
        <v>52</v>
      </c>
      <c r="AB299" s="42"/>
    </row>
    <row r="300" spans="1:33" s="29" customFormat="1" ht="15" customHeight="1" x14ac:dyDescent="0.25">
      <c r="A300" s="14">
        <v>12</v>
      </c>
      <c r="B300" s="15">
        <v>45769</v>
      </c>
      <c r="C300" s="15">
        <f t="shared" si="260"/>
        <v>45777</v>
      </c>
      <c r="D300" s="14">
        <v>12754</v>
      </c>
      <c r="E300" s="16" t="s">
        <v>443</v>
      </c>
      <c r="F300" s="40" t="s">
        <v>444</v>
      </c>
      <c r="G300" s="17" t="s">
        <v>75</v>
      </c>
      <c r="H300" s="18" t="s">
        <v>54</v>
      </c>
      <c r="I300" s="19" t="s">
        <v>421</v>
      </c>
      <c r="J300" s="20">
        <v>45743</v>
      </c>
      <c r="K300" s="20">
        <v>45778</v>
      </c>
      <c r="L300" s="21">
        <v>250000</v>
      </c>
      <c r="M300" s="22">
        <f>SUM(N300:O300)</f>
        <v>274000</v>
      </c>
      <c r="N300" s="23">
        <v>0</v>
      </c>
      <c r="O300" s="23">
        <v>274000</v>
      </c>
      <c r="P300" s="24">
        <f t="shared" si="261"/>
        <v>250000</v>
      </c>
      <c r="Q300" s="25">
        <v>274000</v>
      </c>
      <c r="R300" s="26">
        <v>84000</v>
      </c>
      <c r="S300" s="91">
        <f t="shared" si="262"/>
        <v>2.9761904761904763</v>
      </c>
      <c r="T300" s="91">
        <f t="shared" si="263"/>
        <v>3.2619047619047619</v>
      </c>
      <c r="U300" s="27" t="s">
        <v>56</v>
      </c>
      <c r="V300" s="30" t="s">
        <v>59</v>
      </c>
      <c r="W300" s="31">
        <v>45759</v>
      </c>
      <c r="X300" s="22"/>
      <c r="Y300" s="19" t="s">
        <v>52</v>
      </c>
      <c r="Z300" s="19" t="s">
        <v>52</v>
      </c>
      <c r="AA300" s="19" t="s">
        <v>52</v>
      </c>
      <c r="AB300" s="28"/>
      <c r="AC300" s="90"/>
    </row>
    <row r="301" spans="1:33" s="29" customFormat="1" ht="15" customHeight="1" x14ac:dyDescent="0.25">
      <c r="A301" s="14">
        <v>2</v>
      </c>
      <c r="B301" s="15">
        <v>45769</v>
      </c>
      <c r="C301" s="15">
        <f t="shared" si="260"/>
        <v>45777</v>
      </c>
      <c r="D301" s="14">
        <v>12319</v>
      </c>
      <c r="E301" s="84" t="s">
        <v>303</v>
      </c>
      <c r="F301" s="86" t="s">
        <v>304</v>
      </c>
      <c r="G301" s="87" t="s">
        <v>75</v>
      </c>
      <c r="H301" s="88" t="s">
        <v>57</v>
      </c>
      <c r="I301" s="19" t="s">
        <v>64</v>
      </c>
      <c r="J301" s="20">
        <v>45653</v>
      </c>
      <c r="K301" s="20">
        <v>45680</v>
      </c>
      <c r="L301" s="21">
        <v>1000000</v>
      </c>
      <c r="M301" s="22">
        <f>SUM(N301:O301)</f>
        <v>695000</v>
      </c>
      <c r="N301" s="23">
        <v>645000</v>
      </c>
      <c r="O301" s="23">
        <v>50000</v>
      </c>
      <c r="P301" s="24">
        <f t="shared" si="261"/>
        <v>355000</v>
      </c>
      <c r="Q301" s="25">
        <v>50000</v>
      </c>
      <c r="R301" s="26">
        <v>48000</v>
      </c>
      <c r="S301" s="91">
        <f t="shared" si="262"/>
        <v>7.395833333333333</v>
      </c>
      <c r="T301" s="91">
        <f t="shared" si="263"/>
        <v>1.0416666666666667</v>
      </c>
      <c r="U301" s="27" t="s">
        <v>193</v>
      </c>
      <c r="V301" s="19" t="s">
        <v>51</v>
      </c>
      <c r="W301" s="20">
        <v>45680</v>
      </c>
      <c r="X301" s="22"/>
      <c r="Y301" s="19" t="s">
        <v>52</v>
      </c>
      <c r="Z301" s="19" t="s">
        <v>52</v>
      </c>
      <c r="AA301" s="19" t="s">
        <v>52</v>
      </c>
      <c r="AB301" s="28"/>
      <c r="AC301" s="90"/>
    </row>
    <row r="302" spans="1:33" s="29" customFormat="1" ht="15" customHeight="1" x14ac:dyDescent="0.25">
      <c r="A302" s="14">
        <v>1</v>
      </c>
      <c r="B302" s="15">
        <v>45769</v>
      </c>
      <c r="C302" s="15">
        <f t="shared" si="260"/>
        <v>45777</v>
      </c>
      <c r="D302" s="14">
        <v>12484</v>
      </c>
      <c r="E302" s="16" t="s">
        <v>468</v>
      </c>
      <c r="F302" s="17" t="s">
        <v>469</v>
      </c>
      <c r="G302" s="17" t="s">
        <v>47</v>
      </c>
      <c r="H302" s="18" t="s">
        <v>57</v>
      </c>
      <c r="I302" s="19" t="s">
        <v>58</v>
      </c>
      <c r="J302" s="20">
        <v>45686</v>
      </c>
      <c r="K302" s="20">
        <v>45742</v>
      </c>
      <c r="L302" s="21">
        <v>2000000</v>
      </c>
      <c r="M302" s="22">
        <f>SUM(N302:O302)</f>
        <v>1964000</v>
      </c>
      <c r="N302" s="23">
        <v>1196000</v>
      </c>
      <c r="O302" s="23">
        <v>768000</v>
      </c>
      <c r="P302" s="24">
        <f t="shared" si="261"/>
        <v>804000</v>
      </c>
      <c r="Q302" s="25">
        <v>768000</v>
      </c>
      <c r="R302" s="26">
        <v>96000</v>
      </c>
      <c r="S302" s="91">
        <f t="shared" si="262"/>
        <v>8.375</v>
      </c>
      <c r="T302" s="91">
        <f t="shared" si="263"/>
        <v>8</v>
      </c>
      <c r="U302" s="27" t="s">
        <v>193</v>
      </c>
      <c r="V302" s="19" t="s">
        <v>51</v>
      </c>
      <c r="W302" s="20">
        <v>45723</v>
      </c>
      <c r="X302" s="22"/>
      <c r="Y302" s="19" t="s">
        <v>52</v>
      </c>
      <c r="Z302" s="19" t="s">
        <v>52</v>
      </c>
      <c r="AA302" s="19" t="s">
        <v>52</v>
      </c>
      <c r="AB302" s="28"/>
    </row>
    <row r="303" spans="1:33" s="29" customFormat="1" ht="15" customHeight="1" x14ac:dyDescent="0.25">
      <c r="A303" s="14">
        <v>7</v>
      </c>
      <c r="B303" s="15">
        <v>45769</v>
      </c>
      <c r="C303" s="15">
        <f t="shared" si="260"/>
        <v>45777</v>
      </c>
      <c r="D303" s="14">
        <v>12610</v>
      </c>
      <c r="E303" s="16" t="s">
        <v>76</v>
      </c>
      <c r="F303" s="40" t="s">
        <v>77</v>
      </c>
      <c r="G303" s="17" t="s">
        <v>75</v>
      </c>
      <c r="H303" s="18" t="s">
        <v>62</v>
      </c>
      <c r="I303" s="19" t="s">
        <v>63</v>
      </c>
      <c r="J303" s="20">
        <v>45708</v>
      </c>
      <c r="K303" s="20">
        <v>45744</v>
      </c>
      <c r="L303" s="21">
        <v>500000</v>
      </c>
      <c r="M303" s="22">
        <f t="shared" ref="M303" si="264">SUM(N303:O303)</f>
        <v>450000</v>
      </c>
      <c r="N303" s="23">
        <v>300000</v>
      </c>
      <c r="O303" s="23">
        <v>150000</v>
      </c>
      <c r="P303" s="24">
        <f t="shared" si="261"/>
        <v>200000</v>
      </c>
      <c r="Q303" s="25">
        <v>150000</v>
      </c>
      <c r="R303" s="26">
        <v>150000</v>
      </c>
      <c r="S303" s="91">
        <f t="shared" si="262"/>
        <v>1.3333333333333333</v>
      </c>
      <c r="T303" s="91">
        <f t="shared" si="263"/>
        <v>1</v>
      </c>
      <c r="U303" s="27" t="s">
        <v>193</v>
      </c>
      <c r="V303" s="19" t="s">
        <v>51</v>
      </c>
      <c r="W303" s="20">
        <v>45744</v>
      </c>
      <c r="X303" s="22"/>
      <c r="Y303" s="19" t="s">
        <v>52</v>
      </c>
      <c r="Z303" s="19" t="s">
        <v>52</v>
      </c>
      <c r="AA303" s="19" t="s">
        <v>52</v>
      </c>
      <c r="AB303" s="28"/>
      <c r="AC303" s="90"/>
    </row>
    <row r="304" spans="1:33" s="29" customFormat="1" ht="15" customHeight="1" x14ac:dyDescent="0.25">
      <c r="A304" s="14">
        <v>2</v>
      </c>
      <c r="B304" s="15">
        <v>45769</v>
      </c>
      <c r="C304" s="15">
        <f t="shared" si="260"/>
        <v>45777</v>
      </c>
      <c r="D304" s="14">
        <v>12739</v>
      </c>
      <c r="E304" s="16" t="s">
        <v>129</v>
      </c>
      <c r="F304" s="17" t="s">
        <v>555</v>
      </c>
      <c r="G304" s="17" t="s">
        <v>47</v>
      </c>
      <c r="H304" s="18" t="s">
        <v>62</v>
      </c>
      <c r="I304" s="19" t="s">
        <v>63</v>
      </c>
      <c r="J304" s="20">
        <v>45741</v>
      </c>
      <c r="K304" s="20">
        <v>45776</v>
      </c>
      <c r="L304" s="21">
        <v>1000000</v>
      </c>
      <c r="M304" s="22">
        <f t="shared" ref="M304" si="265">SUM(N304:O304)</f>
        <v>974000</v>
      </c>
      <c r="N304" s="23">
        <v>672000</v>
      </c>
      <c r="O304" s="23">
        <v>302000</v>
      </c>
      <c r="P304" s="24">
        <f t="shared" si="261"/>
        <v>328000</v>
      </c>
      <c r="Q304" s="25">
        <v>302000</v>
      </c>
      <c r="R304" s="26">
        <v>84000</v>
      </c>
      <c r="S304" s="91">
        <f t="shared" si="262"/>
        <v>3.9047619047619047</v>
      </c>
      <c r="T304" s="91">
        <f t="shared" si="263"/>
        <v>3.5952380952380953</v>
      </c>
      <c r="U304" s="27" t="s">
        <v>193</v>
      </c>
      <c r="V304" s="19" t="s">
        <v>51</v>
      </c>
      <c r="W304" s="20">
        <v>45758</v>
      </c>
      <c r="X304" s="22"/>
      <c r="Y304" s="19" t="s">
        <v>52</v>
      </c>
      <c r="Z304" s="19" t="s">
        <v>52</v>
      </c>
      <c r="AA304" s="19" t="s">
        <v>52</v>
      </c>
      <c r="AB304" s="42"/>
    </row>
    <row r="305" spans="1:33" s="29" customFormat="1" ht="15" customHeight="1" x14ac:dyDescent="0.25">
      <c r="A305" s="14">
        <v>13</v>
      </c>
      <c r="B305" s="15">
        <v>45769</v>
      </c>
      <c r="C305" s="15">
        <f t="shared" ref="C305" si="266">B305+8</f>
        <v>45777</v>
      </c>
      <c r="D305" s="14">
        <v>12755</v>
      </c>
      <c r="E305" s="16" t="s">
        <v>427</v>
      </c>
      <c r="F305" s="40" t="s">
        <v>561</v>
      </c>
      <c r="G305" s="17" t="s">
        <v>75</v>
      </c>
      <c r="H305" s="18" t="s">
        <v>57</v>
      </c>
      <c r="I305" s="19" t="s">
        <v>58</v>
      </c>
      <c r="J305" s="20">
        <v>45743</v>
      </c>
      <c r="K305" s="20">
        <v>45778</v>
      </c>
      <c r="L305" s="21">
        <v>300000</v>
      </c>
      <c r="M305" s="22">
        <f t="shared" ref="M305" si="267">SUM(N305:O305)</f>
        <v>276000</v>
      </c>
      <c r="N305" s="23">
        <v>150000</v>
      </c>
      <c r="O305" s="23">
        <v>126000</v>
      </c>
      <c r="P305" s="24">
        <f t="shared" ref="P305" si="268">L305-N305</f>
        <v>150000</v>
      </c>
      <c r="Q305" s="25">
        <v>126000</v>
      </c>
      <c r="R305" s="26">
        <v>144000</v>
      </c>
      <c r="S305" s="91">
        <f t="shared" si="262"/>
        <v>1.0416666666666667</v>
      </c>
      <c r="T305" s="91">
        <f t="shared" si="263"/>
        <v>0.875</v>
      </c>
      <c r="U305" s="27" t="s">
        <v>193</v>
      </c>
      <c r="V305" s="19" t="s">
        <v>51</v>
      </c>
      <c r="W305" s="20">
        <v>45757</v>
      </c>
      <c r="X305" s="22"/>
      <c r="Y305" s="19" t="s">
        <v>52</v>
      </c>
      <c r="Z305" s="19" t="s">
        <v>52</v>
      </c>
      <c r="AA305" s="19" t="s">
        <v>52</v>
      </c>
      <c r="AB305" s="28"/>
      <c r="AC305" s="90"/>
    </row>
    <row r="306" spans="1:33" ht="15" customHeight="1" x14ac:dyDescent="0.25">
      <c r="A306" s="33" t="s">
        <v>71</v>
      </c>
      <c r="B306" s="34"/>
      <c r="C306" s="34"/>
      <c r="D306" s="34"/>
      <c r="E306" s="34"/>
      <c r="F306" s="35"/>
      <c r="G306" s="35"/>
      <c r="H306" s="34"/>
      <c r="I306" s="34"/>
      <c r="J306" s="34"/>
      <c r="K306" s="34"/>
      <c r="L306" s="36"/>
      <c r="M306" s="36"/>
      <c r="N306" s="36"/>
      <c r="O306" s="36"/>
      <c r="P306" s="36"/>
      <c r="Q306" s="36">
        <f>SUM(Q299:Q305)</f>
        <v>1743000</v>
      </c>
      <c r="R306" s="36"/>
      <c r="S306" s="92"/>
      <c r="T306" s="93">
        <f>SUM(T299:T305)</f>
        <v>20.055059523809526</v>
      </c>
      <c r="U306" s="37"/>
      <c r="V306" s="38"/>
      <c r="W306" s="38"/>
      <c r="X306" s="38"/>
      <c r="Y306" s="34"/>
      <c r="Z306" s="34"/>
      <c r="AA306" s="39"/>
      <c r="AB306" s="29" t="s">
        <v>595</v>
      </c>
      <c r="AC306" s="81" t="s">
        <v>624</v>
      </c>
      <c r="AD306" s="83">
        <v>4791.67</v>
      </c>
      <c r="AF306" s="83">
        <v>0</v>
      </c>
      <c r="AG306" s="83">
        <f>SUM(AD306,AF306)</f>
        <v>4791.67</v>
      </c>
    </row>
    <row r="307" spans="1:33" s="29" customFormat="1" ht="15" customHeight="1" x14ac:dyDescent="0.25">
      <c r="A307" s="14">
        <v>1</v>
      </c>
      <c r="B307" s="15">
        <v>45773</v>
      </c>
      <c r="C307" s="15">
        <f t="shared" ref="C307:C312" si="269">B307+8</f>
        <v>45781</v>
      </c>
      <c r="D307" s="14">
        <v>12274</v>
      </c>
      <c r="E307" s="16" t="s">
        <v>324</v>
      </c>
      <c r="F307" s="17" t="s">
        <v>325</v>
      </c>
      <c r="G307" s="17" t="s">
        <v>132</v>
      </c>
      <c r="H307" s="18" t="s">
        <v>54</v>
      </c>
      <c r="I307" s="19" t="s">
        <v>198</v>
      </c>
      <c r="J307" s="20">
        <v>45645</v>
      </c>
      <c r="K307" s="20">
        <v>45694</v>
      </c>
      <c r="L307" s="21">
        <v>2000000</v>
      </c>
      <c r="M307" s="22">
        <f t="shared" ref="M307:M315" si="270">SUM(N307:O307)</f>
        <v>1535170</v>
      </c>
      <c r="N307" s="23">
        <v>1103170</v>
      </c>
      <c r="O307" s="23">
        <v>432000</v>
      </c>
      <c r="P307" s="24">
        <f t="shared" ref="P307:P313" si="271">L307-N307</f>
        <v>896830</v>
      </c>
      <c r="Q307" s="25">
        <v>432000</v>
      </c>
      <c r="R307" s="26">
        <v>324000</v>
      </c>
      <c r="S307" s="91">
        <f t="shared" ref="S307:S316" si="272">IF(P307&gt;0,P307/$R307,0)</f>
        <v>2.767993827160494</v>
      </c>
      <c r="T307" s="91">
        <f t="shared" ref="T307:T316" si="273">IF(Q307&gt;0,Q307/$R307,0)</f>
        <v>1.3333333333333333</v>
      </c>
      <c r="U307" s="27" t="s">
        <v>56</v>
      </c>
      <c r="V307" s="19" t="s">
        <v>51</v>
      </c>
      <c r="W307" s="20">
        <v>45698</v>
      </c>
      <c r="X307" s="22"/>
      <c r="Y307" s="19" t="s">
        <v>52</v>
      </c>
      <c r="Z307" s="19" t="s">
        <v>52</v>
      </c>
      <c r="AA307" s="19" t="s">
        <v>52</v>
      </c>
      <c r="AB307"/>
    </row>
    <row r="308" spans="1:33" s="29" customFormat="1" ht="15" customHeight="1" x14ac:dyDescent="0.25">
      <c r="A308" s="14">
        <v>3</v>
      </c>
      <c r="B308" s="15">
        <v>45773</v>
      </c>
      <c r="C308" s="15">
        <f t="shared" si="269"/>
        <v>45781</v>
      </c>
      <c r="D308" s="14">
        <v>12547</v>
      </c>
      <c r="E308" s="16" t="s">
        <v>341</v>
      </c>
      <c r="F308" s="40" t="s">
        <v>348</v>
      </c>
      <c r="G308" s="17" t="s">
        <v>75</v>
      </c>
      <c r="H308" s="18" t="s">
        <v>542</v>
      </c>
      <c r="I308" s="19" t="s">
        <v>70</v>
      </c>
      <c r="J308" s="20">
        <v>45694</v>
      </c>
      <c r="K308" s="20">
        <v>45736</v>
      </c>
      <c r="L308" s="21">
        <v>4000000</v>
      </c>
      <c r="M308" s="22">
        <f t="shared" si="270"/>
        <v>4050000</v>
      </c>
      <c r="N308" s="23">
        <v>3000000</v>
      </c>
      <c r="O308" s="23">
        <v>1050000</v>
      </c>
      <c r="P308" s="24">
        <f t="shared" si="271"/>
        <v>1000000</v>
      </c>
      <c r="Q308" s="25">
        <v>1050000</v>
      </c>
      <c r="R308" s="26">
        <v>150000</v>
      </c>
      <c r="S308" s="91">
        <f t="shared" si="272"/>
        <v>6.666666666666667</v>
      </c>
      <c r="T308" s="91">
        <f t="shared" si="273"/>
        <v>7</v>
      </c>
      <c r="U308" s="27" t="s">
        <v>193</v>
      </c>
      <c r="V308" s="19" t="s">
        <v>51</v>
      </c>
      <c r="W308" s="20">
        <v>45759</v>
      </c>
      <c r="X308" s="22"/>
      <c r="Y308" s="19" t="s">
        <v>52</v>
      </c>
      <c r="Z308" s="19" t="s">
        <v>52</v>
      </c>
      <c r="AA308" s="19" t="s">
        <v>52</v>
      </c>
      <c r="AB308" s="28"/>
      <c r="AC308" s="90"/>
    </row>
    <row r="309" spans="1:33" s="29" customFormat="1" ht="15" customHeight="1" x14ac:dyDescent="0.25">
      <c r="A309" s="14">
        <v>1</v>
      </c>
      <c r="B309" s="15">
        <v>45773</v>
      </c>
      <c r="C309" s="15">
        <f t="shared" si="269"/>
        <v>45781</v>
      </c>
      <c r="D309" s="14">
        <v>12454</v>
      </c>
      <c r="E309" s="16" t="s">
        <v>365</v>
      </c>
      <c r="F309" s="40" t="s">
        <v>366</v>
      </c>
      <c r="G309" s="17" t="s">
        <v>75</v>
      </c>
      <c r="H309" s="18" t="s">
        <v>57</v>
      </c>
      <c r="I309" s="19" t="s">
        <v>58</v>
      </c>
      <c r="J309" s="20">
        <v>45681</v>
      </c>
      <c r="K309" s="20">
        <v>45733</v>
      </c>
      <c r="L309" s="21">
        <v>450000</v>
      </c>
      <c r="M309" s="22">
        <f t="shared" si="270"/>
        <v>201000</v>
      </c>
      <c r="N309" s="23">
        <v>150000</v>
      </c>
      <c r="O309" s="23">
        <v>51000</v>
      </c>
      <c r="P309" s="24">
        <f t="shared" si="271"/>
        <v>300000</v>
      </c>
      <c r="Q309" s="25">
        <v>51000</v>
      </c>
      <c r="R309" s="26">
        <v>150000</v>
      </c>
      <c r="S309" s="91">
        <f t="shared" si="272"/>
        <v>2</v>
      </c>
      <c r="T309" s="91">
        <f t="shared" si="273"/>
        <v>0.34</v>
      </c>
      <c r="U309" s="27" t="s">
        <v>193</v>
      </c>
      <c r="V309" s="19" t="s">
        <v>51</v>
      </c>
      <c r="W309" s="20">
        <v>45747</v>
      </c>
      <c r="X309" s="22"/>
      <c r="Y309" s="19" t="s">
        <v>52</v>
      </c>
      <c r="Z309" s="19" t="s">
        <v>52</v>
      </c>
      <c r="AA309" s="19" t="s">
        <v>52</v>
      </c>
      <c r="AB309"/>
      <c r="AC309" s="90"/>
    </row>
    <row r="310" spans="1:33" s="29" customFormat="1" ht="15" customHeight="1" x14ac:dyDescent="0.25">
      <c r="A310" s="14">
        <v>4</v>
      </c>
      <c r="B310" s="15">
        <v>45773</v>
      </c>
      <c r="C310" s="15">
        <f t="shared" si="269"/>
        <v>45781</v>
      </c>
      <c r="D310" s="14">
        <v>12612</v>
      </c>
      <c r="E310" s="16" t="s">
        <v>340</v>
      </c>
      <c r="F310" s="40" t="s">
        <v>201</v>
      </c>
      <c r="G310" s="17" t="s">
        <v>75</v>
      </c>
      <c r="H310" s="18" t="s">
        <v>57</v>
      </c>
      <c r="I310" s="19" t="s">
        <v>58</v>
      </c>
      <c r="J310" s="20">
        <v>45708</v>
      </c>
      <c r="K310" s="20">
        <v>45736</v>
      </c>
      <c r="L310" s="21">
        <v>750000</v>
      </c>
      <c r="M310" s="22">
        <f t="shared" si="270"/>
        <v>750000</v>
      </c>
      <c r="N310" s="23">
        <v>450000</v>
      </c>
      <c r="O310" s="23">
        <v>300000</v>
      </c>
      <c r="P310" s="24">
        <f t="shared" si="271"/>
        <v>300000</v>
      </c>
      <c r="Q310" s="25">
        <v>300000</v>
      </c>
      <c r="R310" s="26">
        <v>150000</v>
      </c>
      <c r="S310" s="91">
        <f t="shared" si="272"/>
        <v>2</v>
      </c>
      <c r="T310" s="91">
        <f t="shared" si="273"/>
        <v>2</v>
      </c>
      <c r="U310" s="27" t="s">
        <v>193</v>
      </c>
      <c r="V310" s="19" t="s">
        <v>51</v>
      </c>
      <c r="W310" s="20">
        <v>45761</v>
      </c>
      <c r="X310" s="22"/>
      <c r="Y310" s="19" t="s">
        <v>52</v>
      </c>
      <c r="Z310" s="19" t="s">
        <v>52</v>
      </c>
      <c r="AA310" s="19" t="s">
        <v>52</v>
      </c>
      <c r="AB310" s="28"/>
      <c r="AC310" s="90"/>
    </row>
    <row r="311" spans="1:33" s="29" customFormat="1" ht="15" customHeight="1" x14ac:dyDescent="0.25">
      <c r="A311" s="14">
        <v>2</v>
      </c>
      <c r="B311" s="15">
        <v>45773</v>
      </c>
      <c r="C311" s="15">
        <f t="shared" si="269"/>
        <v>45781</v>
      </c>
      <c r="D311" s="14">
        <v>12716</v>
      </c>
      <c r="E311" s="16" t="s">
        <v>121</v>
      </c>
      <c r="F311" s="17" t="s">
        <v>122</v>
      </c>
      <c r="G311" s="17" t="s">
        <v>102</v>
      </c>
      <c r="H311" s="18" t="s">
        <v>542</v>
      </c>
      <c r="I311" s="19" t="s">
        <v>70</v>
      </c>
      <c r="J311" s="20">
        <v>45736</v>
      </c>
      <c r="K311" s="20">
        <v>45777</v>
      </c>
      <c r="L311" s="21">
        <v>300000</v>
      </c>
      <c r="M311" s="22">
        <f t="shared" si="270"/>
        <v>309000</v>
      </c>
      <c r="N311" s="23">
        <v>100000</v>
      </c>
      <c r="O311" s="23">
        <v>209000</v>
      </c>
      <c r="P311" s="24">
        <f t="shared" si="271"/>
        <v>200000</v>
      </c>
      <c r="Q311" s="25">
        <v>209000</v>
      </c>
      <c r="R311" s="26">
        <v>50000</v>
      </c>
      <c r="S311" s="91">
        <f t="shared" si="272"/>
        <v>4</v>
      </c>
      <c r="T311" s="91">
        <f t="shared" si="273"/>
        <v>4.18</v>
      </c>
      <c r="U311" s="27" t="s">
        <v>193</v>
      </c>
      <c r="V311" s="19" t="s">
        <v>51</v>
      </c>
      <c r="W311" s="20">
        <v>45757</v>
      </c>
      <c r="X311" s="22"/>
      <c r="Y311" s="19" t="s">
        <v>52</v>
      </c>
      <c r="Z311" s="19" t="s">
        <v>52</v>
      </c>
      <c r="AA311" s="19" t="s">
        <v>52</v>
      </c>
      <c r="AB311" s="28"/>
    </row>
    <row r="312" spans="1:33" s="29" customFormat="1" ht="15" customHeight="1" x14ac:dyDescent="0.25">
      <c r="A312" s="14">
        <v>5</v>
      </c>
      <c r="B312" s="15">
        <v>45773</v>
      </c>
      <c r="C312" s="15">
        <f t="shared" si="269"/>
        <v>45781</v>
      </c>
      <c r="D312" s="14">
        <v>12770</v>
      </c>
      <c r="E312" s="16" t="s">
        <v>105</v>
      </c>
      <c r="F312" s="17" t="s">
        <v>106</v>
      </c>
      <c r="G312" s="17" t="s">
        <v>102</v>
      </c>
      <c r="H312" s="18" t="s">
        <v>542</v>
      </c>
      <c r="I312" s="19" t="s">
        <v>49</v>
      </c>
      <c r="J312" s="20">
        <v>45748</v>
      </c>
      <c r="K312" s="20">
        <v>45782</v>
      </c>
      <c r="L312" s="21">
        <v>1700000</v>
      </c>
      <c r="M312" s="22">
        <f t="shared" si="270"/>
        <v>50000</v>
      </c>
      <c r="N312" s="23">
        <v>0</v>
      </c>
      <c r="O312" s="23">
        <v>50000</v>
      </c>
      <c r="P312" s="24">
        <f t="shared" si="271"/>
        <v>1700000</v>
      </c>
      <c r="Q312" s="25">
        <v>50000</v>
      </c>
      <c r="R312" s="26">
        <v>50000</v>
      </c>
      <c r="S312" s="91">
        <f t="shared" si="272"/>
        <v>34</v>
      </c>
      <c r="T312" s="91">
        <f t="shared" si="273"/>
        <v>1</v>
      </c>
      <c r="U312" s="27" t="s">
        <v>193</v>
      </c>
      <c r="V312" s="30" t="s">
        <v>59</v>
      </c>
      <c r="W312" s="31">
        <v>45770</v>
      </c>
      <c r="X312" s="22"/>
      <c r="Y312" s="19" t="s">
        <v>52</v>
      </c>
      <c r="Z312" s="19" t="s">
        <v>52</v>
      </c>
      <c r="AA312" s="19" t="s">
        <v>52</v>
      </c>
      <c r="AB312" s="28"/>
    </row>
    <row r="313" spans="1:33" s="29" customFormat="1" ht="15" customHeight="1" x14ac:dyDescent="0.25">
      <c r="A313" s="14">
        <v>3</v>
      </c>
      <c r="B313" s="15">
        <v>45773</v>
      </c>
      <c r="C313" s="15">
        <f t="shared" ref="C313" si="274">B313+8</f>
        <v>45781</v>
      </c>
      <c r="D313" s="14">
        <v>12784</v>
      </c>
      <c r="E313" s="16" t="s">
        <v>114</v>
      </c>
      <c r="F313" s="17" t="s">
        <v>115</v>
      </c>
      <c r="G313" s="17" t="s">
        <v>102</v>
      </c>
      <c r="H313" s="18" t="s">
        <v>542</v>
      </c>
      <c r="I313" s="19" t="s">
        <v>104</v>
      </c>
      <c r="J313" s="20">
        <v>45751</v>
      </c>
      <c r="K313" s="20">
        <v>45777</v>
      </c>
      <c r="L313" s="21">
        <v>1500000</v>
      </c>
      <c r="M313" s="22">
        <f t="shared" si="270"/>
        <v>63000</v>
      </c>
      <c r="N313" s="23">
        <v>0</v>
      </c>
      <c r="O313" s="23">
        <v>63000</v>
      </c>
      <c r="P313" s="24">
        <f t="shared" si="271"/>
        <v>1500000</v>
      </c>
      <c r="Q313" s="25">
        <v>63000</v>
      </c>
      <c r="R313" s="26">
        <v>63000</v>
      </c>
      <c r="S313" s="91">
        <f t="shared" si="272"/>
        <v>23.80952380952381</v>
      </c>
      <c r="T313" s="91">
        <f t="shared" si="273"/>
        <v>1</v>
      </c>
      <c r="U313" s="27" t="s">
        <v>193</v>
      </c>
      <c r="V313" s="30" t="s">
        <v>59</v>
      </c>
      <c r="W313" s="31">
        <v>45770</v>
      </c>
      <c r="X313" s="22"/>
      <c r="Y313" s="19" t="s">
        <v>52</v>
      </c>
      <c r="Z313" s="19" t="s">
        <v>52</v>
      </c>
      <c r="AA313" s="19" t="s">
        <v>52</v>
      </c>
      <c r="AB313" s="28"/>
    </row>
    <row r="314" spans="1:33" s="29" customFormat="1" ht="15" customHeight="1" x14ac:dyDescent="0.25">
      <c r="A314" s="14">
        <v>7</v>
      </c>
      <c r="B314" s="15">
        <v>45773</v>
      </c>
      <c r="C314" s="15">
        <f t="shared" ref="C314" si="275">B314+8</f>
        <v>45781</v>
      </c>
      <c r="D314" s="14">
        <v>12704</v>
      </c>
      <c r="E314" s="16" t="s">
        <v>87</v>
      </c>
      <c r="F314" s="40" t="s">
        <v>88</v>
      </c>
      <c r="G314" s="17" t="s">
        <v>75</v>
      </c>
      <c r="H314" s="18" t="s">
        <v>542</v>
      </c>
      <c r="I314" s="19" t="s">
        <v>49</v>
      </c>
      <c r="J314" s="20">
        <v>45755</v>
      </c>
      <c r="K314" s="20">
        <v>45765</v>
      </c>
      <c r="L314" s="21">
        <v>1200000</v>
      </c>
      <c r="M314" s="22">
        <f t="shared" si="270"/>
        <v>846000</v>
      </c>
      <c r="N314" s="23">
        <v>396000</v>
      </c>
      <c r="O314" s="23">
        <v>450000</v>
      </c>
      <c r="P314" s="24">
        <f t="shared" ref="P314" si="276">L314-N314</f>
        <v>804000</v>
      </c>
      <c r="Q314" s="25">
        <v>450000</v>
      </c>
      <c r="R314" s="26">
        <v>150000</v>
      </c>
      <c r="S314" s="91">
        <f t="shared" si="272"/>
        <v>5.36</v>
      </c>
      <c r="T314" s="91">
        <f t="shared" si="273"/>
        <v>3</v>
      </c>
      <c r="U314" s="27" t="s">
        <v>193</v>
      </c>
      <c r="V314" s="19" t="s">
        <v>51</v>
      </c>
      <c r="W314" s="20">
        <v>45758</v>
      </c>
      <c r="X314" s="22"/>
      <c r="Y314" s="19" t="s">
        <v>52</v>
      </c>
      <c r="Z314" s="19" t="s">
        <v>52</v>
      </c>
      <c r="AA314" s="19" t="s">
        <v>52</v>
      </c>
      <c r="AB314" s="28"/>
      <c r="AC314" s="90"/>
    </row>
    <row r="315" spans="1:33" s="29" customFormat="1" ht="15" customHeight="1" x14ac:dyDescent="0.25">
      <c r="A315" s="14">
        <v>1</v>
      </c>
      <c r="B315" s="15">
        <v>45773</v>
      </c>
      <c r="C315" s="15">
        <f>B315+8</f>
        <v>45781</v>
      </c>
      <c r="D315" s="14">
        <v>12793</v>
      </c>
      <c r="E315" s="16" t="s">
        <v>202</v>
      </c>
      <c r="F315" s="17" t="s">
        <v>203</v>
      </c>
      <c r="G315" s="17" t="s">
        <v>47</v>
      </c>
      <c r="H315" s="18" t="s">
        <v>542</v>
      </c>
      <c r="I315" s="19" t="s">
        <v>104</v>
      </c>
      <c r="J315" s="20">
        <v>45751</v>
      </c>
      <c r="K315" s="20">
        <v>45777</v>
      </c>
      <c r="L315" s="21">
        <v>50000</v>
      </c>
      <c r="M315" s="22">
        <f t="shared" si="270"/>
        <v>49000</v>
      </c>
      <c r="N315" s="23">
        <v>0</v>
      </c>
      <c r="O315" s="23">
        <v>49000</v>
      </c>
      <c r="P315" s="24">
        <f>L315-N315</f>
        <v>50000</v>
      </c>
      <c r="Q315" s="25">
        <v>49000</v>
      </c>
      <c r="R315" s="26">
        <v>50000</v>
      </c>
      <c r="S315" s="91">
        <f t="shared" si="272"/>
        <v>1</v>
      </c>
      <c r="T315" s="91">
        <f t="shared" si="273"/>
        <v>0.98</v>
      </c>
      <c r="U315" s="27" t="s">
        <v>193</v>
      </c>
      <c r="V315" s="30" t="s">
        <v>59</v>
      </c>
      <c r="W315" s="31">
        <v>45770</v>
      </c>
      <c r="X315" s="22"/>
      <c r="Y315" s="19" t="s">
        <v>52</v>
      </c>
      <c r="Z315" s="19" t="s">
        <v>52</v>
      </c>
      <c r="AA315" s="19" t="s">
        <v>52</v>
      </c>
      <c r="AB315" s="42"/>
    </row>
    <row r="316" spans="1:33" s="29" customFormat="1" ht="15" customHeight="1" x14ac:dyDescent="0.25">
      <c r="A316" s="14">
        <v>12</v>
      </c>
      <c r="B316" s="15">
        <v>45773</v>
      </c>
      <c r="C316" s="15">
        <f t="shared" ref="C316" si="277">B316+8</f>
        <v>45781</v>
      </c>
      <c r="D316" s="14">
        <v>12788</v>
      </c>
      <c r="E316" s="16" t="s">
        <v>449</v>
      </c>
      <c r="F316" s="40" t="s">
        <v>450</v>
      </c>
      <c r="G316" s="17" t="s">
        <v>75</v>
      </c>
      <c r="H316" s="18" t="s">
        <v>57</v>
      </c>
      <c r="I316" s="19" t="s">
        <v>94</v>
      </c>
      <c r="J316" s="20">
        <v>45750</v>
      </c>
      <c r="K316" s="20" t="s">
        <v>65</v>
      </c>
      <c r="L316" s="21">
        <v>450000</v>
      </c>
      <c r="M316" s="22">
        <f t="shared" ref="M316" si="278">SUM(N316:O316)</f>
        <v>210000</v>
      </c>
      <c r="N316" s="23">
        <v>0</v>
      </c>
      <c r="O316" s="23">
        <v>210000</v>
      </c>
      <c r="P316" s="24">
        <f t="shared" ref="P316" si="279">L316-N316</f>
        <v>450000</v>
      </c>
      <c r="Q316" s="25">
        <v>210000</v>
      </c>
      <c r="R316" s="26">
        <v>144000</v>
      </c>
      <c r="S316" s="91">
        <f t="shared" si="272"/>
        <v>3.125</v>
      </c>
      <c r="T316" s="91">
        <f t="shared" si="273"/>
        <v>1.4583333333333333</v>
      </c>
      <c r="U316" s="27" t="s">
        <v>193</v>
      </c>
      <c r="V316" s="19" t="s">
        <v>51</v>
      </c>
      <c r="W316" s="20">
        <v>45769</v>
      </c>
      <c r="X316" s="22"/>
      <c r="Y316" s="19" t="s">
        <v>52</v>
      </c>
      <c r="Z316" s="19" t="s">
        <v>52</v>
      </c>
      <c r="AA316" s="19" t="s">
        <v>52</v>
      </c>
      <c r="AB316" s="28"/>
      <c r="AC316" s="90"/>
    </row>
    <row r="317" spans="1:33" ht="15" customHeight="1" x14ac:dyDescent="0.25">
      <c r="A317" s="33" t="s">
        <v>71</v>
      </c>
      <c r="B317" s="34"/>
      <c r="C317" s="34"/>
      <c r="D317" s="34"/>
      <c r="E317" s="34"/>
      <c r="F317" s="35"/>
      <c r="G317" s="35"/>
      <c r="H317" s="34"/>
      <c r="I317" s="34"/>
      <c r="J317" s="34"/>
      <c r="K317" s="34"/>
      <c r="L317" s="36"/>
      <c r="M317" s="36"/>
      <c r="N317" s="36"/>
      <c r="O317" s="36"/>
      <c r="P317" s="36"/>
      <c r="Q317" s="36">
        <f>SUM(Q307:Q316)</f>
        <v>2864000</v>
      </c>
      <c r="R317" s="36"/>
      <c r="S317" s="92"/>
      <c r="T317" s="93">
        <f>SUM(T307:T316)</f>
        <v>22.291666666666664</v>
      </c>
      <c r="U317" s="37"/>
      <c r="V317" s="38"/>
      <c r="W317" s="38"/>
      <c r="X317" s="38"/>
      <c r="Y317" s="34"/>
      <c r="Z317" s="34"/>
      <c r="AA317" s="39"/>
      <c r="AB317" s="29" t="s">
        <v>607</v>
      </c>
      <c r="AC317" s="81" t="s">
        <v>612</v>
      </c>
      <c r="AD317" s="83">
        <v>5000</v>
      </c>
      <c r="AF317" s="83">
        <v>0</v>
      </c>
      <c r="AG317" s="83">
        <f>SUM(AD317,AF317)</f>
        <v>5000</v>
      </c>
    </row>
    <row r="318" spans="1:33" s="29" customFormat="1" ht="15" customHeight="1" x14ac:dyDescent="0.25">
      <c r="A318" s="14">
        <v>8</v>
      </c>
      <c r="B318" s="15">
        <v>45773</v>
      </c>
      <c r="C318" s="15">
        <f>B318+8</f>
        <v>45781</v>
      </c>
      <c r="D318" s="14">
        <v>12729</v>
      </c>
      <c r="E318" s="16" t="s">
        <v>552</v>
      </c>
      <c r="F318" s="40" t="s">
        <v>553</v>
      </c>
      <c r="G318" s="17" t="s">
        <v>75</v>
      </c>
      <c r="H318" s="18" t="s">
        <v>78</v>
      </c>
      <c r="I318" s="19" t="s">
        <v>79</v>
      </c>
      <c r="J318" s="20">
        <v>45740</v>
      </c>
      <c r="K318" s="20">
        <v>45778</v>
      </c>
      <c r="L318" s="21">
        <v>150000</v>
      </c>
      <c r="M318" s="22">
        <f>SUM(N318:O318)</f>
        <v>105000</v>
      </c>
      <c r="N318" s="23">
        <v>0</v>
      </c>
      <c r="O318" s="23">
        <v>105000</v>
      </c>
      <c r="P318" s="24">
        <f>L318-N318</f>
        <v>150000</v>
      </c>
      <c r="Q318" s="25">
        <v>105000</v>
      </c>
      <c r="R318" s="26">
        <v>96000</v>
      </c>
      <c r="S318" s="91">
        <f t="shared" ref="S318:S326" si="280">IF(P318&gt;0,P318/$R318,0)</f>
        <v>1.5625</v>
      </c>
      <c r="T318" s="91">
        <f t="shared" ref="T318:T326" si="281">IF(Q318&gt;0,Q318/$R318,0)</f>
        <v>1.09375</v>
      </c>
      <c r="U318" s="27" t="s">
        <v>56</v>
      </c>
      <c r="V318" s="30" t="s">
        <v>59</v>
      </c>
      <c r="W318" s="31">
        <v>45771</v>
      </c>
      <c r="X318" s="22"/>
      <c r="Y318" s="19" t="s">
        <v>52</v>
      </c>
      <c r="Z318" s="19" t="s">
        <v>52</v>
      </c>
      <c r="AA318" s="19" t="s">
        <v>52</v>
      </c>
      <c r="AB318" s="28"/>
      <c r="AC318" s="90"/>
    </row>
    <row r="319" spans="1:33" s="29" customFormat="1" ht="15" customHeight="1" x14ac:dyDescent="0.25">
      <c r="A319" s="14">
        <v>16</v>
      </c>
      <c r="B319" s="15">
        <v>45773</v>
      </c>
      <c r="C319" s="15">
        <f>B319+8</f>
        <v>45781</v>
      </c>
      <c r="D319" s="14">
        <v>12796</v>
      </c>
      <c r="E319" s="16" t="s">
        <v>459</v>
      </c>
      <c r="F319" s="40" t="s">
        <v>460</v>
      </c>
      <c r="G319" s="17" t="s">
        <v>75</v>
      </c>
      <c r="H319" s="18" t="s">
        <v>78</v>
      </c>
      <c r="I319" s="19" t="s">
        <v>79</v>
      </c>
      <c r="J319" s="20">
        <v>45755</v>
      </c>
      <c r="K319" s="20">
        <v>45789</v>
      </c>
      <c r="L319" s="21">
        <v>350000</v>
      </c>
      <c r="M319" s="22">
        <f>SUM(N319:O319)</f>
        <v>210000</v>
      </c>
      <c r="N319" s="23">
        <v>0</v>
      </c>
      <c r="O319" s="23">
        <v>210000</v>
      </c>
      <c r="P319" s="24">
        <f>L319-N319</f>
        <v>350000</v>
      </c>
      <c r="Q319" s="25">
        <v>210000</v>
      </c>
      <c r="R319" s="26">
        <v>96000</v>
      </c>
      <c r="S319" s="91">
        <f t="shared" si="280"/>
        <v>3.6458333333333335</v>
      </c>
      <c r="T319" s="91">
        <f t="shared" si="281"/>
        <v>2.1875</v>
      </c>
      <c r="U319" s="27" t="s">
        <v>56</v>
      </c>
      <c r="V319" s="30" t="s">
        <v>59</v>
      </c>
      <c r="W319" s="31">
        <v>45772</v>
      </c>
      <c r="X319" s="22"/>
      <c r="Y319" s="19" t="s">
        <v>52</v>
      </c>
      <c r="Z319" s="19" t="s">
        <v>52</v>
      </c>
      <c r="AA319" s="19" t="s">
        <v>52</v>
      </c>
      <c r="AB319" s="28"/>
      <c r="AC319" s="90"/>
    </row>
    <row r="320" spans="1:33" s="29" customFormat="1" ht="15" customHeight="1" x14ac:dyDescent="0.25">
      <c r="A320" s="14">
        <v>1</v>
      </c>
      <c r="B320" s="15">
        <v>45773</v>
      </c>
      <c r="C320" s="15">
        <f t="shared" ref="C320" si="282">B320+8</f>
        <v>45781</v>
      </c>
      <c r="D320" s="14">
        <v>12454</v>
      </c>
      <c r="E320" s="16" t="s">
        <v>365</v>
      </c>
      <c r="F320" s="40" t="s">
        <v>366</v>
      </c>
      <c r="G320" s="17" t="s">
        <v>75</v>
      </c>
      <c r="H320" s="18" t="s">
        <v>57</v>
      </c>
      <c r="I320" s="19" t="s">
        <v>58</v>
      </c>
      <c r="J320" s="20">
        <v>45681</v>
      </c>
      <c r="K320" s="20">
        <v>45733</v>
      </c>
      <c r="L320" s="21">
        <v>450000</v>
      </c>
      <c r="M320" s="22">
        <f t="shared" ref="M320" si="283">SUM(N320:O320)</f>
        <v>300000</v>
      </c>
      <c r="N320" s="23">
        <v>150000</v>
      </c>
      <c r="O320" s="23">
        <v>150000</v>
      </c>
      <c r="P320" s="24">
        <f t="shared" ref="P320" si="284">L320-N320</f>
        <v>300000</v>
      </c>
      <c r="Q320" s="25">
        <v>99000</v>
      </c>
      <c r="R320" s="26">
        <v>150000</v>
      </c>
      <c r="S320" s="91">
        <f t="shared" si="280"/>
        <v>2</v>
      </c>
      <c r="T320" s="91">
        <f t="shared" si="281"/>
        <v>0.66</v>
      </c>
      <c r="U320" s="27" t="s">
        <v>50</v>
      </c>
      <c r="V320" s="19" t="s">
        <v>51</v>
      </c>
      <c r="W320" s="20">
        <v>45747</v>
      </c>
      <c r="X320" s="22"/>
      <c r="Y320" s="19" t="s">
        <v>52</v>
      </c>
      <c r="Z320" s="19" t="s">
        <v>52</v>
      </c>
      <c r="AA320" s="19" t="s">
        <v>52</v>
      </c>
      <c r="AB320"/>
      <c r="AC320" s="90"/>
    </row>
    <row r="321" spans="1:33" s="29" customFormat="1" ht="15" customHeight="1" x14ac:dyDescent="0.25">
      <c r="A321" s="14">
        <v>6</v>
      </c>
      <c r="B321" s="15">
        <v>45773</v>
      </c>
      <c r="C321" s="15">
        <f>B321+8</f>
        <v>45781</v>
      </c>
      <c r="D321" s="14">
        <v>12709</v>
      </c>
      <c r="E321" s="16" t="s">
        <v>206</v>
      </c>
      <c r="F321" s="40" t="s">
        <v>207</v>
      </c>
      <c r="G321" s="17" t="s">
        <v>75</v>
      </c>
      <c r="H321" s="18" t="s">
        <v>542</v>
      </c>
      <c r="I321" s="19" t="s">
        <v>49</v>
      </c>
      <c r="J321" s="20">
        <v>45735</v>
      </c>
      <c r="K321" s="20">
        <v>45762</v>
      </c>
      <c r="L321" s="21">
        <v>600000</v>
      </c>
      <c r="M321" s="22">
        <f>SUM(N321:O321)</f>
        <v>501000</v>
      </c>
      <c r="N321" s="23">
        <v>201000</v>
      </c>
      <c r="O321" s="23">
        <v>300000</v>
      </c>
      <c r="P321" s="24">
        <f>L321-N321</f>
        <v>399000</v>
      </c>
      <c r="Q321" s="25">
        <v>300000</v>
      </c>
      <c r="R321" s="26">
        <v>150000</v>
      </c>
      <c r="S321" s="91">
        <f t="shared" si="280"/>
        <v>2.66</v>
      </c>
      <c r="T321" s="91">
        <f t="shared" si="281"/>
        <v>2</v>
      </c>
      <c r="U321" s="27" t="s">
        <v>193</v>
      </c>
      <c r="V321" s="19" t="s">
        <v>51</v>
      </c>
      <c r="W321" s="20">
        <v>45752</v>
      </c>
      <c r="X321" s="22"/>
      <c r="Y321" s="19" t="s">
        <v>52</v>
      </c>
      <c r="Z321" s="19" t="s">
        <v>52</v>
      </c>
      <c r="AA321" s="19" t="s">
        <v>52</v>
      </c>
      <c r="AB321" s="28"/>
      <c r="AC321" s="90"/>
    </row>
    <row r="322" spans="1:33" s="29" customFormat="1" ht="15" customHeight="1" x14ac:dyDescent="0.25">
      <c r="A322" s="14">
        <v>11</v>
      </c>
      <c r="B322" s="15">
        <v>45773</v>
      </c>
      <c r="C322" s="15">
        <f>B322+8</f>
        <v>45781</v>
      </c>
      <c r="D322" s="14">
        <v>12772</v>
      </c>
      <c r="E322" s="16" t="s">
        <v>73</v>
      </c>
      <c r="F322" s="40" t="s">
        <v>74</v>
      </c>
      <c r="G322" s="17" t="s">
        <v>75</v>
      </c>
      <c r="H322" s="18" t="s">
        <v>542</v>
      </c>
      <c r="I322" s="19" t="s">
        <v>49</v>
      </c>
      <c r="J322" s="20">
        <v>45748</v>
      </c>
      <c r="K322" s="20">
        <v>45775</v>
      </c>
      <c r="L322" s="21">
        <v>600000</v>
      </c>
      <c r="M322" s="22">
        <f>SUM(N322:O322)</f>
        <v>606000</v>
      </c>
      <c r="N322" s="23">
        <v>550000</v>
      </c>
      <c r="O322" s="23">
        <v>56000</v>
      </c>
      <c r="P322" s="24">
        <f>L322-N322</f>
        <v>50000</v>
      </c>
      <c r="Q322" s="25">
        <v>56000</v>
      </c>
      <c r="R322" s="26">
        <v>36000</v>
      </c>
      <c r="S322" s="91">
        <f t="shared" si="280"/>
        <v>1.3888888888888888</v>
      </c>
      <c r="T322" s="91">
        <f t="shared" si="281"/>
        <v>1.5555555555555556</v>
      </c>
      <c r="U322" s="27" t="s">
        <v>193</v>
      </c>
      <c r="V322" s="19" t="s">
        <v>51</v>
      </c>
      <c r="W322" s="20">
        <v>45768</v>
      </c>
      <c r="X322" s="22"/>
      <c r="Y322" s="19" t="s">
        <v>52</v>
      </c>
      <c r="Z322" s="19" t="s">
        <v>52</v>
      </c>
      <c r="AA322" s="19" t="s">
        <v>52</v>
      </c>
      <c r="AB322" s="28"/>
      <c r="AC322" s="90"/>
    </row>
    <row r="323" spans="1:33" s="29" customFormat="1" ht="15" customHeight="1" x14ac:dyDescent="0.25">
      <c r="A323" s="14">
        <v>9</v>
      </c>
      <c r="B323" s="15">
        <v>45773</v>
      </c>
      <c r="C323" s="15">
        <f>B323+8</f>
        <v>45781</v>
      </c>
      <c r="D323" s="14">
        <v>12755</v>
      </c>
      <c r="E323" s="16" t="s">
        <v>427</v>
      </c>
      <c r="F323" s="40" t="s">
        <v>561</v>
      </c>
      <c r="G323" s="17" t="s">
        <v>75</v>
      </c>
      <c r="H323" s="18" t="s">
        <v>57</v>
      </c>
      <c r="I323" s="19" t="s">
        <v>58</v>
      </c>
      <c r="J323" s="20">
        <v>45743</v>
      </c>
      <c r="K323" s="20">
        <v>45778</v>
      </c>
      <c r="L323" s="21">
        <v>300000</v>
      </c>
      <c r="M323" s="22">
        <f>SUM(N323:O323)</f>
        <v>270000</v>
      </c>
      <c r="N323" s="23">
        <v>231000</v>
      </c>
      <c r="O323" s="23">
        <v>39000</v>
      </c>
      <c r="P323" s="24">
        <f>L323-N323</f>
        <v>69000</v>
      </c>
      <c r="Q323" s="25">
        <v>39000</v>
      </c>
      <c r="R323" s="26">
        <v>144000</v>
      </c>
      <c r="S323" s="91">
        <f t="shared" si="280"/>
        <v>0.47916666666666669</v>
      </c>
      <c r="T323" s="91">
        <f t="shared" si="281"/>
        <v>0.27083333333333331</v>
      </c>
      <c r="U323" s="27" t="s">
        <v>193</v>
      </c>
      <c r="V323" s="19" t="s">
        <v>51</v>
      </c>
      <c r="W323" s="20">
        <v>45757</v>
      </c>
      <c r="X323" s="22"/>
      <c r="Y323" s="19" t="s">
        <v>52</v>
      </c>
      <c r="Z323" s="19" t="s">
        <v>52</v>
      </c>
      <c r="AA323" s="19" t="s">
        <v>52</v>
      </c>
      <c r="AB323" s="28"/>
      <c r="AC323" s="90"/>
    </row>
    <row r="324" spans="1:33" s="29" customFormat="1" ht="15" customHeight="1" x14ac:dyDescent="0.25">
      <c r="A324" s="14">
        <v>4</v>
      </c>
      <c r="B324" s="15">
        <v>45773</v>
      </c>
      <c r="C324" s="15">
        <f>B324+8</f>
        <v>45781</v>
      </c>
      <c r="D324" s="14">
        <v>12794</v>
      </c>
      <c r="E324" s="16" t="s">
        <v>466</v>
      </c>
      <c r="F324" s="17" t="s">
        <v>467</v>
      </c>
      <c r="G324" s="17" t="s">
        <v>102</v>
      </c>
      <c r="H324" s="18" t="s">
        <v>57</v>
      </c>
      <c r="I324" s="19" t="s">
        <v>58</v>
      </c>
      <c r="J324" s="20">
        <v>45754</v>
      </c>
      <c r="K324" s="20">
        <v>45777</v>
      </c>
      <c r="L324" s="21">
        <v>1000000</v>
      </c>
      <c r="M324" s="22">
        <f>SUM(N324:O324)</f>
        <v>300000</v>
      </c>
      <c r="N324" s="23">
        <v>0</v>
      </c>
      <c r="O324" s="23">
        <v>300000</v>
      </c>
      <c r="P324" s="24">
        <f>L324-N324</f>
        <v>1000000</v>
      </c>
      <c r="Q324" s="25">
        <v>300000</v>
      </c>
      <c r="R324" s="26">
        <v>50000</v>
      </c>
      <c r="S324" s="91">
        <f t="shared" si="280"/>
        <v>20</v>
      </c>
      <c r="T324" s="91">
        <f t="shared" si="281"/>
        <v>6</v>
      </c>
      <c r="U324" s="27" t="s">
        <v>193</v>
      </c>
      <c r="V324" s="30" t="s">
        <v>59</v>
      </c>
      <c r="W324" s="31">
        <v>45770</v>
      </c>
      <c r="X324" s="22"/>
      <c r="Y324" s="19" t="s">
        <v>52</v>
      </c>
      <c r="Z324" s="19" t="s">
        <v>52</v>
      </c>
      <c r="AA324" s="19" t="s">
        <v>52</v>
      </c>
      <c r="AB324" s="28"/>
    </row>
    <row r="325" spans="1:33" s="29" customFormat="1" ht="15" customHeight="1" x14ac:dyDescent="0.25">
      <c r="A325" s="14">
        <v>15</v>
      </c>
      <c r="B325" s="15">
        <v>45773</v>
      </c>
      <c r="C325" s="15">
        <f>B325+8</f>
        <v>45781</v>
      </c>
      <c r="D325" s="14">
        <v>12799</v>
      </c>
      <c r="E325" s="16" t="s">
        <v>238</v>
      </c>
      <c r="F325" s="40" t="s">
        <v>239</v>
      </c>
      <c r="G325" s="17" t="s">
        <v>75</v>
      </c>
      <c r="H325" s="18" t="s">
        <v>57</v>
      </c>
      <c r="I325" s="19" t="s">
        <v>94</v>
      </c>
      <c r="J325" s="20">
        <v>45755</v>
      </c>
      <c r="K325" s="20">
        <v>45782</v>
      </c>
      <c r="L325" s="21">
        <v>300000</v>
      </c>
      <c r="M325" s="22">
        <f>SUM(N325:O325)</f>
        <v>150000</v>
      </c>
      <c r="N325" s="23">
        <v>0</v>
      </c>
      <c r="O325" s="23">
        <v>150000</v>
      </c>
      <c r="P325" s="24">
        <f>L325-N325</f>
        <v>300000</v>
      </c>
      <c r="Q325" s="25">
        <v>150000</v>
      </c>
      <c r="R325" s="26">
        <v>150000</v>
      </c>
      <c r="S325" s="91">
        <f t="shared" si="280"/>
        <v>2</v>
      </c>
      <c r="T325" s="91">
        <f t="shared" si="281"/>
        <v>1</v>
      </c>
      <c r="U325" s="27" t="s">
        <v>193</v>
      </c>
      <c r="V325" s="30" t="s">
        <v>59</v>
      </c>
      <c r="W325" s="31">
        <v>45770</v>
      </c>
      <c r="X325" s="22"/>
      <c r="Y325" s="19" t="s">
        <v>52</v>
      </c>
      <c r="Z325" s="19" t="s">
        <v>52</v>
      </c>
      <c r="AA325" s="19" t="s">
        <v>52</v>
      </c>
      <c r="AB325" s="28"/>
      <c r="AC325" s="90"/>
    </row>
    <row r="326" spans="1:33" s="29" customFormat="1" ht="15" customHeight="1" x14ac:dyDescent="0.25">
      <c r="A326" s="14">
        <v>1</v>
      </c>
      <c r="B326" s="15">
        <v>45773</v>
      </c>
      <c r="C326" s="15">
        <f t="shared" ref="C326" si="285">B326+8</f>
        <v>45781</v>
      </c>
      <c r="D326" s="14">
        <v>12667</v>
      </c>
      <c r="E326" s="16" t="s">
        <v>466</v>
      </c>
      <c r="F326" s="17" t="s">
        <v>467</v>
      </c>
      <c r="G326" s="17" t="s">
        <v>102</v>
      </c>
      <c r="H326" s="18" t="s">
        <v>57</v>
      </c>
      <c r="I326" s="19" t="s">
        <v>58</v>
      </c>
      <c r="J326" s="20">
        <v>45723</v>
      </c>
      <c r="K326" s="20">
        <v>45751</v>
      </c>
      <c r="L326" s="21">
        <v>1000000</v>
      </c>
      <c r="M326" s="22">
        <f t="shared" ref="M326" si="286">SUM(N326:O326)</f>
        <v>1000000</v>
      </c>
      <c r="N326" s="23">
        <v>500000</v>
      </c>
      <c r="O326" s="23">
        <v>500000</v>
      </c>
      <c r="P326" s="24">
        <f t="shared" ref="P326" si="287">L326-N326</f>
        <v>500000</v>
      </c>
      <c r="Q326" s="25">
        <v>405000</v>
      </c>
      <c r="R326" s="26">
        <v>50000</v>
      </c>
      <c r="S326" s="91">
        <f t="shared" si="280"/>
        <v>10</v>
      </c>
      <c r="T326" s="91">
        <f t="shared" si="281"/>
        <v>8.1</v>
      </c>
      <c r="U326" s="27" t="s">
        <v>193</v>
      </c>
      <c r="V326" s="19" t="s">
        <v>51</v>
      </c>
      <c r="W326" s="20">
        <v>45751</v>
      </c>
      <c r="X326" s="22"/>
      <c r="Y326" s="19" t="s">
        <v>52</v>
      </c>
      <c r="Z326" s="19" t="s">
        <v>52</v>
      </c>
      <c r="AA326" s="19" t="s">
        <v>52</v>
      </c>
      <c r="AB326" s="28"/>
    </row>
    <row r="327" spans="1:33" ht="15" customHeight="1" x14ac:dyDescent="0.25">
      <c r="A327" s="33" t="s">
        <v>71</v>
      </c>
      <c r="B327" s="34"/>
      <c r="C327" s="34"/>
      <c r="D327" s="34"/>
      <c r="E327" s="34"/>
      <c r="F327" s="35"/>
      <c r="G327" s="35"/>
      <c r="H327" s="34"/>
      <c r="I327" s="34"/>
      <c r="J327" s="34"/>
      <c r="K327" s="34"/>
      <c r="L327" s="36"/>
      <c r="M327" s="36"/>
      <c r="N327" s="36"/>
      <c r="O327" s="36"/>
      <c r="P327" s="36"/>
      <c r="Q327" s="36">
        <f>SUM(Q318:Q326)</f>
        <v>1664000</v>
      </c>
      <c r="R327" s="36"/>
      <c r="S327" s="92"/>
      <c r="T327" s="93">
        <f>SUM(T318:T326)</f>
        <v>22.867638888888891</v>
      </c>
      <c r="U327" s="37"/>
      <c r="V327" s="38"/>
      <c r="W327" s="38"/>
      <c r="X327" s="38"/>
      <c r="Y327" s="34"/>
      <c r="Z327" s="34"/>
      <c r="AA327" s="39"/>
      <c r="AB327" s="29" t="s">
        <v>608</v>
      </c>
      <c r="AC327" s="81" t="s">
        <v>615</v>
      </c>
      <c r="AD327" s="83">
        <v>5000</v>
      </c>
      <c r="AF327" s="83">
        <v>0</v>
      </c>
      <c r="AG327" s="83">
        <f>SUM(AD327,AF327)</f>
        <v>5000</v>
      </c>
    </row>
    <row r="328" spans="1:33" s="29" customFormat="1" ht="15" customHeight="1" x14ac:dyDescent="0.25">
      <c r="A328" s="14">
        <v>6</v>
      </c>
      <c r="B328" s="15">
        <v>45777</v>
      </c>
      <c r="C328" s="15">
        <f>B328+8</f>
        <v>45785</v>
      </c>
      <c r="D328" s="14">
        <v>12770</v>
      </c>
      <c r="E328" s="16" t="s">
        <v>105</v>
      </c>
      <c r="F328" s="17" t="s">
        <v>106</v>
      </c>
      <c r="G328" s="17" t="s">
        <v>102</v>
      </c>
      <c r="H328" s="18" t="s">
        <v>542</v>
      </c>
      <c r="I328" s="19" t="s">
        <v>49</v>
      </c>
      <c r="J328" s="20">
        <v>45748</v>
      </c>
      <c r="K328" s="20">
        <v>45782</v>
      </c>
      <c r="L328" s="21">
        <v>1700000</v>
      </c>
      <c r="M328" s="22">
        <f>SUM(N328:O328)</f>
        <v>312000</v>
      </c>
      <c r="N328" s="23">
        <v>50000</v>
      </c>
      <c r="O328" s="23">
        <v>262000</v>
      </c>
      <c r="P328" s="24">
        <f>L328-N328</f>
        <v>1650000</v>
      </c>
      <c r="Q328" s="25">
        <v>262000</v>
      </c>
      <c r="R328" s="26">
        <v>50000</v>
      </c>
      <c r="S328" s="91">
        <f t="shared" ref="S328:S333" si="288">IF(P328&gt;0,P328/$R328,0)</f>
        <v>33</v>
      </c>
      <c r="T328" s="91">
        <f t="shared" ref="T328:T333" si="289">IF(Q328&gt;0,Q328/$R328,0)</f>
        <v>5.24</v>
      </c>
      <c r="U328" s="27" t="s">
        <v>193</v>
      </c>
      <c r="V328" s="30" t="s">
        <v>59</v>
      </c>
      <c r="W328" s="31">
        <v>45770</v>
      </c>
      <c r="X328" s="22"/>
      <c r="Y328" s="19" t="s">
        <v>52</v>
      </c>
      <c r="Z328" s="19" t="s">
        <v>52</v>
      </c>
      <c r="AA328" s="19" t="s">
        <v>52</v>
      </c>
      <c r="AB328" s="28"/>
    </row>
    <row r="329" spans="1:33" s="29" customFormat="1" ht="15" customHeight="1" x14ac:dyDescent="0.25">
      <c r="A329" s="14">
        <v>3</v>
      </c>
      <c r="B329" s="15">
        <v>45777</v>
      </c>
      <c r="C329" s="15">
        <f>B329+8</f>
        <v>45785</v>
      </c>
      <c r="D329" s="14">
        <v>12784</v>
      </c>
      <c r="E329" s="16" t="s">
        <v>114</v>
      </c>
      <c r="F329" s="17" t="s">
        <v>115</v>
      </c>
      <c r="G329" s="17" t="s">
        <v>102</v>
      </c>
      <c r="H329" s="18" t="s">
        <v>542</v>
      </c>
      <c r="I329" s="19" t="s">
        <v>104</v>
      </c>
      <c r="J329" s="20">
        <v>45751</v>
      </c>
      <c r="K329" s="20">
        <v>45777</v>
      </c>
      <c r="L329" s="21">
        <v>1500000</v>
      </c>
      <c r="M329" s="22">
        <f>SUM(N329:O329)</f>
        <v>630000</v>
      </c>
      <c r="N329" s="23">
        <v>63000</v>
      </c>
      <c r="O329" s="23">
        <v>567000</v>
      </c>
      <c r="P329" s="24">
        <f>L329-N329</f>
        <v>1437000</v>
      </c>
      <c r="Q329" s="25">
        <v>567000</v>
      </c>
      <c r="R329" s="26">
        <v>63000</v>
      </c>
      <c r="S329" s="91">
        <f t="shared" si="288"/>
        <v>22.80952380952381</v>
      </c>
      <c r="T329" s="91">
        <f t="shared" si="289"/>
        <v>9</v>
      </c>
      <c r="U329" s="27" t="s">
        <v>193</v>
      </c>
      <c r="V329" s="30" t="s">
        <v>59</v>
      </c>
      <c r="W329" s="31">
        <v>45770</v>
      </c>
      <c r="X329" s="22"/>
      <c r="Y329" s="19" t="s">
        <v>52</v>
      </c>
      <c r="Z329" s="19" t="s">
        <v>52</v>
      </c>
      <c r="AA329" s="19" t="s">
        <v>52</v>
      </c>
      <c r="AB329" s="28"/>
    </row>
    <row r="330" spans="1:33" s="29" customFormat="1" ht="15" customHeight="1" x14ac:dyDescent="0.25">
      <c r="A330" s="14">
        <v>7</v>
      </c>
      <c r="B330" s="15">
        <v>45777</v>
      </c>
      <c r="C330" s="15">
        <f t="shared" ref="C330:C333" si="290">B330+8</f>
        <v>45785</v>
      </c>
      <c r="D330" s="14">
        <v>12704</v>
      </c>
      <c r="E330" s="16" t="s">
        <v>87</v>
      </c>
      <c r="F330" s="40" t="s">
        <v>88</v>
      </c>
      <c r="G330" s="17" t="s">
        <v>75</v>
      </c>
      <c r="H330" s="18" t="s">
        <v>542</v>
      </c>
      <c r="I330" s="19" t="s">
        <v>49</v>
      </c>
      <c r="J330" s="20">
        <v>45755</v>
      </c>
      <c r="K330" s="20">
        <v>45765</v>
      </c>
      <c r="L330" s="21">
        <v>1200000</v>
      </c>
      <c r="M330" s="22">
        <f t="shared" ref="M330:M333" si="291">SUM(N330:O330)</f>
        <v>1338000</v>
      </c>
      <c r="N330" s="23">
        <v>846000</v>
      </c>
      <c r="O330" s="23">
        <v>492000</v>
      </c>
      <c r="P330" s="24">
        <f t="shared" ref="P330:P333" si="292">L330-N330</f>
        <v>354000</v>
      </c>
      <c r="Q330" s="25">
        <v>492000</v>
      </c>
      <c r="R330" s="26">
        <v>150000</v>
      </c>
      <c r="S330" s="91">
        <f t="shared" si="288"/>
        <v>2.36</v>
      </c>
      <c r="T330" s="91">
        <f t="shared" si="289"/>
        <v>3.28</v>
      </c>
      <c r="U330" s="27" t="s">
        <v>193</v>
      </c>
      <c r="V330" s="19" t="s">
        <v>51</v>
      </c>
      <c r="W330" s="20">
        <v>45758</v>
      </c>
      <c r="X330" s="22"/>
      <c r="Y330" s="19" t="s">
        <v>52</v>
      </c>
      <c r="Z330" s="19" t="s">
        <v>52</v>
      </c>
      <c r="AA330" s="19" t="s">
        <v>52</v>
      </c>
      <c r="AB330" s="28"/>
      <c r="AC330" s="90"/>
    </row>
    <row r="331" spans="1:33" s="29" customFormat="1" ht="15" customHeight="1" x14ac:dyDescent="0.25">
      <c r="A331" s="14">
        <v>15</v>
      </c>
      <c r="B331" s="15">
        <v>45777</v>
      </c>
      <c r="C331" s="15">
        <f t="shared" si="290"/>
        <v>45785</v>
      </c>
      <c r="D331" s="14">
        <v>12799</v>
      </c>
      <c r="E331" s="16" t="s">
        <v>238</v>
      </c>
      <c r="F331" s="40" t="s">
        <v>239</v>
      </c>
      <c r="G331" s="17" t="s">
        <v>75</v>
      </c>
      <c r="H331" s="18" t="s">
        <v>57</v>
      </c>
      <c r="I331" s="19" t="s">
        <v>94</v>
      </c>
      <c r="J331" s="20">
        <v>45755</v>
      </c>
      <c r="K331" s="20">
        <v>45782</v>
      </c>
      <c r="L331" s="21">
        <v>300000</v>
      </c>
      <c r="M331" s="22">
        <f t="shared" si="291"/>
        <v>270000</v>
      </c>
      <c r="N331" s="23">
        <v>150000</v>
      </c>
      <c r="O331" s="23">
        <v>120000</v>
      </c>
      <c r="P331" s="24">
        <f t="shared" si="292"/>
        <v>150000</v>
      </c>
      <c r="Q331" s="25">
        <v>120000</v>
      </c>
      <c r="R331" s="26">
        <v>150000</v>
      </c>
      <c r="S331" s="91">
        <f t="shared" si="288"/>
        <v>1</v>
      </c>
      <c r="T331" s="91">
        <f t="shared" si="289"/>
        <v>0.8</v>
      </c>
      <c r="U331" s="27" t="s">
        <v>193</v>
      </c>
      <c r="V331" s="30" t="s">
        <v>59</v>
      </c>
      <c r="W331" s="31">
        <v>45770</v>
      </c>
      <c r="X331" s="22"/>
      <c r="Y331" s="19" t="s">
        <v>52</v>
      </c>
      <c r="Z331" s="19" t="s">
        <v>52</v>
      </c>
      <c r="AA331" s="19" t="s">
        <v>52</v>
      </c>
      <c r="AB331" s="28"/>
      <c r="AC331" s="90"/>
    </row>
    <row r="332" spans="1:33" s="29" customFormat="1" ht="15" customHeight="1" x14ac:dyDescent="0.25">
      <c r="A332" s="14">
        <v>17</v>
      </c>
      <c r="B332" s="15">
        <v>45777</v>
      </c>
      <c r="C332" s="15">
        <f t="shared" si="290"/>
        <v>45785</v>
      </c>
      <c r="D332" s="14">
        <v>12811</v>
      </c>
      <c r="E332" s="16" t="s">
        <v>295</v>
      </c>
      <c r="F332" s="40" t="s">
        <v>296</v>
      </c>
      <c r="G332" s="17" t="s">
        <v>75</v>
      </c>
      <c r="H332" s="18" t="s">
        <v>542</v>
      </c>
      <c r="I332" s="19" t="s">
        <v>49</v>
      </c>
      <c r="J332" s="20">
        <v>45756</v>
      </c>
      <c r="K332" s="20">
        <v>45798</v>
      </c>
      <c r="L332" s="21">
        <v>1500000</v>
      </c>
      <c r="M332" s="22">
        <f t="shared" si="291"/>
        <v>765000</v>
      </c>
      <c r="N332" s="23">
        <v>0</v>
      </c>
      <c r="O332" s="23">
        <v>765000</v>
      </c>
      <c r="P332" s="24">
        <f t="shared" si="292"/>
        <v>1500000</v>
      </c>
      <c r="Q332" s="25">
        <v>750000</v>
      </c>
      <c r="R332" s="26">
        <v>150000</v>
      </c>
      <c r="S332" s="91">
        <f t="shared" si="288"/>
        <v>10</v>
      </c>
      <c r="T332" s="91">
        <f t="shared" si="289"/>
        <v>5</v>
      </c>
      <c r="U332" s="27" t="s">
        <v>193</v>
      </c>
      <c r="V332" s="30" t="s">
        <v>59</v>
      </c>
      <c r="W332" s="31">
        <v>45772</v>
      </c>
      <c r="X332" s="22"/>
      <c r="Y332" s="19" t="s">
        <v>52</v>
      </c>
      <c r="Z332" s="19" t="s">
        <v>52</v>
      </c>
      <c r="AA332" s="19" t="s">
        <v>52</v>
      </c>
      <c r="AB332" s="28"/>
      <c r="AC332" s="90"/>
    </row>
    <row r="333" spans="1:33" s="29" customFormat="1" ht="15" customHeight="1" x14ac:dyDescent="0.25">
      <c r="A333" s="14">
        <v>7</v>
      </c>
      <c r="B333" s="15">
        <v>45777</v>
      </c>
      <c r="C333" s="15">
        <f t="shared" si="290"/>
        <v>45785</v>
      </c>
      <c r="D333" s="14">
        <v>12800</v>
      </c>
      <c r="E333" s="16" t="s">
        <v>287</v>
      </c>
      <c r="F333" s="17" t="s">
        <v>288</v>
      </c>
      <c r="G333" s="17" t="s">
        <v>102</v>
      </c>
      <c r="H333" s="18" t="s">
        <v>62</v>
      </c>
      <c r="I333" s="19" t="s">
        <v>63</v>
      </c>
      <c r="J333" s="20">
        <v>45757</v>
      </c>
      <c r="K333" s="20">
        <v>45791</v>
      </c>
      <c r="L333" s="21">
        <v>500000</v>
      </c>
      <c r="M333" s="22">
        <f t="shared" si="291"/>
        <v>124000</v>
      </c>
      <c r="N333" s="23">
        <v>0</v>
      </c>
      <c r="O333" s="23">
        <v>124000</v>
      </c>
      <c r="P333" s="24">
        <f t="shared" si="292"/>
        <v>500000</v>
      </c>
      <c r="Q333" s="25">
        <v>124000</v>
      </c>
      <c r="R333" s="26">
        <v>84000</v>
      </c>
      <c r="S333" s="91">
        <f t="shared" si="288"/>
        <v>5.9523809523809526</v>
      </c>
      <c r="T333" s="91">
        <f t="shared" si="289"/>
        <v>1.4761904761904763</v>
      </c>
      <c r="U333" s="27" t="s">
        <v>193</v>
      </c>
      <c r="V333" s="30" t="s">
        <v>59</v>
      </c>
      <c r="W333" s="31">
        <v>45775</v>
      </c>
      <c r="X333" s="22"/>
      <c r="Y333" s="19" t="s">
        <v>52</v>
      </c>
      <c r="Z333" s="19" t="s">
        <v>52</v>
      </c>
      <c r="AA333" s="19" t="s">
        <v>52</v>
      </c>
      <c r="AB333" s="28"/>
    </row>
    <row r="334" spans="1:33" ht="15" customHeight="1" x14ac:dyDescent="0.25">
      <c r="A334" s="33" t="s">
        <v>71</v>
      </c>
      <c r="B334" s="34"/>
      <c r="C334" s="34"/>
      <c r="D334" s="34"/>
      <c r="E334" s="34"/>
      <c r="F334" s="35"/>
      <c r="G334" s="35"/>
      <c r="H334" s="34"/>
      <c r="I334" s="34"/>
      <c r="J334" s="34"/>
      <c r="K334" s="34"/>
      <c r="L334" s="36"/>
      <c r="M334" s="36"/>
      <c r="N334" s="36"/>
      <c r="O334" s="36"/>
      <c r="P334" s="36"/>
      <c r="Q334" s="36">
        <f>SUM(Q328:Q333)</f>
        <v>2315000</v>
      </c>
      <c r="R334" s="36"/>
      <c r="S334" s="92"/>
      <c r="T334" s="93">
        <f>SUM(T328:T333)</f>
        <v>24.796190476190475</v>
      </c>
      <c r="U334" s="37"/>
      <c r="V334" s="38"/>
      <c r="W334" s="38"/>
      <c r="X334" s="38"/>
      <c r="Y334" s="34"/>
      <c r="Z334" s="34"/>
      <c r="AA334" s="39"/>
      <c r="AB334" s="29" t="s">
        <v>613</v>
      </c>
      <c r="AC334" s="81" t="s">
        <v>616</v>
      </c>
      <c r="AD334" s="83">
        <v>5000</v>
      </c>
      <c r="AF334" s="83">
        <v>0</v>
      </c>
      <c r="AG334" s="83">
        <f>SUM(AD334,AF334)</f>
        <v>5000</v>
      </c>
    </row>
    <row r="335" spans="1:33" s="29" customFormat="1" ht="15" customHeight="1" x14ac:dyDescent="0.25">
      <c r="A335" s="14">
        <v>1</v>
      </c>
      <c r="B335" s="15">
        <v>45777</v>
      </c>
      <c r="C335" s="15">
        <f t="shared" ref="C335:C342" si="293">B335+8</f>
        <v>45785</v>
      </c>
      <c r="D335" s="14">
        <v>12274</v>
      </c>
      <c r="E335" s="16" t="s">
        <v>324</v>
      </c>
      <c r="F335" s="17" t="s">
        <v>325</v>
      </c>
      <c r="G335" s="17" t="s">
        <v>132</v>
      </c>
      <c r="H335" s="18" t="s">
        <v>54</v>
      </c>
      <c r="I335" s="19" t="s">
        <v>198</v>
      </c>
      <c r="J335" s="20">
        <v>45645</v>
      </c>
      <c r="K335" s="20">
        <v>45694</v>
      </c>
      <c r="L335" s="21">
        <v>2000000</v>
      </c>
      <c r="M335" s="22">
        <f t="shared" ref="M335:M342" si="294">SUM(N335:O335)</f>
        <v>2135170</v>
      </c>
      <c r="N335" s="23">
        <v>1535170</v>
      </c>
      <c r="O335" s="23">
        <v>600000</v>
      </c>
      <c r="P335" s="24">
        <f t="shared" ref="P335:P342" si="295">L335-N335</f>
        <v>464830</v>
      </c>
      <c r="Q335" s="25">
        <v>600000</v>
      </c>
      <c r="R335" s="26">
        <v>324000</v>
      </c>
      <c r="S335" s="91">
        <f t="shared" ref="S335:S346" si="296">IF(P335&gt;0,P335/$R335,0)</f>
        <v>1.4346604938271605</v>
      </c>
      <c r="T335" s="91">
        <f t="shared" ref="T335:T346" si="297">IF(Q335&gt;0,Q335/$R335,0)</f>
        <v>1.8518518518518519</v>
      </c>
      <c r="U335" s="27" t="s">
        <v>56</v>
      </c>
      <c r="V335" s="19" t="s">
        <v>51</v>
      </c>
      <c r="W335" s="20">
        <v>45698</v>
      </c>
      <c r="X335" s="22"/>
      <c r="Y335" s="19" t="s">
        <v>52</v>
      </c>
      <c r="Z335" s="19" t="s">
        <v>52</v>
      </c>
      <c r="AA335" s="19" t="s">
        <v>52</v>
      </c>
      <c r="AB335"/>
    </row>
    <row r="336" spans="1:33" s="29" customFormat="1" ht="15" customHeight="1" x14ac:dyDescent="0.25">
      <c r="A336" s="14">
        <v>13</v>
      </c>
      <c r="B336" s="15">
        <v>45777</v>
      </c>
      <c r="C336" s="15">
        <f t="shared" si="293"/>
        <v>45785</v>
      </c>
      <c r="D336" s="14">
        <v>12767</v>
      </c>
      <c r="E336" s="16" t="s">
        <v>137</v>
      </c>
      <c r="F336" s="17" t="s">
        <v>138</v>
      </c>
      <c r="G336" s="17" t="s">
        <v>132</v>
      </c>
      <c r="H336" s="18" t="s">
        <v>54</v>
      </c>
      <c r="I336" s="19" t="s">
        <v>135</v>
      </c>
      <c r="J336" s="20">
        <v>45748</v>
      </c>
      <c r="K336" s="20">
        <v>45824</v>
      </c>
      <c r="L336" s="21">
        <v>40000</v>
      </c>
      <c r="M336" s="22">
        <f t="shared" si="294"/>
        <v>40650</v>
      </c>
      <c r="N336" s="23">
        <v>0</v>
      </c>
      <c r="O336" s="23">
        <v>40650</v>
      </c>
      <c r="P336" s="24">
        <f t="shared" si="295"/>
        <v>40000</v>
      </c>
      <c r="Q336" s="25">
        <v>40650</v>
      </c>
      <c r="R336" s="26">
        <v>69948</v>
      </c>
      <c r="S336" s="91">
        <f t="shared" si="296"/>
        <v>0.57185337679419002</v>
      </c>
      <c r="T336" s="91">
        <f t="shared" si="297"/>
        <v>0.58114599416709556</v>
      </c>
      <c r="U336" s="27" t="s">
        <v>56</v>
      </c>
      <c r="V336" s="30" t="s">
        <v>59</v>
      </c>
      <c r="W336" s="31">
        <v>45770</v>
      </c>
      <c r="X336" s="22"/>
      <c r="Y336" s="19" t="s">
        <v>52</v>
      </c>
      <c r="Z336" s="19" t="s">
        <v>52</v>
      </c>
      <c r="AA336" s="19" t="s">
        <v>52</v>
      </c>
      <c r="AB336" s="28"/>
    </row>
    <row r="337" spans="1:33" s="29" customFormat="1" ht="15" customHeight="1" x14ac:dyDescent="0.25">
      <c r="A337" s="14">
        <v>12</v>
      </c>
      <c r="B337" s="15">
        <v>45777</v>
      </c>
      <c r="C337" s="15">
        <f t="shared" si="293"/>
        <v>45785</v>
      </c>
      <c r="D337" s="14">
        <v>12766</v>
      </c>
      <c r="E337" s="16" t="s">
        <v>327</v>
      </c>
      <c r="F337" s="17" t="s">
        <v>328</v>
      </c>
      <c r="G337" s="17" t="s">
        <v>132</v>
      </c>
      <c r="H337" s="18" t="s">
        <v>54</v>
      </c>
      <c r="I337" s="19" t="s">
        <v>135</v>
      </c>
      <c r="J337" s="20">
        <v>45748</v>
      </c>
      <c r="K337" s="20">
        <v>45824</v>
      </c>
      <c r="L337" s="21">
        <v>30000</v>
      </c>
      <c r="M337" s="22">
        <f t="shared" si="294"/>
        <v>35520</v>
      </c>
      <c r="N337" s="23">
        <v>0</v>
      </c>
      <c r="O337" s="23">
        <v>35520</v>
      </c>
      <c r="P337" s="24">
        <f t="shared" si="295"/>
        <v>30000</v>
      </c>
      <c r="Q337" s="25">
        <v>35520</v>
      </c>
      <c r="R337" s="26">
        <v>75078</v>
      </c>
      <c r="S337" s="91">
        <f t="shared" si="296"/>
        <v>0.39958443219052187</v>
      </c>
      <c r="T337" s="91">
        <f t="shared" si="297"/>
        <v>0.47310796771357788</v>
      </c>
      <c r="U337" s="27" t="s">
        <v>56</v>
      </c>
      <c r="V337" s="30" t="s">
        <v>59</v>
      </c>
      <c r="W337" s="31">
        <v>45770</v>
      </c>
      <c r="X337" s="22"/>
      <c r="Y337" s="19" t="s">
        <v>52</v>
      </c>
      <c r="Z337" s="19" t="s">
        <v>52</v>
      </c>
      <c r="AA337" s="19" t="s">
        <v>52</v>
      </c>
      <c r="AB337" s="28"/>
    </row>
    <row r="338" spans="1:33" s="29" customFormat="1" ht="15" customHeight="1" x14ac:dyDescent="0.25">
      <c r="A338" s="14">
        <v>10</v>
      </c>
      <c r="B338" s="15">
        <v>45777</v>
      </c>
      <c r="C338" s="15">
        <f t="shared" si="293"/>
        <v>45785</v>
      </c>
      <c r="D338" s="14">
        <v>12765</v>
      </c>
      <c r="E338" s="16" t="s">
        <v>255</v>
      </c>
      <c r="F338" s="17" t="s">
        <v>256</v>
      </c>
      <c r="G338" s="17" t="s">
        <v>132</v>
      </c>
      <c r="H338" s="18" t="s">
        <v>54</v>
      </c>
      <c r="I338" s="19" t="s">
        <v>135</v>
      </c>
      <c r="J338" s="20">
        <v>45748</v>
      </c>
      <c r="K338" s="20">
        <v>45821</v>
      </c>
      <c r="L338" s="21">
        <v>30000</v>
      </c>
      <c r="M338" s="22">
        <f t="shared" si="294"/>
        <v>31850</v>
      </c>
      <c r="N338" s="23">
        <v>0</v>
      </c>
      <c r="O338" s="23">
        <v>31850</v>
      </c>
      <c r="P338" s="24">
        <f t="shared" si="295"/>
        <v>30000</v>
      </c>
      <c r="Q338" s="25">
        <v>31850</v>
      </c>
      <c r="R338" s="26">
        <v>57330</v>
      </c>
      <c r="S338" s="91">
        <f t="shared" si="296"/>
        <v>0.52328623757195181</v>
      </c>
      <c r="T338" s="91">
        <f t="shared" si="297"/>
        <v>0.55555555555555558</v>
      </c>
      <c r="U338" s="27" t="s">
        <v>56</v>
      </c>
      <c r="V338" s="30" t="s">
        <v>59</v>
      </c>
      <c r="W338" s="31">
        <v>45770</v>
      </c>
      <c r="X338" s="22"/>
      <c r="Y338" s="19" t="s">
        <v>52</v>
      </c>
      <c r="Z338" s="19" t="s">
        <v>52</v>
      </c>
      <c r="AA338" s="19" t="s">
        <v>52</v>
      </c>
      <c r="AB338" s="28"/>
    </row>
    <row r="339" spans="1:33" s="29" customFormat="1" ht="15" customHeight="1" x14ac:dyDescent="0.25">
      <c r="A339" s="14">
        <v>8</v>
      </c>
      <c r="B339" s="15">
        <v>45777</v>
      </c>
      <c r="C339" s="15">
        <f t="shared" si="293"/>
        <v>45785</v>
      </c>
      <c r="D339" s="14">
        <v>12763</v>
      </c>
      <c r="E339" s="16" t="s">
        <v>148</v>
      </c>
      <c r="F339" s="17" t="s">
        <v>149</v>
      </c>
      <c r="G339" s="17" t="s">
        <v>132</v>
      </c>
      <c r="H339" s="18" t="s">
        <v>54</v>
      </c>
      <c r="I339" s="19" t="s">
        <v>135</v>
      </c>
      <c r="J339" s="20">
        <v>45748</v>
      </c>
      <c r="K339" s="20">
        <v>45821</v>
      </c>
      <c r="L339" s="21">
        <v>75000</v>
      </c>
      <c r="M339" s="22">
        <f t="shared" si="294"/>
        <v>26420</v>
      </c>
      <c r="N339" s="23">
        <v>0</v>
      </c>
      <c r="O339" s="23">
        <v>26420</v>
      </c>
      <c r="P339" s="24">
        <f t="shared" si="295"/>
        <v>75000</v>
      </c>
      <c r="Q339" s="25">
        <v>26420</v>
      </c>
      <c r="R339" s="26">
        <v>57330</v>
      </c>
      <c r="S339" s="91">
        <f t="shared" si="296"/>
        <v>1.3082155939298796</v>
      </c>
      <c r="T339" s="91">
        <f t="shared" si="297"/>
        <v>0.46084074655503227</v>
      </c>
      <c r="U339" s="27" t="s">
        <v>56</v>
      </c>
      <c r="V339" s="30" t="s">
        <v>59</v>
      </c>
      <c r="W339" s="31">
        <v>45770</v>
      </c>
      <c r="X339" s="22"/>
      <c r="Y339" s="19" t="s">
        <v>52</v>
      </c>
      <c r="Z339" s="19" t="s">
        <v>52</v>
      </c>
      <c r="AA339" s="19" t="s">
        <v>52</v>
      </c>
      <c r="AB339" s="28"/>
    </row>
    <row r="340" spans="1:33" s="29" customFormat="1" ht="15" customHeight="1" x14ac:dyDescent="0.25">
      <c r="A340" s="14">
        <v>11</v>
      </c>
      <c r="B340" s="15">
        <v>45777</v>
      </c>
      <c r="C340" s="15">
        <f t="shared" si="293"/>
        <v>45785</v>
      </c>
      <c r="D340" s="14">
        <v>12761</v>
      </c>
      <c r="E340" s="16" t="s">
        <v>228</v>
      </c>
      <c r="F340" s="17" t="s">
        <v>229</v>
      </c>
      <c r="G340" s="17" t="s">
        <v>132</v>
      </c>
      <c r="H340" s="18" t="s">
        <v>54</v>
      </c>
      <c r="I340" s="19" t="s">
        <v>135</v>
      </c>
      <c r="J340" s="20">
        <v>45751</v>
      </c>
      <c r="K340" s="20">
        <v>45821</v>
      </c>
      <c r="L340" s="21">
        <v>80000</v>
      </c>
      <c r="M340" s="22">
        <f t="shared" si="294"/>
        <v>66340</v>
      </c>
      <c r="N340" s="23">
        <v>0</v>
      </c>
      <c r="O340" s="23">
        <v>66340</v>
      </c>
      <c r="P340" s="24">
        <f t="shared" si="295"/>
        <v>80000</v>
      </c>
      <c r="Q340" s="25">
        <v>66340</v>
      </c>
      <c r="R340" s="26">
        <v>57330</v>
      </c>
      <c r="S340" s="91">
        <f t="shared" si="296"/>
        <v>1.3954299668585384</v>
      </c>
      <c r="T340" s="91">
        <f t="shared" si="297"/>
        <v>1.1571603000174429</v>
      </c>
      <c r="U340" s="27" t="s">
        <v>56</v>
      </c>
      <c r="V340" s="30" t="s">
        <v>59</v>
      </c>
      <c r="W340" s="31">
        <v>45770</v>
      </c>
      <c r="X340" s="22"/>
      <c r="Y340" s="19" t="s">
        <v>52</v>
      </c>
      <c r="Z340" s="19" t="s">
        <v>52</v>
      </c>
      <c r="AA340" s="19" t="s">
        <v>52</v>
      </c>
      <c r="AB340" s="28"/>
    </row>
    <row r="341" spans="1:33" s="29" customFormat="1" ht="15" customHeight="1" x14ac:dyDescent="0.25">
      <c r="A341" s="14">
        <v>10</v>
      </c>
      <c r="B341" s="15">
        <v>45777</v>
      </c>
      <c r="C341" s="15">
        <f t="shared" si="293"/>
        <v>45785</v>
      </c>
      <c r="D341" s="14">
        <v>12727</v>
      </c>
      <c r="E341" s="16" t="s">
        <v>83</v>
      </c>
      <c r="F341" s="40" t="s">
        <v>84</v>
      </c>
      <c r="G341" s="17" t="s">
        <v>75</v>
      </c>
      <c r="H341" s="18" t="s">
        <v>54</v>
      </c>
      <c r="I341" s="19" t="s">
        <v>421</v>
      </c>
      <c r="J341" s="20">
        <v>45737</v>
      </c>
      <c r="K341" s="20">
        <v>45779</v>
      </c>
      <c r="L341" s="21">
        <v>500000</v>
      </c>
      <c r="M341" s="22">
        <f t="shared" si="294"/>
        <v>200000</v>
      </c>
      <c r="N341" s="23">
        <v>0</v>
      </c>
      <c r="O341" s="23">
        <v>200000</v>
      </c>
      <c r="P341" s="24">
        <f t="shared" si="295"/>
        <v>500000</v>
      </c>
      <c r="Q341" s="25">
        <v>200000</v>
      </c>
      <c r="R341" s="26">
        <v>84000</v>
      </c>
      <c r="S341" s="91">
        <f t="shared" si="296"/>
        <v>5.9523809523809526</v>
      </c>
      <c r="T341" s="91">
        <f t="shared" si="297"/>
        <v>2.3809523809523809</v>
      </c>
      <c r="U341" s="27" t="s">
        <v>56</v>
      </c>
      <c r="V341" s="30" t="s">
        <v>59</v>
      </c>
      <c r="W341" s="31">
        <v>45770</v>
      </c>
      <c r="X341" s="22"/>
      <c r="Y341" s="19" t="s">
        <v>52</v>
      </c>
      <c r="Z341" s="19" t="s">
        <v>52</v>
      </c>
      <c r="AA341" s="19" t="s">
        <v>52</v>
      </c>
      <c r="AB341" s="28"/>
      <c r="AC341" s="90"/>
    </row>
    <row r="342" spans="1:33" s="29" customFormat="1" ht="15" customHeight="1" x14ac:dyDescent="0.25">
      <c r="A342" s="14">
        <v>14</v>
      </c>
      <c r="B342" s="15">
        <v>45777</v>
      </c>
      <c r="C342" s="15">
        <f t="shared" si="293"/>
        <v>45785</v>
      </c>
      <c r="D342" s="14">
        <v>12785</v>
      </c>
      <c r="E342" s="16" t="s">
        <v>410</v>
      </c>
      <c r="F342" s="40" t="s">
        <v>411</v>
      </c>
      <c r="G342" s="17" t="s">
        <v>75</v>
      </c>
      <c r="H342" s="18" t="s">
        <v>542</v>
      </c>
      <c r="I342" s="19" t="s">
        <v>104</v>
      </c>
      <c r="J342" s="20">
        <v>45751</v>
      </c>
      <c r="K342" s="20">
        <v>45798</v>
      </c>
      <c r="L342" s="21">
        <v>500000</v>
      </c>
      <c r="M342" s="22">
        <f t="shared" si="294"/>
        <v>498000</v>
      </c>
      <c r="N342" s="23">
        <v>0</v>
      </c>
      <c r="O342" s="23">
        <v>498000</v>
      </c>
      <c r="P342" s="24">
        <f t="shared" si="295"/>
        <v>500000</v>
      </c>
      <c r="Q342" s="25">
        <v>498000</v>
      </c>
      <c r="R342" s="26">
        <v>150000</v>
      </c>
      <c r="S342" s="91">
        <f t="shared" si="296"/>
        <v>3.3333333333333335</v>
      </c>
      <c r="T342" s="91">
        <f t="shared" si="297"/>
        <v>3.32</v>
      </c>
      <c r="U342" s="27" t="s">
        <v>193</v>
      </c>
      <c r="V342" s="30" t="s">
        <v>59</v>
      </c>
      <c r="W342" s="31">
        <v>45770</v>
      </c>
      <c r="X342" s="22"/>
      <c r="Y342" s="19" t="s">
        <v>52</v>
      </c>
      <c r="Z342" s="19" t="s">
        <v>52</v>
      </c>
      <c r="AA342" s="19" t="s">
        <v>52</v>
      </c>
      <c r="AB342" s="28"/>
      <c r="AC342" s="90"/>
    </row>
    <row r="343" spans="1:33" s="29" customFormat="1" ht="15" customHeight="1" x14ac:dyDescent="0.25">
      <c r="A343" s="14">
        <v>12</v>
      </c>
      <c r="B343" s="15">
        <v>45777</v>
      </c>
      <c r="C343" s="15">
        <f t="shared" ref="C343:C346" si="298">B343+8</f>
        <v>45785</v>
      </c>
      <c r="D343" s="14">
        <v>12788</v>
      </c>
      <c r="E343" s="16" t="s">
        <v>449</v>
      </c>
      <c r="F343" s="40" t="s">
        <v>450</v>
      </c>
      <c r="G343" s="17" t="s">
        <v>75</v>
      </c>
      <c r="H343" s="18" t="s">
        <v>57</v>
      </c>
      <c r="I343" s="19" t="s">
        <v>94</v>
      </c>
      <c r="J343" s="20">
        <v>45750</v>
      </c>
      <c r="K343" s="20" t="s">
        <v>65</v>
      </c>
      <c r="L343" s="21">
        <v>450000</v>
      </c>
      <c r="M343" s="22">
        <f t="shared" ref="M343:M346" si="299">SUM(N343:O343)</f>
        <v>315000</v>
      </c>
      <c r="N343" s="23">
        <v>210000</v>
      </c>
      <c r="O343" s="23">
        <v>105000</v>
      </c>
      <c r="P343" s="24">
        <f t="shared" ref="P343:P346" si="300">L343-N343</f>
        <v>240000</v>
      </c>
      <c r="Q343" s="25">
        <v>105000</v>
      </c>
      <c r="R343" s="26">
        <v>144000</v>
      </c>
      <c r="S343" s="91">
        <f t="shared" si="296"/>
        <v>1.6666666666666667</v>
      </c>
      <c r="T343" s="91">
        <f t="shared" si="297"/>
        <v>0.72916666666666663</v>
      </c>
      <c r="U343" s="27" t="s">
        <v>193</v>
      </c>
      <c r="V343" s="19" t="s">
        <v>51</v>
      </c>
      <c r="W343" s="20">
        <v>45769</v>
      </c>
      <c r="X343" s="22"/>
      <c r="Y343" s="19" t="s">
        <v>52</v>
      </c>
      <c r="Z343" s="19" t="s">
        <v>52</v>
      </c>
      <c r="AA343" s="19" t="s">
        <v>52</v>
      </c>
      <c r="AB343" s="28"/>
      <c r="AC343" s="90"/>
    </row>
    <row r="344" spans="1:33" s="29" customFormat="1" ht="15" customHeight="1" x14ac:dyDescent="0.25">
      <c r="A344" s="14">
        <v>4</v>
      </c>
      <c r="B344" s="15">
        <v>45777</v>
      </c>
      <c r="C344" s="15">
        <f t="shared" ref="C344" si="301">B344+8</f>
        <v>45785</v>
      </c>
      <c r="D344" s="14">
        <v>12794</v>
      </c>
      <c r="E344" s="16" t="s">
        <v>466</v>
      </c>
      <c r="F344" s="17" t="s">
        <v>467</v>
      </c>
      <c r="G344" s="17" t="s">
        <v>102</v>
      </c>
      <c r="H344" s="18" t="s">
        <v>57</v>
      </c>
      <c r="I344" s="19" t="s">
        <v>58</v>
      </c>
      <c r="J344" s="20">
        <v>45754</v>
      </c>
      <c r="K344" s="20">
        <v>45777</v>
      </c>
      <c r="L344" s="21">
        <v>1000000</v>
      </c>
      <c r="M344" s="22">
        <f t="shared" si="299"/>
        <v>200000</v>
      </c>
      <c r="N344" s="23">
        <v>0</v>
      </c>
      <c r="O344" s="23">
        <v>200000</v>
      </c>
      <c r="P344" s="24">
        <f t="shared" ref="P344" si="302">L344-N344</f>
        <v>1000000</v>
      </c>
      <c r="Q344" s="25">
        <v>200000</v>
      </c>
      <c r="R344" s="26">
        <v>50000</v>
      </c>
      <c r="S344" s="91">
        <f t="shared" si="296"/>
        <v>20</v>
      </c>
      <c r="T344" s="91">
        <f t="shared" si="297"/>
        <v>4</v>
      </c>
      <c r="U344" s="27" t="s">
        <v>193</v>
      </c>
      <c r="V344" s="30" t="s">
        <v>59</v>
      </c>
      <c r="W344" s="31">
        <v>45770</v>
      </c>
      <c r="X344" s="22"/>
      <c r="Y344" s="19" t="s">
        <v>52</v>
      </c>
      <c r="Z344" s="19" t="s">
        <v>52</v>
      </c>
      <c r="AA344" s="19" t="s">
        <v>52</v>
      </c>
      <c r="AB344" s="28"/>
    </row>
    <row r="345" spans="1:33" s="29" customFormat="1" ht="15" customHeight="1" x14ac:dyDescent="0.25">
      <c r="A345" s="14">
        <v>15</v>
      </c>
      <c r="B345" s="15">
        <v>45777</v>
      </c>
      <c r="C345" s="15">
        <f>B345+8</f>
        <v>45785</v>
      </c>
      <c r="D345" s="14">
        <v>12798</v>
      </c>
      <c r="E345" s="16" t="s">
        <v>357</v>
      </c>
      <c r="F345" s="17" t="s">
        <v>247</v>
      </c>
      <c r="G345" s="17" t="s">
        <v>102</v>
      </c>
      <c r="H345" s="18" t="s">
        <v>57</v>
      </c>
      <c r="I345" s="19" t="s">
        <v>64</v>
      </c>
      <c r="J345" s="20">
        <v>45755</v>
      </c>
      <c r="K345" s="20">
        <v>45832</v>
      </c>
      <c r="L345" s="21">
        <v>50000</v>
      </c>
      <c r="M345" s="22">
        <f t="shared" si="299"/>
        <v>50000</v>
      </c>
      <c r="N345" s="23">
        <v>0</v>
      </c>
      <c r="O345" s="23">
        <v>50000</v>
      </c>
      <c r="P345" s="24">
        <f>L345-N345</f>
        <v>50000</v>
      </c>
      <c r="Q345" s="25">
        <v>50000</v>
      </c>
      <c r="R345" s="26">
        <v>42000</v>
      </c>
      <c r="S345" s="91">
        <f t="shared" si="296"/>
        <v>1.1904761904761905</v>
      </c>
      <c r="T345" s="91">
        <f t="shared" si="297"/>
        <v>1.1904761904761905</v>
      </c>
      <c r="U345" s="27" t="s">
        <v>193</v>
      </c>
      <c r="V345" s="30" t="s">
        <v>59</v>
      </c>
      <c r="W345" s="31">
        <v>45772</v>
      </c>
      <c r="X345" s="22"/>
      <c r="Y345" s="19" t="s">
        <v>52</v>
      </c>
      <c r="Z345" s="19" t="s">
        <v>52</v>
      </c>
      <c r="AA345" s="19" t="s">
        <v>52</v>
      </c>
      <c r="AB345" s="28"/>
    </row>
    <row r="346" spans="1:33" s="29" customFormat="1" ht="15" customHeight="1" x14ac:dyDescent="0.25">
      <c r="A346" s="14">
        <v>19</v>
      </c>
      <c r="B346" s="15">
        <v>45777</v>
      </c>
      <c r="C346" s="15">
        <f t="shared" si="298"/>
        <v>45785</v>
      </c>
      <c r="D346" s="14">
        <v>12824</v>
      </c>
      <c r="E346" s="16" t="s">
        <v>365</v>
      </c>
      <c r="F346" s="40" t="s">
        <v>366</v>
      </c>
      <c r="G346" s="17" t="s">
        <v>75</v>
      </c>
      <c r="H346" s="18" t="s">
        <v>57</v>
      </c>
      <c r="I346" s="19" t="s">
        <v>58</v>
      </c>
      <c r="J346" s="20">
        <v>45761</v>
      </c>
      <c r="K346" s="20">
        <v>45793</v>
      </c>
      <c r="L346" s="21">
        <v>300000</v>
      </c>
      <c r="M346" s="22">
        <f t="shared" si="299"/>
        <v>150000</v>
      </c>
      <c r="N346" s="23">
        <v>0</v>
      </c>
      <c r="O346" s="23">
        <v>150000</v>
      </c>
      <c r="P346" s="24">
        <f t="shared" si="300"/>
        <v>300000</v>
      </c>
      <c r="Q346" s="25">
        <v>150000</v>
      </c>
      <c r="R346" s="26">
        <v>150000</v>
      </c>
      <c r="S346" s="91">
        <f t="shared" si="296"/>
        <v>2</v>
      </c>
      <c r="T346" s="91">
        <f t="shared" si="297"/>
        <v>1</v>
      </c>
      <c r="U346" s="27" t="s">
        <v>193</v>
      </c>
      <c r="V346" s="30" t="s">
        <v>59</v>
      </c>
      <c r="W346" s="31">
        <v>45772</v>
      </c>
      <c r="X346" s="22"/>
      <c r="Y346" s="19" t="s">
        <v>52</v>
      </c>
      <c r="Z346" s="19" t="s">
        <v>52</v>
      </c>
      <c r="AA346" s="19" t="s">
        <v>52</v>
      </c>
      <c r="AB346" s="28"/>
      <c r="AC346" s="90"/>
    </row>
    <row r="347" spans="1:33" ht="15" customHeight="1" x14ac:dyDescent="0.25">
      <c r="A347" s="33" t="s">
        <v>71</v>
      </c>
      <c r="B347" s="34"/>
      <c r="C347" s="34"/>
      <c r="D347" s="34"/>
      <c r="E347" s="34"/>
      <c r="F347" s="35"/>
      <c r="G347" s="35"/>
      <c r="H347" s="34"/>
      <c r="I347" s="34"/>
      <c r="J347" s="34"/>
      <c r="K347" s="34"/>
      <c r="L347" s="36"/>
      <c r="M347" s="36"/>
      <c r="N347" s="36"/>
      <c r="O347" s="36"/>
      <c r="P347" s="36"/>
      <c r="Q347" s="36">
        <f>SUM(Q335:Q346)</f>
        <v>2003780</v>
      </c>
      <c r="R347" s="36"/>
      <c r="S347" s="92"/>
      <c r="T347" s="93">
        <f>SUM(T335:T346)</f>
        <v>17.700257653955795</v>
      </c>
      <c r="U347" s="37"/>
      <c r="V347" s="38"/>
      <c r="W347" s="38"/>
      <c r="X347" s="38"/>
      <c r="Y347" s="34"/>
      <c r="Z347" s="34"/>
      <c r="AA347" s="39"/>
      <c r="AB347" s="29" t="s">
        <v>614</v>
      </c>
      <c r="AC347" s="81" t="s">
        <v>640</v>
      </c>
      <c r="AD347" s="83">
        <v>4791.67</v>
      </c>
      <c r="AF347" s="83">
        <v>0</v>
      </c>
      <c r="AG347" s="83">
        <f>SUM(AD347,AF347)</f>
        <v>4791.67</v>
      </c>
    </row>
    <row r="348" spans="1:33" s="29" customFormat="1" ht="15" customHeight="1" x14ac:dyDescent="0.25">
      <c r="A348" s="14">
        <v>2</v>
      </c>
      <c r="B348" s="15">
        <v>45778</v>
      </c>
      <c r="C348" s="15">
        <f t="shared" ref="C348:C355" si="303">B348+8</f>
        <v>45786</v>
      </c>
      <c r="D348" s="14">
        <v>12491</v>
      </c>
      <c r="E348" s="16" t="s">
        <v>556</v>
      </c>
      <c r="F348" s="40" t="s">
        <v>474</v>
      </c>
      <c r="G348" s="17" t="s">
        <v>75</v>
      </c>
      <c r="H348" s="18" t="s">
        <v>57</v>
      </c>
      <c r="I348" s="19" t="s">
        <v>58</v>
      </c>
      <c r="J348" s="20">
        <v>45688</v>
      </c>
      <c r="K348" s="20">
        <v>45708</v>
      </c>
      <c r="L348" s="21">
        <v>81000</v>
      </c>
      <c r="M348" s="22">
        <f t="shared" ref="M348:M355" si="304">SUM(N348:O348)</f>
        <v>87000</v>
      </c>
      <c r="N348" s="23">
        <v>54000</v>
      </c>
      <c r="O348" s="23">
        <v>33000</v>
      </c>
      <c r="P348" s="24">
        <f t="shared" ref="P348:P355" si="305">L348-N348</f>
        <v>27000</v>
      </c>
      <c r="Q348" s="25">
        <v>33000</v>
      </c>
      <c r="R348" s="26">
        <v>150000</v>
      </c>
      <c r="S348" s="91">
        <f t="shared" ref="S348:S355" si="306">IF(P348&gt;0,P348/$R348,0)</f>
        <v>0.18</v>
      </c>
      <c r="T348" s="91">
        <f t="shared" ref="T348:T355" si="307">IF(Q348&gt;0,Q348/$R348,0)</f>
        <v>0.22</v>
      </c>
      <c r="U348" s="27" t="s">
        <v>193</v>
      </c>
      <c r="V348" s="19" t="s">
        <v>51</v>
      </c>
      <c r="W348" s="20">
        <v>45740</v>
      </c>
      <c r="X348" s="22"/>
      <c r="Y348" s="19" t="s">
        <v>52</v>
      </c>
      <c r="Z348" s="19" t="s">
        <v>52</v>
      </c>
      <c r="AA348" s="19" t="s">
        <v>52</v>
      </c>
      <c r="AB348" s="28"/>
      <c r="AC348" s="90"/>
    </row>
    <row r="349" spans="1:33" s="29" customFormat="1" ht="15" customHeight="1" x14ac:dyDescent="0.25">
      <c r="A349" s="14">
        <v>4</v>
      </c>
      <c r="B349" s="15">
        <v>45778</v>
      </c>
      <c r="C349" s="15">
        <f>B349+8</f>
        <v>45786</v>
      </c>
      <c r="D349" s="14">
        <v>12770</v>
      </c>
      <c r="E349" s="16" t="s">
        <v>105</v>
      </c>
      <c r="F349" s="17" t="s">
        <v>106</v>
      </c>
      <c r="G349" s="17" t="s">
        <v>102</v>
      </c>
      <c r="H349" s="18" t="s">
        <v>542</v>
      </c>
      <c r="I349" s="19" t="s">
        <v>49</v>
      </c>
      <c r="J349" s="20">
        <v>45748</v>
      </c>
      <c r="K349" s="20">
        <v>45782</v>
      </c>
      <c r="L349" s="21">
        <v>1700000</v>
      </c>
      <c r="M349" s="22">
        <f t="shared" ref="M349:M354" si="308">SUM(N349:O349)</f>
        <v>762000</v>
      </c>
      <c r="N349" s="23">
        <v>312000</v>
      </c>
      <c r="O349" s="23">
        <v>450000</v>
      </c>
      <c r="P349" s="24">
        <f t="shared" ref="P349:P354" si="309">L349-N349</f>
        <v>1388000</v>
      </c>
      <c r="Q349" s="25">
        <v>250000</v>
      </c>
      <c r="R349" s="26">
        <v>50000</v>
      </c>
      <c r="S349" s="91">
        <f t="shared" si="306"/>
        <v>27.76</v>
      </c>
      <c r="T349" s="91">
        <f t="shared" si="307"/>
        <v>5</v>
      </c>
      <c r="U349" s="27" t="s">
        <v>193</v>
      </c>
      <c r="V349" s="19" t="s">
        <v>51</v>
      </c>
      <c r="W349" s="20">
        <v>45772</v>
      </c>
      <c r="X349" s="22"/>
      <c r="Y349" s="19" t="s">
        <v>52</v>
      </c>
      <c r="Z349" s="19" t="s">
        <v>52</v>
      </c>
      <c r="AA349" s="19" t="s">
        <v>52</v>
      </c>
      <c r="AB349" s="28"/>
    </row>
    <row r="350" spans="1:33" s="29" customFormat="1" ht="15" customHeight="1" x14ac:dyDescent="0.25">
      <c r="A350" s="14">
        <v>1</v>
      </c>
      <c r="B350" s="15">
        <v>45778</v>
      </c>
      <c r="C350" s="15">
        <f>B350+8</f>
        <v>45786</v>
      </c>
      <c r="D350" s="14">
        <v>12784</v>
      </c>
      <c r="E350" s="16" t="s">
        <v>114</v>
      </c>
      <c r="F350" s="17" t="s">
        <v>115</v>
      </c>
      <c r="G350" s="17" t="s">
        <v>102</v>
      </c>
      <c r="H350" s="18" t="s">
        <v>542</v>
      </c>
      <c r="I350" s="19" t="s">
        <v>104</v>
      </c>
      <c r="J350" s="20">
        <v>45751</v>
      </c>
      <c r="K350" s="20">
        <v>45777</v>
      </c>
      <c r="L350" s="21">
        <v>1500000</v>
      </c>
      <c r="M350" s="22">
        <f t="shared" si="308"/>
        <v>945000</v>
      </c>
      <c r="N350" s="23">
        <v>630000</v>
      </c>
      <c r="O350" s="23">
        <v>315000</v>
      </c>
      <c r="P350" s="24">
        <f t="shared" si="309"/>
        <v>870000</v>
      </c>
      <c r="Q350" s="25">
        <v>315000</v>
      </c>
      <c r="R350" s="26">
        <v>63000</v>
      </c>
      <c r="S350" s="91">
        <f t="shared" si="306"/>
        <v>13.80952380952381</v>
      </c>
      <c r="T350" s="91">
        <f t="shared" si="307"/>
        <v>5</v>
      </c>
      <c r="U350" s="27" t="s">
        <v>193</v>
      </c>
      <c r="V350" s="19" t="s">
        <v>51</v>
      </c>
      <c r="W350" s="20">
        <v>45772</v>
      </c>
      <c r="X350" s="22"/>
      <c r="Y350" s="19" t="s">
        <v>52</v>
      </c>
      <c r="Z350" s="19" t="s">
        <v>52</v>
      </c>
      <c r="AA350" s="19" t="s">
        <v>52</v>
      </c>
      <c r="AB350" s="28"/>
    </row>
    <row r="351" spans="1:33" s="29" customFormat="1" ht="15" customHeight="1" x14ac:dyDescent="0.25">
      <c r="A351" s="14">
        <v>2</v>
      </c>
      <c r="B351" s="15">
        <v>45778</v>
      </c>
      <c r="C351" s="15">
        <f>B351+8</f>
        <v>45786</v>
      </c>
      <c r="D351" s="14">
        <v>12794</v>
      </c>
      <c r="E351" s="16" t="s">
        <v>466</v>
      </c>
      <c r="F351" s="17" t="s">
        <v>467</v>
      </c>
      <c r="G351" s="17" t="s">
        <v>102</v>
      </c>
      <c r="H351" s="18" t="s">
        <v>57</v>
      </c>
      <c r="I351" s="19" t="s">
        <v>58</v>
      </c>
      <c r="J351" s="20">
        <v>45754</v>
      </c>
      <c r="K351" s="20">
        <v>45777</v>
      </c>
      <c r="L351" s="21">
        <v>1000000</v>
      </c>
      <c r="M351" s="22">
        <f t="shared" si="308"/>
        <v>550000</v>
      </c>
      <c r="N351" s="23">
        <v>150000</v>
      </c>
      <c r="O351" s="23">
        <v>400000</v>
      </c>
      <c r="P351" s="24">
        <f t="shared" si="309"/>
        <v>850000</v>
      </c>
      <c r="Q351" s="25">
        <v>300000</v>
      </c>
      <c r="R351" s="26">
        <v>50000</v>
      </c>
      <c r="S351" s="91">
        <f t="shared" si="306"/>
        <v>17</v>
      </c>
      <c r="T351" s="91">
        <f t="shared" si="307"/>
        <v>6</v>
      </c>
      <c r="U351" s="27" t="s">
        <v>50</v>
      </c>
      <c r="V351" s="19" t="s">
        <v>51</v>
      </c>
      <c r="W351" s="20">
        <v>45772</v>
      </c>
      <c r="X351" s="22"/>
      <c r="Y351" s="19" t="s">
        <v>52</v>
      </c>
      <c r="Z351" s="19" t="s">
        <v>52</v>
      </c>
      <c r="AA351" s="19" t="s">
        <v>52</v>
      </c>
      <c r="AB351" s="28"/>
    </row>
    <row r="352" spans="1:33" s="29" customFormat="1" ht="15" customHeight="1" x14ac:dyDescent="0.25">
      <c r="A352" s="14">
        <v>12</v>
      </c>
      <c r="B352" s="15">
        <v>45778</v>
      </c>
      <c r="C352" s="15">
        <f>B352+8</f>
        <v>45786</v>
      </c>
      <c r="D352" s="14">
        <v>12811</v>
      </c>
      <c r="E352" s="16" t="s">
        <v>295</v>
      </c>
      <c r="F352" s="40" t="s">
        <v>296</v>
      </c>
      <c r="G352" s="17" t="s">
        <v>75</v>
      </c>
      <c r="H352" s="18" t="s">
        <v>542</v>
      </c>
      <c r="I352" s="19" t="s">
        <v>49</v>
      </c>
      <c r="J352" s="20">
        <v>45756</v>
      </c>
      <c r="K352" s="20">
        <v>45798</v>
      </c>
      <c r="L352" s="21">
        <v>1500000</v>
      </c>
      <c r="M352" s="22">
        <f t="shared" si="308"/>
        <v>1365000</v>
      </c>
      <c r="N352" s="23">
        <v>765000</v>
      </c>
      <c r="O352" s="23">
        <v>600000</v>
      </c>
      <c r="P352" s="24">
        <f t="shared" si="309"/>
        <v>735000</v>
      </c>
      <c r="Q352" s="25">
        <v>600000</v>
      </c>
      <c r="R352" s="26">
        <v>150000</v>
      </c>
      <c r="S352" s="91">
        <f t="shared" si="306"/>
        <v>4.9000000000000004</v>
      </c>
      <c r="T352" s="91">
        <f t="shared" si="307"/>
        <v>4</v>
      </c>
      <c r="U352" s="27" t="s">
        <v>193</v>
      </c>
      <c r="V352" s="19" t="s">
        <v>51</v>
      </c>
      <c r="W352" s="20">
        <v>45774</v>
      </c>
      <c r="X352" s="22"/>
      <c r="Y352" s="19" t="s">
        <v>52</v>
      </c>
      <c r="Z352" s="19" t="s">
        <v>52</v>
      </c>
      <c r="AA352" s="19" t="s">
        <v>52</v>
      </c>
      <c r="AB352" s="28"/>
      <c r="AC352" s="90"/>
    </row>
    <row r="353" spans="1:33" s="29" customFormat="1" ht="15" customHeight="1" x14ac:dyDescent="0.25">
      <c r="A353" s="14">
        <v>5</v>
      </c>
      <c r="B353" s="15">
        <v>45778</v>
      </c>
      <c r="C353" s="15">
        <f t="shared" ref="C353" si="310">B353+8</f>
        <v>45786</v>
      </c>
      <c r="D353" s="14">
        <v>12800</v>
      </c>
      <c r="E353" s="16" t="s">
        <v>287</v>
      </c>
      <c r="F353" s="17" t="s">
        <v>288</v>
      </c>
      <c r="G353" s="17" t="s">
        <v>102</v>
      </c>
      <c r="H353" s="18" t="s">
        <v>62</v>
      </c>
      <c r="I353" s="19" t="s">
        <v>63</v>
      </c>
      <c r="J353" s="20">
        <v>45757</v>
      </c>
      <c r="K353" s="20">
        <v>45791</v>
      </c>
      <c r="L353" s="21">
        <v>500000</v>
      </c>
      <c r="M353" s="22">
        <f t="shared" si="308"/>
        <v>208000</v>
      </c>
      <c r="N353" s="23">
        <v>124000</v>
      </c>
      <c r="O353" s="23">
        <v>84000</v>
      </c>
      <c r="P353" s="24">
        <f t="shared" si="309"/>
        <v>376000</v>
      </c>
      <c r="Q353" s="25">
        <v>84000</v>
      </c>
      <c r="R353" s="26">
        <v>84000</v>
      </c>
      <c r="S353" s="91">
        <f t="shared" si="306"/>
        <v>4.4761904761904763</v>
      </c>
      <c r="T353" s="91">
        <f t="shared" si="307"/>
        <v>1</v>
      </c>
      <c r="U353" s="27" t="s">
        <v>193</v>
      </c>
      <c r="V353" s="19" t="s">
        <v>51</v>
      </c>
      <c r="W353" s="20">
        <v>45772</v>
      </c>
      <c r="X353" s="22"/>
      <c r="Y353" s="19" t="s">
        <v>52</v>
      </c>
      <c r="Z353" s="19" t="s">
        <v>52</v>
      </c>
      <c r="AA353" s="19" t="s">
        <v>52</v>
      </c>
      <c r="AB353" s="28"/>
    </row>
    <row r="354" spans="1:33" s="29" customFormat="1" ht="15" customHeight="1" x14ac:dyDescent="0.25">
      <c r="A354" s="14">
        <v>13</v>
      </c>
      <c r="B354" s="15">
        <v>45778</v>
      </c>
      <c r="C354" s="15">
        <f>B354+8</f>
        <v>45786</v>
      </c>
      <c r="D354" s="14">
        <v>12825</v>
      </c>
      <c r="E354" s="16" t="s">
        <v>230</v>
      </c>
      <c r="F354" s="40" t="s">
        <v>231</v>
      </c>
      <c r="G354" s="17" t="s">
        <v>75</v>
      </c>
      <c r="H354" s="18" t="s">
        <v>57</v>
      </c>
      <c r="I354" s="19" t="s">
        <v>81</v>
      </c>
      <c r="J354" s="20">
        <v>45761</v>
      </c>
      <c r="K354" s="20">
        <v>45793</v>
      </c>
      <c r="L354" s="21">
        <v>450000</v>
      </c>
      <c r="M354" s="22">
        <f t="shared" si="308"/>
        <v>150000</v>
      </c>
      <c r="N354" s="23">
        <v>0</v>
      </c>
      <c r="O354" s="23">
        <v>150000</v>
      </c>
      <c r="P354" s="24">
        <f t="shared" si="309"/>
        <v>450000</v>
      </c>
      <c r="Q354" s="25">
        <v>150000</v>
      </c>
      <c r="R354" s="26">
        <v>150000</v>
      </c>
      <c r="S354" s="91">
        <f t="shared" si="306"/>
        <v>3</v>
      </c>
      <c r="T354" s="91">
        <f t="shared" si="307"/>
        <v>1</v>
      </c>
      <c r="U354" s="27" t="s">
        <v>193</v>
      </c>
      <c r="V354" s="19" t="s">
        <v>51</v>
      </c>
      <c r="W354" s="20">
        <v>45774</v>
      </c>
      <c r="X354" s="22"/>
      <c r="Y354" s="19" t="s">
        <v>52</v>
      </c>
      <c r="Z354" s="19" t="s">
        <v>52</v>
      </c>
      <c r="AA354" s="19" t="s">
        <v>52</v>
      </c>
      <c r="AB354" s="28"/>
      <c r="AC354" s="90"/>
    </row>
    <row r="355" spans="1:33" s="29" customFormat="1" ht="15" customHeight="1" x14ac:dyDescent="0.25">
      <c r="A355" s="14">
        <v>14</v>
      </c>
      <c r="B355" s="15">
        <v>45778</v>
      </c>
      <c r="C355" s="15">
        <f t="shared" si="303"/>
        <v>45786</v>
      </c>
      <c r="D355" s="14">
        <v>12824</v>
      </c>
      <c r="E355" s="16" t="s">
        <v>365</v>
      </c>
      <c r="F355" s="40" t="s">
        <v>366</v>
      </c>
      <c r="G355" s="17" t="s">
        <v>75</v>
      </c>
      <c r="H355" s="18" t="s">
        <v>57</v>
      </c>
      <c r="I355" s="19" t="s">
        <v>58</v>
      </c>
      <c r="J355" s="20">
        <v>45761</v>
      </c>
      <c r="K355" s="20">
        <v>45793</v>
      </c>
      <c r="L355" s="21">
        <v>300000</v>
      </c>
      <c r="M355" s="22">
        <f t="shared" si="304"/>
        <v>450000</v>
      </c>
      <c r="N355" s="23">
        <v>150000</v>
      </c>
      <c r="O355" s="23">
        <v>300000</v>
      </c>
      <c r="P355" s="24">
        <f t="shared" si="305"/>
        <v>150000</v>
      </c>
      <c r="Q355" s="25">
        <v>300000</v>
      </c>
      <c r="R355" s="26">
        <v>150000</v>
      </c>
      <c r="S355" s="91">
        <f t="shared" si="306"/>
        <v>1</v>
      </c>
      <c r="T355" s="91">
        <f t="shared" si="307"/>
        <v>2</v>
      </c>
      <c r="U355" s="27" t="s">
        <v>193</v>
      </c>
      <c r="V355" s="19" t="s">
        <v>51</v>
      </c>
      <c r="W355" s="20">
        <v>45774</v>
      </c>
      <c r="X355" s="22"/>
      <c r="Y355" s="19" t="s">
        <v>52</v>
      </c>
      <c r="Z355" s="19" t="s">
        <v>52</v>
      </c>
      <c r="AA355" s="19" t="s">
        <v>52</v>
      </c>
      <c r="AB355" s="28"/>
      <c r="AC355" s="90"/>
    </row>
    <row r="356" spans="1:33" ht="15" customHeight="1" x14ac:dyDescent="0.25">
      <c r="A356" s="33" t="s">
        <v>71</v>
      </c>
      <c r="B356" s="34"/>
      <c r="C356" s="34"/>
      <c r="D356" s="34"/>
      <c r="E356" s="34"/>
      <c r="F356" s="35"/>
      <c r="G356" s="35"/>
      <c r="H356" s="34"/>
      <c r="I356" s="34"/>
      <c r="J356" s="34"/>
      <c r="K356" s="34"/>
      <c r="L356" s="36"/>
      <c r="M356" s="36"/>
      <c r="N356" s="36"/>
      <c r="O356" s="36"/>
      <c r="P356" s="36"/>
      <c r="Q356" s="36">
        <f>SUM(Q348:Q355)</f>
        <v>2032000</v>
      </c>
      <c r="R356" s="36"/>
      <c r="S356" s="92"/>
      <c r="T356" s="93">
        <f>SUM(T348:T355)</f>
        <v>24.22</v>
      </c>
      <c r="U356" s="37"/>
      <c r="V356" s="38"/>
      <c r="W356" s="38"/>
      <c r="X356" s="38"/>
      <c r="Y356" s="34"/>
      <c r="Z356" s="34"/>
      <c r="AA356" s="39"/>
      <c r="AB356" s="29" t="s">
        <v>617</v>
      </c>
      <c r="AC356" s="81" t="s">
        <v>620</v>
      </c>
      <c r="AD356" s="83">
        <v>5000</v>
      </c>
      <c r="AF356" s="83">
        <v>0</v>
      </c>
      <c r="AG356" s="83">
        <f>SUM(AD356,AF356)</f>
        <v>5000</v>
      </c>
    </row>
    <row r="357" spans="1:33" s="29" customFormat="1" ht="15" customHeight="1" x14ac:dyDescent="0.25">
      <c r="A357" s="14">
        <v>4</v>
      </c>
      <c r="B357" s="15">
        <v>45783</v>
      </c>
      <c r="C357" s="15">
        <f>B357+8</f>
        <v>45791</v>
      </c>
      <c r="D357" s="14">
        <v>12770</v>
      </c>
      <c r="E357" s="16" t="s">
        <v>105</v>
      </c>
      <c r="F357" s="17" t="s">
        <v>106</v>
      </c>
      <c r="G357" s="17" t="s">
        <v>102</v>
      </c>
      <c r="H357" s="18" t="s">
        <v>542</v>
      </c>
      <c r="I357" s="19" t="s">
        <v>49</v>
      </c>
      <c r="J357" s="20">
        <v>45748</v>
      </c>
      <c r="K357" s="20">
        <v>45782</v>
      </c>
      <c r="L357" s="21">
        <v>1700000</v>
      </c>
      <c r="M357" s="22">
        <f>SUM(N357:O357)</f>
        <v>1162000</v>
      </c>
      <c r="N357" s="23">
        <v>562000</v>
      </c>
      <c r="O357" s="23">
        <v>600000</v>
      </c>
      <c r="P357" s="24">
        <f>L357-N357</f>
        <v>1138000</v>
      </c>
      <c r="Q357" s="25">
        <v>600000</v>
      </c>
      <c r="R357" s="26">
        <v>50000</v>
      </c>
      <c r="S357" s="91">
        <f t="shared" ref="S357:S360" si="311">IF(P357&gt;0,P357/$R357,0)</f>
        <v>22.76</v>
      </c>
      <c r="T357" s="91">
        <f t="shared" ref="T357:T360" si="312">IF(Q357&gt;0,Q357/$R357,0)</f>
        <v>12</v>
      </c>
      <c r="U357" s="27" t="s">
        <v>193</v>
      </c>
      <c r="V357" s="19" t="s">
        <v>51</v>
      </c>
      <c r="W357" s="20">
        <v>45772</v>
      </c>
      <c r="X357" s="22"/>
      <c r="Y357" s="19" t="s">
        <v>52</v>
      </c>
      <c r="Z357" s="19" t="s">
        <v>52</v>
      </c>
      <c r="AA357" s="19" t="s">
        <v>52</v>
      </c>
      <c r="AB357" s="28"/>
    </row>
    <row r="358" spans="1:33" s="29" customFormat="1" ht="15" customHeight="1" x14ac:dyDescent="0.25">
      <c r="A358" s="14">
        <v>13</v>
      </c>
      <c r="B358" s="15">
        <v>45783</v>
      </c>
      <c r="C358" s="15">
        <f>B358+8</f>
        <v>45791</v>
      </c>
      <c r="D358" s="14">
        <v>12825</v>
      </c>
      <c r="E358" s="16" t="s">
        <v>230</v>
      </c>
      <c r="F358" s="40" t="s">
        <v>231</v>
      </c>
      <c r="G358" s="17" t="s">
        <v>75</v>
      </c>
      <c r="H358" s="18" t="s">
        <v>57</v>
      </c>
      <c r="I358" s="19" t="s">
        <v>81</v>
      </c>
      <c r="J358" s="20">
        <v>45761</v>
      </c>
      <c r="K358" s="20">
        <v>45793</v>
      </c>
      <c r="L358" s="21">
        <v>450000</v>
      </c>
      <c r="M358" s="22">
        <f t="shared" ref="M358" si="313">SUM(N358:O358)</f>
        <v>336000</v>
      </c>
      <c r="N358" s="23">
        <v>150000</v>
      </c>
      <c r="O358" s="23">
        <v>186000</v>
      </c>
      <c r="P358" s="24">
        <f>L358-N358</f>
        <v>300000</v>
      </c>
      <c r="Q358" s="25">
        <v>186000</v>
      </c>
      <c r="R358" s="26">
        <v>150000</v>
      </c>
      <c r="S358" s="91">
        <f t="shared" si="311"/>
        <v>2</v>
      </c>
      <c r="T358" s="91">
        <f t="shared" si="312"/>
        <v>1.24</v>
      </c>
      <c r="U358" s="27" t="s">
        <v>193</v>
      </c>
      <c r="V358" s="19" t="s">
        <v>51</v>
      </c>
      <c r="W358" s="20">
        <v>45774</v>
      </c>
      <c r="X358" s="22"/>
      <c r="Y358" s="19" t="s">
        <v>52</v>
      </c>
      <c r="Z358" s="19" t="s">
        <v>52</v>
      </c>
      <c r="AA358" s="19" t="s">
        <v>52</v>
      </c>
      <c r="AB358" s="28"/>
      <c r="AC358" s="90"/>
    </row>
    <row r="359" spans="1:33" s="29" customFormat="1" ht="15" customHeight="1" x14ac:dyDescent="0.25">
      <c r="A359" s="14">
        <v>2</v>
      </c>
      <c r="B359" s="15">
        <v>45783</v>
      </c>
      <c r="C359" s="15">
        <f t="shared" ref="C359:C360" si="314">B359+8</f>
        <v>45791</v>
      </c>
      <c r="D359" s="14">
        <v>12813</v>
      </c>
      <c r="E359" s="16" t="s">
        <v>208</v>
      </c>
      <c r="F359" s="17" t="s">
        <v>209</v>
      </c>
      <c r="G359" s="17" t="s">
        <v>47</v>
      </c>
      <c r="H359" s="18" t="s">
        <v>542</v>
      </c>
      <c r="I359" s="19" t="s">
        <v>49</v>
      </c>
      <c r="J359" s="20">
        <v>45757</v>
      </c>
      <c r="K359" s="20">
        <v>45791</v>
      </c>
      <c r="L359" s="21">
        <v>150000</v>
      </c>
      <c r="M359" s="22">
        <f t="shared" ref="M359" si="315">SUM(N359:O359)</f>
        <v>15000</v>
      </c>
      <c r="N359" s="23">
        <v>0</v>
      </c>
      <c r="O359" s="23">
        <v>15000</v>
      </c>
      <c r="P359" s="24">
        <f t="shared" ref="P359:P360" si="316">L359-N359</f>
        <v>150000</v>
      </c>
      <c r="Q359" s="25">
        <v>15000</v>
      </c>
      <c r="R359" s="26">
        <v>50000</v>
      </c>
      <c r="S359" s="91">
        <f t="shared" si="311"/>
        <v>3</v>
      </c>
      <c r="T359" s="91">
        <f t="shared" si="312"/>
        <v>0.3</v>
      </c>
      <c r="U359" s="27" t="s">
        <v>193</v>
      </c>
      <c r="V359" s="30" t="s">
        <v>59</v>
      </c>
      <c r="W359" s="31">
        <v>45778</v>
      </c>
      <c r="X359" s="22"/>
      <c r="Y359" s="19" t="s">
        <v>52</v>
      </c>
      <c r="Z359" s="19" t="s">
        <v>52</v>
      </c>
      <c r="AA359" s="19" t="s">
        <v>52</v>
      </c>
      <c r="AB359" s="42"/>
    </row>
    <row r="360" spans="1:33" s="29" customFormat="1" ht="15" customHeight="1" x14ac:dyDescent="0.25">
      <c r="A360" s="14">
        <v>2</v>
      </c>
      <c r="B360" s="15">
        <v>45783</v>
      </c>
      <c r="C360" s="15">
        <f t="shared" si="314"/>
        <v>45791</v>
      </c>
      <c r="D360" s="14">
        <v>12773</v>
      </c>
      <c r="E360" s="16" t="s">
        <v>355</v>
      </c>
      <c r="F360" s="17" t="s">
        <v>356</v>
      </c>
      <c r="G360" s="17" t="s">
        <v>132</v>
      </c>
      <c r="H360" s="18" t="s">
        <v>78</v>
      </c>
      <c r="I360" s="19" t="s">
        <v>79</v>
      </c>
      <c r="J360" s="20">
        <v>45749</v>
      </c>
      <c r="K360" s="20">
        <v>45790</v>
      </c>
      <c r="L360" s="21">
        <v>130000</v>
      </c>
      <c r="M360" s="22">
        <f t="shared" ref="M360" si="317">SUM(N360:O360)</f>
        <v>130000</v>
      </c>
      <c r="N360" s="23">
        <v>0</v>
      </c>
      <c r="O360" s="23">
        <v>130000</v>
      </c>
      <c r="P360" s="24">
        <f t="shared" si="316"/>
        <v>130000</v>
      </c>
      <c r="Q360" s="25">
        <v>94700</v>
      </c>
      <c r="R360" s="26">
        <v>232443</v>
      </c>
      <c r="S360" s="91">
        <f t="shared" si="311"/>
        <v>0.55927689799219593</v>
      </c>
      <c r="T360" s="91">
        <f t="shared" si="312"/>
        <v>0.40741170953739198</v>
      </c>
      <c r="U360" s="27" t="s">
        <v>56</v>
      </c>
      <c r="V360" s="30" t="s">
        <v>59</v>
      </c>
      <c r="W360" s="31">
        <v>45779</v>
      </c>
      <c r="X360" s="22"/>
      <c r="Y360" s="19" t="s">
        <v>52</v>
      </c>
      <c r="Z360" s="19" t="s">
        <v>52</v>
      </c>
      <c r="AA360" s="19" t="s">
        <v>52</v>
      </c>
      <c r="AB360" s="28"/>
    </row>
    <row r="361" spans="1:33" ht="15" customHeight="1" x14ac:dyDescent="0.25">
      <c r="A361" s="33" t="s">
        <v>71</v>
      </c>
      <c r="B361" s="34"/>
      <c r="C361" s="34"/>
      <c r="D361" s="34"/>
      <c r="E361" s="34"/>
      <c r="F361" s="35"/>
      <c r="G361" s="35"/>
      <c r="H361" s="34"/>
      <c r="I361" s="34"/>
      <c r="J361" s="34"/>
      <c r="K361" s="34"/>
      <c r="L361" s="36"/>
      <c r="M361" s="36"/>
      <c r="N361" s="36"/>
      <c r="O361" s="36"/>
      <c r="P361" s="36"/>
      <c r="Q361" s="36">
        <f>SUM(Q357:Q360)</f>
        <v>895700</v>
      </c>
      <c r="R361" s="36"/>
      <c r="S361" s="92"/>
      <c r="T361" s="93">
        <f>SUM(T357:T360)</f>
        <v>13.947411709537393</v>
      </c>
      <c r="U361" s="37"/>
      <c r="V361" s="38"/>
      <c r="W361" s="38"/>
      <c r="X361" s="38"/>
      <c r="Y361" s="34"/>
      <c r="Z361" s="34"/>
      <c r="AA361" s="39"/>
      <c r="AB361" s="29" t="s">
        <v>621</v>
      </c>
      <c r="AC361" s="81" t="s">
        <v>623</v>
      </c>
      <c r="AD361" s="83">
        <v>3333.33</v>
      </c>
      <c r="AF361" s="83">
        <v>0</v>
      </c>
      <c r="AG361" s="83">
        <f>SUM(AD361,AF361)</f>
        <v>3333.33</v>
      </c>
    </row>
    <row r="362" spans="1:33" s="29" customFormat="1" ht="15" customHeight="1" x14ac:dyDescent="0.25">
      <c r="A362" s="14">
        <v>1</v>
      </c>
      <c r="B362" s="15">
        <v>45783</v>
      </c>
      <c r="C362" s="15">
        <f t="shared" ref="C362:C368" si="318">B362+8</f>
        <v>45791</v>
      </c>
      <c r="D362" s="14">
        <v>12784</v>
      </c>
      <c r="E362" s="16" t="s">
        <v>114</v>
      </c>
      <c r="F362" s="17" t="s">
        <v>115</v>
      </c>
      <c r="G362" s="17" t="s">
        <v>102</v>
      </c>
      <c r="H362" s="18" t="s">
        <v>542</v>
      </c>
      <c r="I362" s="19" t="s">
        <v>104</v>
      </c>
      <c r="J362" s="20">
        <v>45751</v>
      </c>
      <c r="K362" s="20">
        <v>45777</v>
      </c>
      <c r="L362" s="21">
        <v>1500000</v>
      </c>
      <c r="M362" s="22">
        <f t="shared" ref="M362:M367" si="319">SUM(N362:O362)</f>
        <v>1314000</v>
      </c>
      <c r="N362" s="23">
        <v>945000</v>
      </c>
      <c r="O362" s="23">
        <v>369000</v>
      </c>
      <c r="P362" s="24">
        <f t="shared" ref="P362:P368" si="320">L362-N362</f>
        <v>555000</v>
      </c>
      <c r="Q362" s="25">
        <v>378000</v>
      </c>
      <c r="R362" s="26">
        <v>63000</v>
      </c>
      <c r="S362" s="91">
        <f t="shared" ref="S362:S370" si="321">IF(P362&gt;0,P362/$R362,0)</f>
        <v>8.8095238095238102</v>
      </c>
      <c r="T362" s="91">
        <f t="shared" ref="T362:T370" si="322">IF(Q362&gt;0,Q362/$R362,0)</f>
        <v>6</v>
      </c>
      <c r="U362" s="27" t="s">
        <v>56</v>
      </c>
      <c r="V362" s="19" t="s">
        <v>51</v>
      </c>
      <c r="W362" s="20">
        <v>45772</v>
      </c>
      <c r="X362" s="22"/>
      <c r="Y362" s="19" t="s">
        <v>52</v>
      </c>
      <c r="Z362" s="19" t="s">
        <v>52</v>
      </c>
      <c r="AA362" s="19" t="s">
        <v>52</v>
      </c>
      <c r="AB362" s="28"/>
    </row>
    <row r="363" spans="1:33" s="29" customFormat="1" ht="15" customHeight="1" x14ac:dyDescent="0.25">
      <c r="A363" s="14">
        <v>12</v>
      </c>
      <c r="B363" s="15">
        <v>45783</v>
      </c>
      <c r="C363" s="15">
        <f t="shared" si="318"/>
        <v>45791</v>
      </c>
      <c r="D363" s="14">
        <v>12768</v>
      </c>
      <c r="E363" s="16" t="s">
        <v>163</v>
      </c>
      <c r="F363" s="17" t="s">
        <v>164</v>
      </c>
      <c r="G363" s="17" t="s">
        <v>132</v>
      </c>
      <c r="H363" s="18" t="s">
        <v>54</v>
      </c>
      <c r="I363" s="19" t="s">
        <v>135</v>
      </c>
      <c r="J363" s="20">
        <v>45749</v>
      </c>
      <c r="K363" s="20">
        <v>45824</v>
      </c>
      <c r="L363" s="21">
        <v>30000</v>
      </c>
      <c r="M363" s="22">
        <f t="shared" si="319"/>
        <v>24970</v>
      </c>
      <c r="N363" s="23">
        <v>0</v>
      </c>
      <c r="O363" s="23">
        <v>24970</v>
      </c>
      <c r="P363" s="24">
        <f t="shared" si="320"/>
        <v>30000</v>
      </c>
      <c r="Q363" s="25">
        <v>24960</v>
      </c>
      <c r="R363" s="26">
        <v>69948</v>
      </c>
      <c r="S363" s="91">
        <f t="shared" si="321"/>
        <v>0.42889003259564246</v>
      </c>
      <c r="T363" s="91">
        <f t="shared" si="322"/>
        <v>0.35683650711957454</v>
      </c>
      <c r="U363" s="27" t="s">
        <v>56</v>
      </c>
      <c r="V363" s="30" t="s">
        <v>59</v>
      </c>
      <c r="W363" s="31">
        <v>45779</v>
      </c>
      <c r="X363" s="22"/>
      <c r="Y363" s="19" t="s">
        <v>52</v>
      </c>
      <c r="Z363" s="19" t="s">
        <v>52</v>
      </c>
      <c r="AA363" s="19" t="s">
        <v>52</v>
      </c>
      <c r="AB363" s="28"/>
    </row>
    <row r="364" spans="1:33" s="29" customFormat="1" ht="15" customHeight="1" x14ac:dyDescent="0.25">
      <c r="A364" s="14">
        <v>7</v>
      </c>
      <c r="B364" s="15">
        <v>45783</v>
      </c>
      <c r="C364" s="15">
        <f t="shared" si="318"/>
        <v>45791</v>
      </c>
      <c r="D364" s="14">
        <v>12762</v>
      </c>
      <c r="E364" s="16" t="s">
        <v>569</v>
      </c>
      <c r="F364" s="17" t="s">
        <v>570</v>
      </c>
      <c r="G364" s="17" t="s">
        <v>132</v>
      </c>
      <c r="H364" s="18" t="s">
        <v>54</v>
      </c>
      <c r="I364" s="19" t="s">
        <v>135</v>
      </c>
      <c r="J364" s="20">
        <v>45748</v>
      </c>
      <c r="K364" s="20">
        <v>45821</v>
      </c>
      <c r="L364" s="21">
        <v>30000</v>
      </c>
      <c r="M364" s="22">
        <f t="shared" si="319"/>
        <v>44510</v>
      </c>
      <c r="N364" s="23">
        <v>0</v>
      </c>
      <c r="O364" s="23">
        <v>44510</v>
      </c>
      <c r="P364" s="24">
        <f t="shared" si="320"/>
        <v>30000</v>
      </c>
      <c r="Q364" s="25">
        <v>44500</v>
      </c>
      <c r="R364" s="26">
        <v>57330</v>
      </c>
      <c r="S364" s="91">
        <f t="shared" si="321"/>
        <v>0.52328623757195181</v>
      </c>
      <c r="T364" s="91">
        <f t="shared" si="322"/>
        <v>0.77620791906506192</v>
      </c>
      <c r="U364" s="27" t="s">
        <v>56</v>
      </c>
      <c r="V364" s="30" t="s">
        <v>59</v>
      </c>
      <c r="W364" s="31">
        <v>45779</v>
      </c>
      <c r="X364" s="22"/>
      <c r="Y364" s="19" t="s">
        <v>52</v>
      </c>
      <c r="Z364" s="19" t="s">
        <v>52</v>
      </c>
      <c r="AA364" s="19" t="s">
        <v>52</v>
      </c>
      <c r="AB364" s="28"/>
    </row>
    <row r="365" spans="1:33" s="29" customFormat="1" ht="15" customHeight="1" x14ac:dyDescent="0.25">
      <c r="A365" s="14">
        <v>5</v>
      </c>
      <c r="B365" s="15">
        <v>45783</v>
      </c>
      <c r="C365" s="15">
        <f t="shared" si="318"/>
        <v>45791</v>
      </c>
      <c r="D365" s="14">
        <v>12729</v>
      </c>
      <c r="E365" s="16" t="s">
        <v>552</v>
      </c>
      <c r="F365" s="40" t="s">
        <v>553</v>
      </c>
      <c r="G365" s="17" t="s">
        <v>75</v>
      </c>
      <c r="H365" s="18" t="s">
        <v>78</v>
      </c>
      <c r="I365" s="19" t="s">
        <v>79</v>
      </c>
      <c r="J365" s="20">
        <v>45740</v>
      </c>
      <c r="K365" s="20">
        <v>45778</v>
      </c>
      <c r="L365" s="21">
        <v>150000</v>
      </c>
      <c r="M365" s="22">
        <f t="shared" si="319"/>
        <v>156000</v>
      </c>
      <c r="N365" s="23">
        <v>105000</v>
      </c>
      <c r="O365" s="23">
        <v>51000</v>
      </c>
      <c r="P365" s="24">
        <f t="shared" si="320"/>
        <v>45000</v>
      </c>
      <c r="Q365" s="25">
        <v>51000</v>
      </c>
      <c r="R365" s="26">
        <v>96000</v>
      </c>
      <c r="S365" s="91">
        <f t="shared" si="321"/>
        <v>0.46875</v>
      </c>
      <c r="T365" s="91">
        <f t="shared" si="322"/>
        <v>0.53125</v>
      </c>
      <c r="U365" s="27" t="s">
        <v>56</v>
      </c>
      <c r="V365" s="19" t="s">
        <v>51</v>
      </c>
      <c r="W365" s="20">
        <v>45773</v>
      </c>
      <c r="X365" s="22"/>
      <c r="Y365" s="19" t="s">
        <v>52</v>
      </c>
      <c r="Z365" s="19" t="s">
        <v>52</v>
      </c>
      <c r="AA365" s="19" t="s">
        <v>52</v>
      </c>
      <c r="AB365" s="28"/>
      <c r="AC365" s="90"/>
    </row>
    <row r="366" spans="1:33" s="29" customFormat="1" ht="15" customHeight="1" x14ac:dyDescent="0.25">
      <c r="A366" s="14">
        <v>11</v>
      </c>
      <c r="B366" s="15">
        <v>45783</v>
      </c>
      <c r="C366" s="15">
        <f t="shared" si="318"/>
        <v>45791</v>
      </c>
      <c r="D366" s="14">
        <v>12796</v>
      </c>
      <c r="E366" s="16" t="s">
        <v>459</v>
      </c>
      <c r="F366" s="40" t="s">
        <v>460</v>
      </c>
      <c r="G366" s="17" t="s">
        <v>75</v>
      </c>
      <c r="H366" s="18" t="s">
        <v>78</v>
      </c>
      <c r="I366" s="19" t="s">
        <v>79</v>
      </c>
      <c r="J366" s="20">
        <v>45755</v>
      </c>
      <c r="K366" s="20">
        <v>45789</v>
      </c>
      <c r="L366" s="21">
        <v>350000</v>
      </c>
      <c r="M366" s="22">
        <f t="shared" si="319"/>
        <v>489000</v>
      </c>
      <c r="N366" s="23">
        <v>210000</v>
      </c>
      <c r="O366" s="23">
        <v>279000</v>
      </c>
      <c r="P366" s="24">
        <f t="shared" si="320"/>
        <v>140000</v>
      </c>
      <c r="Q366" s="25">
        <v>279000</v>
      </c>
      <c r="R366" s="26">
        <v>96000</v>
      </c>
      <c r="S366" s="91">
        <f t="shared" si="321"/>
        <v>1.4583333333333333</v>
      </c>
      <c r="T366" s="91">
        <f t="shared" si="322"/>
        <v>2.90625</v>
      </c>
      <c r="U366" s="27" t="s">
        <v>56</v>
      </c>
      <c r="V366" s="19" t="s">
        <v>51</v>
      </c>
      <c r="W366" s="20">
        <v>45774</v>
      </c>
      <c r="X366" s="22"/>
      <c r="Y366" s="19" t="s">
        <v>52</v>
      </c>
      <c r="Z366" s="19" t="s">
        <v>52</v>
      </c>
      <c r="AA366" s="19" t="s">
        <v>52</v>
      </c>
      <c r="AB366" s="28"/>
      <c r="AC366" s="90"/>
    </row>
    <row r="367" spans="1:33" s="29" customFormat="1" ht="15" customHeight="1" x14ac:dyDescent="0.25">
      <c r="A367" s="14">
        <v>9</v>
      </c>
      <c r="B367" s="15">
        <v>45783</v>
      </c>
      <c r="C367" s="15">
        <f t="shared" si="318"/>
        <v>45791</v>
      </c>
      <c r="D367" s="14">
        <v>12789</v>
      </c>
      <c r="E367" s="16" t="s">
        <v>293</v>
      </c>
      <c r="F367" s="40" t="s">
        <v>294</v>
      </c>
      <c r="G367" s="17" t="s">
        <v>75</v>
      </c>
      <c r="H367" s="18" t="s">
        <v>62</v>
      </c>
      <c r="I367" s="19" t="s">
        <v>63</v>
      </c>
      <c r="J367" s="20">
        <v>45751</v>
      </c>
      <c r="K367" s="20">
        <v>45785</v>
      </c>
      <c r="L367" s="21">
        <v>1500000</v>
      </c>
      <c r="M367" s="22">
        <f t="shared" si="319"/>
        <v>1350000</v>
      </c>
      <c r="N367" s="23">
        <v>0</v>
      </c>
      <c r="O367" s="23">
        <v>1350000</v>
      </c>
      <c r="P367" s="24">
        <f t="shared" si="320"/>
        <v>1500000</v>
      </c>
      <c r="Q367" s="25">
        <v>1350000</v>
      </c>
      <c r="R367" s="26">
        <v>150000</v>
      </c>
      <c r="S367" s="91">
        <f t="shared" si="321"/>
        <v>10</v>
      </c>
      <c r="T367" s="91">
        <f t="shared" si="322"/>
        <v>9</v>
      </c>
      <c r="U367" s="27" t="s">
        <v>193</v>
      </c>
      <c r="V367" s="19" t="s">
        <v>51</v>
      </c>
      <c r="W367" s="20">
        <v>45772</v>
      </c>
      <c r="X367" s="22"/>
      <c r="Y367" s="19" t="s">
        <v>52</v>
      </c>
      <c r="Z367" s="19" t="s">
        <v>52</v>
      </c>
      <c r="AA367" s="19" t="s">
        <v>52</v>
      </c>
      <c r="AB367" s="28"/>
      <c r="AC367" s="90"/>
    </row>
    <row r="368" spans="1:33" s="29" customFormat="1" ht="15" customHeight="1" x14ac:dyDescent="0.25">
      <c r="A368" s="14">
        <v>9</v>
      </c>
      <c r="B368" s="15">
        <v>45783</v>
      </c>
      <c r="C368" s="15">
        <f t="shared" si="318"/>
        <v>45791</v>
      </c>
      <c r="D368" s="14">
        <v>12764</v>
      </c>
      <c r="E368" s="16" t="s">
        <v>248</v>
      </c>
      <c r="F368" s="17" t="s">
        <v>249</v>
      </c>
      <c r="G368" s="17" t="s">
        <v>132</v>
      </c>
      <c r="H368" s="18" t="s">
        <v>54</v>
      </c>
      <c r="I368" s="19" t="s">
        <v>135</v>
      </c>
      <c r="J368" s="20">
        <v>45748</v>
      </c>
      <c r="K368" s="20">
        <v>45821</v>
      </c>
      <c r="L368" s="21">
        <v>102000</v>
      </c>
      <c r="M368" s="22">
        <f t="shared" ref="M368" si="323">SUM(N368:O368)</f>
        <v>101920</v>
      </c>
      <c r="N368" s="23">
        <v>0</v>
      </c>
      <c r="O368" s="23">
        <v>101920</v>
      </c>
      <c r="P368" s="24">
        <f t="shared" si="320"/>
        <v>102000</v>
      </c>
      <c r="Q368" s="25">
        <v>101920</v>
      </c>
      <c r="R368" s="26">
        <v>57330</v>
      </c>
      <c r="S368" s="91">
        <f t="shared" si="321"/>
        <v>1.7791732077446363</v>
      </c>
      <c r="T368" s="91">
        <f t="shared" si="322"/>
        <v>1.7777777777777777</v>
      </c>
      <c r="U368" s="27" t="s">
        <v>193</v>
      </c>
      <c r="V368" s="30" t="s">
        <v>59</v>
      </c>
      <c r="W368" s="31">
        <v>45779</v>
      </c>
      <c r="X368" s="22"/>
      <c r="Y368" s="19" t="s">
        <v>52</v>
      </c>
      <c r="Z368" s="19" t="s">
        <v>52</v>
      </c>
      <c r="AA368" s="19" t="s">
        <v>52</v>
      </c>
      <c r="AB368" s="28"/>
    </row>
    <row r="369" spans="1:33" s="29" customFormat="1" ht="15" customHeight="1" x14ac:dyDescent="0.25">
      <c r="A369" s="14">
        <v>12</v>
      </c>
      <c r="B369" s="15">
        <v>45783</v>
      </c>
      <c r="C369" s="15">
        <f t="shared" ref="C369" si="324">B369+8</f>
        <v>45791</v>
      </c>
      <c r="D369" s="14">
        <v>12811</v>
      </c>
      <c r="E369" s="16" t="s">
        <v>295</v>
      </c>
      <c r="F369" s="40" t="s">
        <v>296</v>
      </c>
      <c r="G369" s="17" t="s">
        <v>75</v>
      </c>
      <c r="H369" s="18" t="s">
        <v>542</v>
      </c>
      <c r="I369" s="19" t="s">
        <v>49</v>
      </c>
      <c r="J369" s="20">
        <v>45756</v>
      </c>
      <c r="K369" s="20">
        <v>45798</v>
      </c>
      <c r="L369" s="21">
        <v>1500000</v>
      </c>
      <c r="M369" s="22">
        <f t="shared" ref="M369:M370" si="325">SUM(N369:O369)</f>
        <v>1518000</v>
      </c>
      <c r="N369" s="23">
        <v>1350000</v>
      </c>
      <c r="O369" s="23">
        <v>168000</v>
      </c>
      <c r="P369" s="24">
        <f t="shared" ref="P369:P370" si="326">L369-N369</f>
        <v>150000</v>
      </c>
      <c r="Q369" s="25">
        <v>168000</v>
      </c>
      <c r="R369" s="26">
        <v>150000</v>
      </c>
      <c r="S369" s="91">
        <f t="shared" si="321"/>
        <v>1</v>
      </c>
      <c r="T369" s="91">
        <f t="shared" si="322"/>
        <v>1.1200000000000001</v>
      </c>
      <c r="U369" s="27" t="s">
        <v>193</v>
      </c>
      <c r="V369" s="19" t="s">
        <v>51</v>
      </c>
      <c r="W369" s="20">
        <v>45774</v>
      </c>
      <c r="X369" s="22"/>
      <c r="Y369" s="19" t="s">
        <v>52</v>
      </c>
      <c r="Z369" s="19" t="s">
        <v>52</v>
      </c>
      <c r="AA369" s="19" t="s">
        <v>52</v>
      </c>
      <c r="AB369" s="28"/>
      <c r="AC369" s="90"/>
    </row>
    <row r="370" spans="1:33" s="29" customFormat="1" ht="15" customHeight="1" x14ac:dyDescent="0.25">
      <c r="A370" s="14">
        <v>5</v>
      </c>
      <c r="B370" s="15">
        <v>45783</v>
      </c>
      <c r="C370" s="15">
        <f t="shared" ref="C370" si="327">B370+8</f>
        <v>45791</v>
      </c>
      <c r="D370" s="14">
        <v>12800</v>
      </c>
      <c r="E370" s="16" t="s">
        <v>287</v>
      </c>
      <c r="F370" s="17" t="s">
        <v>288</v>
      </c>
      <c r="G370" s="17" t="s">
        <v>102</v>
      </c>
      <c r="H370" s="18" t="s">
        <v>62</v>
      </c>
      <c r="I370" s="19" t="s">
        <v>63</v>
      </c>
      <c r="J370" s="20">
        <v>45757</v>
      </c>
      <c r="K370" s="20">
        <v>45791</v>
      </c>
      <c r="L370" s="21">
        <v>500000</v>
      </c>
      <c r="M370" s="22">
        <f t="shared" si="325"/>
        <v>460000</v>
      </c>
      <c r="N370" s="23">
        <v>208000</v>
      </c>
      <c r="O370" s="23">
        <v>252000</v>
      </c>
      <c r="P370" s="24">
        <f t="shared" si="326"/>
        <v>292000</v>
      </c>
      <c r="Q370" s="25">
        <v>252000</v>
      </c>
      <c r="R370" s="26">
        <v>84000</v>
      </c>
      <c r="S370" s="91">
        <f t="shared" si="321"/>
        <v>3.4761904761904763</v>
      </c>
      <c r="T370" s="91">
        <f t="shared" si="322"/>
        <v>3</v>
      </c>
      <c r="U370" s="27" t="s">
        <v>193</v>
      </c>
      <c r="V370" s="19" t="s">
        <v>51</v>
      </c>
      <c r="W370" s="20">
        <v>45772</v>
      </c>
      <c r="X370" s="22"/>
      <c r="Y370" s="19" t="s">
        <v>52</v>
      </c>
      <c r="Z370" s="19" t="s">
        <v>52</v>
      </c>
      <c r="AA370" s="19" t="s">
        <v>52</v>
      </c>
      <c r="AB370" s="28"/>
    </row>
    <row r="371" spans="1:33" ht="15" customHeight="1" x14ac:dyDescent="0.25">
      <c r="A371" s="33" t="s">
        <v>71</v>
      </c>
      <c r="B371" s="34"/>
      <c r="C371" s="34"/>
      <c r="D371" s="34"/>
      <c r="E371" s="34"/>
      <c r="F371" s="35"/>
      <c r="G371" s="35"/>
      <c r="H371" s="34"/>
      <c r="I371" s="34"/>
      <c r="J371" s="34"/>
      <c r="K371" s="34"/>
      <c r="L371" s="36"/>
      <c r="M371" s="36"/>
      <c r="N371" s="36"/>
      <c r="O371" s="36"/>
      <c r="P371" s="36"/>
      <c r="Q371" s="36">
        <f>SUM(Q362:Q370)</f>
        <v>2649380</v>
      </c>
      <c r="R371" s="36"/>
      <c r="S371" s="92"/>
      <c r="T371" s="93">
        <f>SUM(T362:T370)</f>
        <v>25.468322203962416</v>
      </c>
      <c r="U371" s="37"/>
      <c r="V371" s="38"/>
      <c r="W371" s="38"/>
      <c r="X371" s="38"/>
      <c r="Y371" s="34"/>
      <c r="Z371" s="34"/>
      <c r="AA371" s="39"/>
      <c r="AB371" s="29" t="s">
        <v>622</v>
      </c>
      <c r="AC371" s="81" t="s">
        <v>625</v>
      </c>
      <c r="AD371" s="83">
        <v>5000</v>
      </c>
      <c r="AF371" s="83">
        <v>0</v>
      </c>
      <c r="AG371" s="83">
        <f>SUM(AD371,AF371)</f>
        <v>5000</v>
      </c>
    </row>
    <row r="372" spans="1:33" s="29" customFormat="1" ht="15" customHeight="1" x14ac:dyDescent="0.25">
      <c r="A372" s="14">
        <v>1</v>
      </c>
      <c r="B372" s="15">
        <v>45785</v>
      </c>
      <c r="C372" s="15">
        <f>B372+8</f>
        <v>45793</v>
      </c>
      <c r="D372" s="14">
        <v>12784</v>
      </c>
      <c r="E372" s="16" t="s">
        <v>114</v>
      </c>
      <c r="F372" s="17" t="s">
        <v>115</v>
      </c>
      <c r="G372" s="17" t="s">
        <v>102</v>
      </c>
      <c r="H372" s="18" t="s">
        <v>542</v>
      </c>
      <c r="I372" s="19" t="s">
        <v>104</v>
      </c>
      <c r="J372" s="20">
        <v>45751</v>
      </c>
      <c r="K372" s="20">
        <v>45777</v>
      </c>
      <c r="L372" s="21">
        <v>1500000</v>
      </c>
      <c r="M372" s="22">
        <f>SUM(N372:O372)</f>
        <v>1377000</v>
      </c>
      <c r="N372" s="23">
        <v>1323000</v>
      </c>
      <c r="O372" s="23">
        <v>54000</v>
      </c>
      <c r="P372" s="24">
        <f>L372-N372</f>
        <v>177000</v>
      </c>
      <c r="Q372" s="25">
        <v>54000</v>
      </c>
      <c r="R372" s="26">
        <v>63000</v>
      </c>
      <c r="S372" s="91">
        <f t="shared" ref="S372:S377" si="328">IF(P372&gt;0,P372/$R372,0)</f>
        <v>2.8095238095238093</v>
      </c>
      <c r="T372" s="91">
        <f t="shared" ref="T372:T377" si="329">IF(Q372&gt;0,Q372/$R372,0)</f>
        <v>0.8571428571428571</v>
      </c>
      <c r="U372" s="27" t="s">
        <v>193</v>
      </c>
      <c r="V372" s="19" t="s">
        <v>51</v>
      </c>
      <c r="W372" s="20">
        <v>45772</v>
      </c>
      <c r="X372" s="22"/>
      <c r="Y372" s="19" t="s">
        <v>52</v>
      </c>
      <c r="Z372" s="19" t="s">
        <v>52</v>
      </c>
      <c r="AA372" s="19" t="s">
        <v>52</v>
      </c>
      <c r="AB372" s="28"/>
    </row>
    <row r="373" spans="1:33" s="29" customFormat="1" ht="15" customHeight="1" x14ac:dyDescent="0.25">
      <c r="A373" s="14">
        <v>5</v>
      </c>
      <c r="B373" s="15">
        <v>45785</v>
      </c>
      <c r="C373" s="15">
        <f t="shared" ref="C373" si="330">B373+8</f>
        <v>45793</v>
      </c>
      <c r="D373" s="14">
        <v>12800</v>
      </c>
      <c r="E373" s="16" t="s">
        <v>287</v>
      </c>
      <c r="F373" s="17" t="s">
        <v>288</v>
      </c>
      <c r="G373" s="17" t="s">
        <v>102</v>
      </c>
      <c r="H373" s="18" t="s">
        <v>62</v>
      </c>
      <c r="I373" s="19" t="s">
        <v>63</v>
      </c>
      <c r="J373" s="20">
        <v>45757</v>
      </c>
      <c r="K373" s="20">
        <v>45791</v>
      </c>
      <c r="L373" s="21">
        <v>500000</v>
      </c>
      <c r="M373" s="22">
        <f>SUM(N373:O373)</f>
        <v>512000</v>
      </c>
      <c r="N373" s="23">
        <v>460000</v>
      </c>
      <c r="O373" s="23">
        <v>52000</v>
      </c>
      <c r="P373" s="24">
        <f>L373-N373</f>
        <v>40000</v>
      </c>
      <c r="Q373" s="25">
        <v>52000</v>
      </c>
      <c r="R373" s="26">
        <v>84000</v>
      </c>
      <c r="S373" s="91">
        <f t="shared" si="328"/>
        <v>0.47619047619047616</v>
      </c>
      <c r="T373" s="91">
        <f t="shared" si="329"/>
        <v>0.61904761904761907</v>
      </c>
      <c r="U373" s="27" t="s">
        <v>193</v>
      </c>
      <c r="V373" s="19" t="s">
        <v>51</v>
      </c>
      <c r="W373" s="20">
        <v>45772</v>
      </c>
      <c r="X373" s="22"/>
      <c r="Y373" s="19" t="s">
        <v>52</v>
      </c>
      <c r="Z373" s="19" t="s">
        <v>52</v>
      </c>
      <c r="AA373" s="19" t="s">
        <v>52</v>
      </c>
      <c r="AB373" s="28"/>
    </row>
    <row r="374" spans="1:33" s="29" customFormat="1" ht="15" customHeight="1" x14ac:dyDescent="0.25">
      <c r="A374" s="14">
        <v>13</v>
      </c>
      <c r="B374" s="15">
        <v>45785</v>
      </c>
      <c r="C374" s="15">
        <f>B374+8</f>
        <v>45793</v>
      </c>
      <c r="D374" s="14">
        <v>12825</v>
      </c>
      <c r="E374" s="16" t="s">
        <v>230</v>
      </c>
      <c r="F374" s="40" t="s">
        <v>231</v>
      </c>
      <c r="G374" s="17" t="s">
        <v>75</v>
      </c>
      <c r="H374" s="18" t="s">
        <v>57</v>
      </c>
      <c r="I374" s="19" t="s">
        <v>81</v>
      </c>
      <c r="J374" s="20">
        <v>45761</v>
      </c>
      <c r="K374" s="20">
        <v>45793</v>
      </c>
      <c r="L374" s="21">
        <v>450000</v>
      </c>
      <c r="M374" s="22">
        <f>SUM(N374:O374)</f>
        <v>507000</v>
      </c>
      <c r="N374" s="23">
        <v>336000</v>
      </c>
      <c r="O374" s="23">
        <v>171000</v>
      </c>
      <c r="P374" s="24">
        <f>L374-N374</f>
        <v>114000</v>
      </c>
      <c r="Q374" s="25">
        <v>171000</v>
      </c>
      <c r="R374" s="26">
        <v>150000</v>
      </c>
      <c r="S374" s="91">
        <f t="shared" si="328"/>
        <v>0.76</v>
      </c>
      <c r="T374" s="91">
        <f t="shared" si="329"/>
        <v>1.1399999999999999</v>
      </c>
      <c r="U374" s="27" t="s">
        <v>193</v>
      </c>
      <c r="V374" s="19" t="s">
        <v>51</v>
      </c>
      <c r="W374" s="20">
        <v>45774</v>
      </c>
      <c r="X374" s="22"/>
      <c r="Y374" s="19" t="s">
        <v>52</v>
      </c>
      <c r="Z374" s="19" t="s">
        <v>52</v>
      </c>
      <c r="AA374" s="19" t="s">
        <v>52</v>
      </c>
      <c r="AB374" s="28"/>
      <c r="AC374" s="90"/>
    </row>
    <row r="375" spans="1:33" s="29" customFormat="1" ht="15" customHeight="1" x14ac:dyDescent="0.25">
      <c r="A375" s="14">
        <v>27</v>
      </c>
      <c r="B375" s="15">
        <v>45785</v>
      </c>
      <c r="C375" s="15">
        <f>B375+8</f>
        <v>45793</v>
      </c>
      <c r="D375" s="14">
        <v>12882</v>
      </c>
      <c r="E375" s="16" t="s">
        <v>604</v>
      </c>
      <c r="F375" s="40" t="s">
        <v>605</v>
      </c>
      <c r="G375" s="17" t="s">
        <v>75</v>
      </c>
      <c r="H375" s="18" t="s">
        <v>542</v>
      </c>
      <c r="I375" s="19" t="s">
        <v>104</v>
      </c>
      <c r="J375" s="20">
        <v>45771</v>
      </c>
      <c r="K375" s="20">
        <v>45821</v>
      </c>
      <c r="L375" s="21">
        <v>1500000</v>
      </c>
      <c r="M375" s="22">
        <f>SUM(N375:O375)</f>
        <v>1050000</v>
      </c>
      <c r="N375" s="23">
        <v>0</v>
      </c>
      <c r="O375" s="23">
        <v>1050000</v>
      </c>
      <c r="P375" s="24">
        <f>L375-N375</f>
        <v>1500000</v>
      </c>
      <c r="Q375" s="25">
        <v>1050000</v>
      </c>
      <c r="R375" s="26">
        <v>150000</v>
      </c>
      <c r="S375" s="91">
        <f t="shared" si="328"/>
        <v>10</v>
      </c>
      <c r="T375" s="91">
        <f t="shared" si="329"/>
        <v>7</v>
      </c>
      <c r="U375" s="27" t="s">
        <v>193</v>
      </c>
      <c r="V375" s="30" t="s">
        <v>59</v>
      </c>
      <c r="W375" s="31">
        <v>45794</v>
      </c>
      <c r="X375" s="22"/>
      <c r="Y375" s="19" t="s">
        <v>52</v>
      </c>
      <c r="Z375" s="19" t="s">
        <v>52</v>
      </c>
      <c r="AA375" s="19" t="s">
        <v>52</v>
      </c>
      <c r="AB375" s="28"/>
      <c r="AC375" s="90"/>
    </row>
    <row r="376" spans="1:33" s="29" customFormat="1" ht="15" customHeight="1" x14ac:dyDescent="0.25">
      <c r="A376" s="14">
        <v>17</v>
      </c>
      <c r="B376" s="15">
        <v>45785</v>
      </c>
      <c r="C376" s="15">
        <f t="shared" ref="C376:C377" si="331">B376+8</f>
        <v>45793</v>
      </c>
      <c r="D376" s="14">
        <v>12860</v>
      </c>
      <c r="E376" s="16" t="s">
        <v>436</v>
      </c>
      <c r="F376" s="40" t="s">
        <v>437</v>
      </c>
      <c r="G376" s="17" t="s">
        <v>75</v>
      </c>
      <c r="H376" s="18" t="s">
        <v>57</v>
      </c>
      <c r="I376" s="19" t="s">
        <v>94</v>
      </c>
      <c r="J376" s="20">
        <v>45770</v>
      </c>
      <c r="K376" s="20">
        <v>45790</v>
      </c>
      <c r="L376" s="21">
        <v>500000</v>
      </c>
      <c r="M376" s="22">
        <f t="shared" ref="M376:M377" si="332">SUM(N376:O376)</f>
        <v>150000</v>
      </c>
      <c r="N376" s="23">
        <v>0</v>
      </c>
      <c r="O376" s="23">
        <v>150000</v>
      </c>
      <c r="P376" s="24">
        <f t="shared" ref="P376:P377" si="333">L376-N376</f>
        <v>500000</v>
      </c>
      <c r="Q376" s="25">
        <v>150000</v>
      </c>
      <c r="R376" s="26">
        <v>150000</v>
      </c>
      <c r="S376" s="91">
        <f t="shared" si="328"/>
        <v>3.3333333333333335</v>
      </c>
      <c r="T376" s="91">
        <f t="shared" si="329"/>
        <v>1</v>
      </c>
      <c r="U376" s="27" t="s">
        <v>193</v>
      </c>
      <c r="V376" s="30" t="s">
        <v>59</v>
      </c>
      <c r="W376" s="31">
        <v>45789</v>
      </c>
      <c r="X376" s="22"/>
      <c r="Y376" s="19" t="s">
        <v>52</v>
      </c>
      <c r="Z376" s="19" t="s">
        <v>52</v>
      </c>
      <c r="AA376" s="19" t="s">
        <v>52</v>
      </c>
      <c r="AB376" s="28"/>
      <c r="AC376" s="90"/>
    </row>
    <row r="377" spans="1:33" s="29" customFormat="1" ht="15" customHeight="1" x14ac:dyDescent="0.25">
      <c r="A377" s="14">
        <v>19</v>
      </c>
      <c r="B377" s="15">
        <v>45785</v>
      </c>
      <c r="C377" s="15">
        <f t="shared" si="331"/>
        <v>45793</v>
      </c>
      <c r="D377" s="14">
        <v>12873</v>
      </c>
      <c r="E377" s="16" t="s">
        <v>309</v>
      </c>
      <c r="F377" s="40" t="s">
        <v>301</v>
      </c>
      <c r="G377" s="17" t="s">
        <v>75</v>
      </c>
      <c r="H377" s="18" t="s">
        <v>542</v>
      </c>
      <c r="I377" s="19" t="s">
        <v>302</v>
      </c>
      <c r="J377" s="20">
        <v>45771</v>
      </c>
      <c r="K377" s="20">
        <v>45800</v>
      </c>
      <c r="L377" s="21">
        <v>1000000</v>
      </c>
      <c r="M377" s="22">
        <f t="shared" si="332"/>
        <v>750000</v>
      </c>
      <c r="N377" s="23">
        <v>0</v>
      </c>
      <c r="O377" s="23">
        <v>750000</v>
      </c>
      <c r="P377" s="24">
        <f t="shared" si="333"/>
        <v>1000000</v>
      </c>
      <c r="Q377" s="25">
        <v>750000</v>
      </c>
      <c r="R377" s="26">
        <v>150000</v>
      </c>
      <c r="S377" s="91">
        <f t="shared" si="328"/>
        <v>6.666666666666667</v>
      </c>
      <c r="T377" s="91">
        <f t="shared" si="329"/>
        <v>5</v>
      </c>
      <c r="U377" s="27" t="s">
        <v>193</v>
      </c>
      <c r="V377" s="30" t="s">
        <v>59</v>
      </c>
      <c r="W377" s="31">
        <v>45792</v>
      </c>
      <c r="X377" s="22"/>
      <c r="Y377" s="19" t="s">
        <v>52</v>
      </c>
      <c r="Z377" s="19" t="s">
        <v>52</v>
      </c>
      <c r="AA377" s="19" t="s">
        <v>52</v>
      </c>
      <c r="AB377" s="28"/>
      <c r="AC377" s="90"/>
    </row>
    <row r="378" spans="1:33" ht="15" customHeight="1" x14ac:dyDescent="0.25">
      <c r="A378" s="33" t="s">
        <v>71</v>
      </c>
      <c r="B378" s="34"/>
      <c r="C378" s="34"/>
      <c r="D378" s="34"/>
      <c r="E378" s="34"/>
      <c r="F378" s="35"/>
      <c r="G378" s="35"/>
      <c r="H378" s="34"/>
      <c r="I378" s="34"/>
      <c r="J378" s="34"/>
      <c r="K378" s="34"/>
      <c r="L378" s="36"/>
      <c r="M378" s="36"/>
      <c r="N378" s="36"/>
      <c r="O378" s="36"/>
      <c r="P378" s="36"/>
      <c r="Q378" s="36">
        <f>SUM(Q372:Q377)</f>
        <v>2227000</v>
      </c>
      <c r="R378" s="36"/>
      <c r="S378" s="92"/>
      <c r="T378" s="93">
        <f>SUM(T372:T377)</f>
        <v>15.616190476190475</v>
      </c>
      <c r="U378" s="37"/>
      <c r="V378" s="38"/>
      <c r="W378" s="38"/>
      <c r="X378" s="38"/>
      <c r="Y378" s="34"/>
      <c r="Z378" s="34"/>
      <c r="AA378" s="39"/>
      <c r="AB378" s="29" t="s">
        <v>628</v>
      </c>
      <c r="AC378" s="81" t="s">
        <v>634</v>
      </c>
      <c r="AD378" s="83">
        <v>3541.67</v>
      </c>
      <c r="AF378" s="83">
        <v>0</v>
      </c>
      <c r="AG378" s="83">
        <f>SUM(AD378,AF378)</f>
        <v>3541.67</v>
      </c>
    </row>
    <row r="379" spans="1:33" s="29" customFormat="1" ht="15" customHeight="1" x14ac:dyDescent="0.25">
      <c r="A379" s="14">
        <v>11</v>
      </c>
      <c r="B379" s="15">
        <v>45787</v>
      </c>
      <c r="C379" s="15">
        <f t="shared" ref="C379:C384" si="334">B379+8</f>
        <v>45795</v>
      </c>
      <c r="D379" s="14">
        <v>12769</v>
      </c>
      <c r="E379" s="16" t="s">
        <v>145</v>
      </c>
      <c r="F379" s="17" t="s">
        <v>146</v>
      </c>
      <c r="G379" s="17" t="s">
        <v>132</v>
      </c>
      <c r="H379" s="18" t="s">
        <v>54</v>
      </c>
      <c r="I379" s="19" t="s">
        <v>135</v>
      </c>
      <c r="J379" s="20">
        <v>45748</v>
      </c>
      <c r="K379" s="20">
        <v>45824</v>
      </c>
      <c r="L379" s="21">
        <v>100000</v>
      </c>
      <c r="M379" s="22">
        <f>SUM(N379:O379)</f>
        <v>92765</v>
      </c>
      <c r="N379" s="23">
        <v>0</v>
      </c>
      <c r="O379" s="23">
        <v>92765</v>
      </c>
      <c r="P379" s="24">
        <f t="shared" ref="P379:P385" si="335">L379-N379</f>
        <v>100000</v>
      </c>
      <c r="Q379" s="25">
        <v>92750</v>
      </c>
      <c r="R379" s="26">
        <v>50868</v>
      </c>
      <c r="S379" s="91">
        <f t="shared" ref="S379:S387" si="336">IF(P379&gt;0,P379/$R379,0)</f>
        <v>1.9658724541951718</v>
      </c>
      <c r="T379" s="91">
        <f t="shared" ref="T379:T387" si="337">IF(Q379&gt;0,Q379/$R379,0)</f>
        <v>1.8233467012660218</v>
      </c>
      <c r="U379" s="27" t="s">
        <v>56</v>
      </c>
      <c r="V379" s="30" t="s">
        <v>59</v>
      </c>
      <c r="W379" s="31">
        <v>45784</v>
      </c>
      <c r="X379" s="22"/>
      <c r="Y379" s="19" t="s">
        <v>52</v>
      </c>
      <c r="Z379" s="19" t="s">
        <v>52</v>
      </c>
      <c r="AA379" s="19" t="s">
        <v>52</v>
      </c>
      <c r="AB379" s="28"/>
    </row>
    <row r="380" spans="1:33" s="29" customFormat="1" ht="15" customHeight="1" x14ac:dyDescent="0.25">
      <c r="A380" s="14">
        <v>2</v>
      </c>
      <c r="B380" s="15">
        <v>45787</v>
      </c>
      <c r="C380" s="15">
        <f t="shared" si="334"/>
        <v>45795</v>
      </c>
      <c r="D380" s="14">
        <v>12773</v>
      </c>
      <c r="E380" s="16" t="s">
        <v>355</v>
      </c>
      <c r="F380" s="17" t="s">
        <v>356</v>
      </c>
      <c r="G380" s="17" t="s">
        <v>132</v>
      </c>
      <c r="H380" s="18" t="s">
        <v>78</v>
      </c>
      <c r="I380" s="19" t="s">
        <v>79</v>
      </c>
      <c r="J380" s="20">
        <v>45749</v>
      </c>
      <c r="K380" s="20">
        <v>45790</v>
      </c>
      <c r="L380" s="21">
        <v>130000</v>
      </c>
      <c r="M380" s="22">
        <f t="shared" ref="M380" si="338">SUM(N380:O380)</f>
        <v>136080</v>
      </c>
      <c r="N380" s="23">
        <v>94690</v>
      </c>
      <c r="O380" s="23">
        <v>41390</v>
      </c>
      <c r="P380" s="24">
        <f t="shared" si="335"/>
        <v>35310</v>
      </c>
      <c r="Q380" s="25">
        <v>41390</v>
      </c>
      <c r="R380" s="26">
        <v>232443</v>
      </c>
      <c r="S380" s="91">
        <f t="shared" si="336"/>
        <v>0.15190820975464953</v>
      </c>
      <c r="T380" s="91">
        <f t="shared" si="337"/>
        <v>0.17806516006074607</v>
      </c>
      <c r="U380" s="27" t="s">
        <v>56</v>
      </c>
      <c r="V380" s="19" t="s">
        <v>51</v>
      </c>
      <c r="W380" s="20">
        <v>45779</v>
      </c>
      <c r="X380" s="22"/>
      <c r="Y380" s="19" t="s">
        <v>52</v>
      </c>
      <c r="Z380" s="19" t="s">
        <v>52</v>
      </c>
      <c r="AA380" s="19" t="s">
        <v>52</v>
      </c>
      <c r="AB380" s="28"/>
    </row>
    <row r="381" spans="1:33" s="29" customFormat="1" ht="15" customHeight="1" x14ac:dyDescent="0.25">
      <c r="A381" s="14">
        <v>3</v>
      </c>
      <c r="B381" s="15">
        <v>45787</v>
      </c>
      <c r="C381" s="15">
        <f t="shared" si="334"/>
        <v>45795</v>
      </c>
      <c r="D381" s="14">
        <v>12874</v>
      </c>
      <c r="E381" s="16" t="s">
        <v>609</v>
      </c>
      <c r="F381" s="17" t="s">
        <v>610</v>
      </c>
      <c r="G381" s="17" t="s">
        <v>102</v>
      </c>
      <c r="H381" s="18" t="s">
        <v>133</v>
      </c>
      <c r="I381" s="19" t="s">
        <v>611</v>
      </c>
      <c r="J381" s="20">
        <v>45772</v>
      </c>
      <c r="K381" s="20">
        <v>45778</v>
      </c>
      <c r="L381" s="21">
        <v>25000</v>
      </c>
      <c r="M381" s="22">
        <f>SUM(N381:O381)</f>
        <v>14100</v>
      </c>
      <c r="N381" s="23">
        <v>1500</v>
      </c>
      <c r="O381" s="23">
        <v>12600</v>
      </c>
      <c r="P381" s="24">
        <f t="shared" si="335"/>
        <v>23500</v>
      </c>
      <c r="Q381" s="25">
        <v>12600</v>
      </c>
      <c r="R381" s="26">
        <v>15000</v>
      </c>
      <c r="S381" s="91">
        <f t="shared" si="336"/>
        <v>1.5666666666666667</v>
      </c>
      <c r="T381" s="91">
        <f t="shared" si="337"/>
        <v>0.84</v>
      </c>
      <c r="U381" s="27" t="s">
        <v>56</v>
      </c>
      <c r="V381" s="30" t="s">
        <v>68</v>
      </c>
      <c r="W381" s="31" t="s">
        <v>68</v>
      </c>
      <c r="X381" s="22"/>
      <c r="Y381" s="41" t="s">
        <v>82</v>
      </c>
      <c r="Z381" s="41" t="s">
        <v>82</v>
      </c>
      <c r="AA381" s="41" t="s">
        <v>82</v>
      </c>
      <c r="AB381" s="28"/>
    </row>
    <row r="382" spans="1:33" s="29" customFormat="1" ht="15" customHeight="1" x14ac:dyDescent="0.25">
      <c r="A382" s="14">
        <v>11</v>
      </c>
      <c r="B382" s="15">
        <v>45787</v>
      </c>
      <c r="C382" s="15">
        <f t="shared" si="334"/>
        <v>45795</v>
      </c>
      <c r="D382" s="14">
        <v>12920</v>
      </c>
      <c r="E382" s="16" t="s">
        <v>618</v>
      </c>
      <c r="F382" s="17" t="s">
        <v>619</v>
      </c>
      <c r="G382" s="17" t="s">
        <v>102</v>
      </c>
      <c r="H382" s="18" t="s">
        <v>133</v>
      </c>
      <c r="I382" s="19" t="s">
        <v>198</v>
      </c>
      <c r="J382" s="20">
        <v>45778</v>
      </c>
      <c r="K382" s="20">
        <v>45799</v>
      </c>
      <c r="L382" s="21">
        <v>75000</v>
      </c>
      <c r="M382" s="22">
        <f>SUM(N382:O382)</f>
        <v>80000</v>
      </c>
      <c r="N382" s="23">
        <v>20000</v>
      </c>
      <c r="O382" s="23">
        <v>60000</v>
      </c>
      <c r="P382" s="24">
        <f t="shared" si="335"/>
        <v>55000</v>
      </c>
      <c r="Q382" s="25">
        <v>60000</v>
      </c>
      <c r="R382" s="26">
        <v>50000</v>
      </c>
      <c r="S382" s="91">
        <f t="shared" si="336"/>
        <v>1.1000000000000001</v>
      </c>
      <c r="T382" s="91">
        <f t="shared" si="337"/>
        <v>1.2</v>
      </c>
      <c r="U382" s="27" t="s">
        <v>56</v>
      </c>
      <c r="V382" s="30" t="s">
        <v>59</v>
      </c>
      <c r="W382" s="31">
        <v>45794</v>
      </c>
      <c r="X382" s="22"/>
      <c r="Y382" s="19" t="s">
        <v>52</v>
      </c>
      <c r="Z382" s="19" t="s">
        <v>52</v>
      </c>
      <c r="AA382" s="19" t="s">
        <v>52</v>
      </c>
      <c r="AB382" s="28"/>
    </row>
    <row r="383" spans="1:33" s="29" customFormat="1" ht="15" customHeight="1" x14ac:dyDescent="0.25">
      <c r="A383" s="14">
        <v>9</v>
      </c>
      <c r="B383" s="15">
        <v>45787</v>
      </c>
      <c r="C383" s="15">
        <f t="shared" si="334"/>
        <v>45795</v>
      </c>
      <c r="D383" s="14">
        <v>12789</v>
      </c>
      <c r="E383" s="16" t="s">
        <v>293</v>
      </c>
      <c r="F383" s="40" t="s">
        <v>294</v>
      </c>
      <c r="G383" s="17" t="s">
        <v>75</v>
      </c>
      <c r="H383" s="18" t="s">
        <v>62</v>
      </c>
      <c r="I383" s="19" t="s">
        <v>63</v>
      </c>
      <c r="J383" s="20">
        <v>45751</v>
      </c>
      <c r="K383" s="20">
        <v>45785</v>
      </c>
      <c r="L383" s="21">
        <v>1500000</v>
      </c>
      <c r="M383" s="22">
        <f>SUM(N383:O383)</f>
        <v>1530000</v>
      </c>
      <c r="N383" s="23">
        <v>1350000</v>
      </c>
      <c r="O383" s="23">
        <v>180000</v>
      </c>
      <c r="P383" s="24">
        <f t="shared" si="335"/>
        <v>150000</v>
      </c>
      <c r="Q383" s="25">
        <v>180000</v>
      </c>
      <c r="R383" s="26">
        <v>150000</v>
      </c>
      <c r="S383" s="91">
        <f t="shared" si="336"/>
        <v>1</v>
      </c>
      <c r="T383" s="91">
        <f t="shared" si="337"/>
        <v>1.2</v>
      </c>
      <c r="U383" s="27" t="s">
        <v>193</v>
      </c>
      <c r="V383" s="19" t="s">
        <v>51</v>
      </c>
      <c r="W383" s="20">
        <v>45772</v>
      </c>
      <c r="X383" s="22"/>
      <c r="Y383" s="19" t="s">
        <v>52</v>
      </c>
      <c r="Z383" s="19" t="s">
        <v>52</v>
      </c>
      <c r="AA383" s="19" t="s">
        <v>52</v>
      </c>
      <c r="AB383" s="28"/>
      <c r="AC383" s="90"/>
    </row>
    <row r="384" spans="1:33" s="29" customFormat="1" ht="15" customHeight="1" x14ac:dyDescent="0.25">
      <c r="A384" s="14">
        <v>8</v>
      </c>
      <c r="B384" s="15">
        <v>45787</v>
      </c>
      <c r="C384" s="15">
        <f t="shared" si="334"/>
        <v>45795</v>
      </c>
      <c r="D384" s="14">
        <v>12788</v>
      </c>
      <c r="E384" s="16" t="s">
        <v>449</v>
      </c>
      <c r="F384" s="40" t="s">
        <v>450</v>
      </c>
      <c r="G384" s="17" t="s">
        <v>75</v>
      </c>
      <c r="H384" s="18" t="s">
        <v>57</v>
      </c>
      <c r="I384" s="19" t="s">
        <v>94</v>
      </c>
      <c r="J384" s="20">
        <v>45750</v>
      </c>
      <c r="K384" s="20" t="s">
        <v>65</v>
      </c>
      <c r="L384" s="21">
        <v>450000</v>
      </c>
      <c r="M384" s="22">
        <f>SUM(N384:O384)</f>
        <v>345000</v>
      </c>
      <c r="N384" s="23">
        <v>315000</v>
      </c>
      <c r="O384" s="23">
        <v>30000</v>
      </c>
      <c r="P384" s="24">
        <f t="shared" si="335"/>
        <v>135000</v>
      </c>
      <c r="Q384" s="25">
        <v>30000</v>
      </c>
      <c r="R384" s="26">
        <v>144000</v>
      </c>
      <c r="S384" s="91">
        <f t="shared" si="336"/>
        <v>0.9375</v>
      </c>
      <c r="T384" s="91">
        <f t="shared" si="337"/>
        <v>0.20833333333333334</v>
      </c>
      <c r="U384" s="27" t="s">
        <v>193</v>
      </c>
      <c r="V384" s="19" t="s">
        <v>51</v>
      </c>
      <c r="W384" s="20">
        <v>45769</v>
      </c>
      <c r="X384" s="22"/>
      <c r="Y384" s="19" t="s">
        <v>52</v>
      </c>
      <c r="Z384" s="19" t="s">
        <v>52</v>
      </c>
      <c r="AA384" s="19" t="s">
        <v>52</v>
      </c>
      <c r="AB384" s="28"/>
      <c r="AC384" s="90"/>
    </row>
    <row r="385" spans="1:33" s="29" customFormat="1" ht="15" customHeight="1" x14ac:dyDescent="0.25">
      <c r="A385" s="14">
        <v>8</v>
      </c>
      <c r="B385" s="15">
        <v>45787</v>
      </c>
      <c r="C385" s="15">
        <f t="shared" ref="C385" si="339">B385+8</f>
        <v>45795</v>
      </c>
      <c r="D385" s="14">
        <v>12817</v>
      </c>
      <c r="E385" s="16" t="s">
        <v>346</v>
      </c>
      <c r="F385" s="17" t="s">
        <v>347</v>
      </c>
      <c r="G385" s="17" t="s">
        <v>102</v>
      </c>
      <c r="H385" s="18" t="s">
        <v>542</v>
      </c>
      <c r="I385" s="19" t="s">
        <v>302</v>
      </c>
      <c r="J385" s="20">
        <v>45757</v>
      </c>
      <c r="K385" s="20">
        <v>45799</v>
      </c>
      <c r="L385" s="21">
        <v>1000000</v>
      </c>
      <c r="M385" s="22">
        <f>SUM(N385:O385)</f>
        <v>550000</v>
      </c>
      <c r="N385" s="23">
        <v>0</v>
      </c>
      <c r="O385" s="23">
        <v>550000</v>
      </c>
      <c r="P385" s="24">
        <f t="shared" si="335"/>
        <v>1000000</v>
      </c>
      <c r="Q385" s="25">
        <v>550000</v>
      </c>
      <c r="R385" s="26">
        <v>48000</v>
      </c>
      <c r="S385" s="91">
        <f t="shared" si="336"/>
        <v>20.833333333333332</v>
      </c>
      <c r="T385" s="91">
        <f t="shared" si="337"/>
        <v>11.458333333333334</v>
      </c>
      <c r="U385" s="27" t="s">
        <v>193</v>
      </c>
      <c r="V385" s="30" t="s">
        <v>59</v>
      </c>
      <c r="W385" s="31">
        <v>45784</v>
      </c>
      <c r="X385" s="22"/>
      <c r="Y385" s="19" t="s">
        <v>52</v>
      </c>
      <c r="Z385" s="19" t="s">
        <v>52</v>
      </c>
      <c r="AA385" s="19" t="s">
        <v>52</v>
      </c>
      <c r="AB385" s="28"/>
    </row>
    <row r="386" spans="1:33" s="29" customFormat="1" ht="15" customHeight="1" x14ac:dyDescent="0.25">
      <c r="A386" s="14">
        <v>19</v>
      </c>
      <c r="B386" s="15">
        <v>45787</v>
      </c>
      <c r="C386" s="15">
        <f t="shared" ref="C386" si="340">B386+8</f>
        <v>45795</v>
      </c>
      <c r="D386" s="14">
        <v>12873</v>
      </c>
      <c r="E386" s="16" t="s">
        <v>309</v>
      </c>
      <c r="F386" s="40" t="s">
        <v>301</v>
      </c>
      <c r="G386" s="17" t="s">
        <v>75</v>
      </c>
      <c r="H386" s="18" t="s">
        <v>542</v>
      </c>
      <c r="I386" s="19" t="s">
        <v>302</v>
      </c>
      <c r="J386" s="20">
        <v>45771</v>
      </c>
      <c r="K386" s="20">
        <v>45800</v>
      </c>
      <c r="L386" s="21">
        <v>1000000</v>
      </c>
      <c r="M386" s="22">
        <f t="shared" ref="M386:M387" si="341">SUM(N386:O386)</f>
        <v>900000</v>
      </c>
      <c r="N386" s="23">
        <v>750000</v>
      </c>
      <c r="O386" s="23">
        <v>150000</v>
      </c>
      <c r="P386" s="24">
        <f t="shared" ref="P386:P387" si="342">L386-N386</f>
        <v>250000</v>
      </c>
      <c r="Q386" s="25">
        <v>150000</v>
      </c>
      <c r="R386" s="26">
        <v>150000</v>
      </c>
      <c r="S386" s="91">
        <f t="shared" si="336"/>
        <v>1.6666666666666667</v>
      </c>
      <c r="T386" s="91">
        <f t="shared" si="337"/>
        <v>1</v>
      </c>
      <c r="U386" s="27" t="s">
        <v>193</v>
      </c>
      <c r="V386" s="30" t="s">
        <v>59</v>
      </c>
      <c r="W386" s="31">
        <v>45792</v>
      </c>
      <c r="X386" s="22"/>
      <c r="Y386" s="19" t="s">
        <v>52</v>
      </c>
      <c r="Z386" s="19" t="s">
        <v>52</v>
      </c>
      <c r="AA386" s="19" t="s">
        <v>52</v>
      </c>
      <c r="AB386" s="28"/>
      <c r="AC386" s="90"/>
    </row>
    <row r="387" spans="1:33" s="29" customFormat="1" ht="15" customHeight="1" x14ac:dyDescent="0.25">
      <c r="A387" s="14">
        <v>2</v>
      </c>
      <c r="B387" s="15">
        <v>45787</v>
      </c>
      <c r="C387" s="15">
        <f>B387+8</f>
        <v>45795</v>
      </c>
      <c r="D387" s="14">
        <v>12794</v>
      </c>
      <c r="E387" s="16" t="s">
        <v>466</v>
      </c>
      <c r="F387" s="17" t="s">
        <v>467</v>
      </c>
      <c r="G387" s="17" t="s">
        <v>102</v>
      </c>
      <c r="H387" s="18" t="s">
        <v>57</v>
      </c>
      <c r="I387" s="19" t="s">
        <v>58</v>
      </c>
      <c r="J387" s="20">
        <v>45754</v>
      </c>
      <c r="K387" s="20">
        <v>45777</v>
      </c>
      <c r="L387" s="21">
        <v>1000000</v>
      </c>
      <c r="M387" s="22">
        <f t="shared" si="341"/>
        <v>1250000</v>
      </c>
      <c r="N387" s="23">
        <v>800000</v>
      </c>
      <c r="O387" s="23">
        <v>450000</v>
      </c>
      <c r="P387" s="24">
        <f t="shared" si="342"/>
        <v>200000</v>
      </c>
      <c r="Q387" s="25">
        <v>205000</v>
      </c>
      <c r="R387" s="26">
        <v>50000</v>
      </c>
      <c r="S387" s="91">
        <f t="shared" si="336"/>
        <v>4</v>
      </c>
      <c r="T387" s="91">
        <f t="shared" si="337"/>
        <v>4.0999999999999996</v>
      </c>
      <c r="U387" s="27" t="s">
        <v>193</v>
      </c>
      <c r="V387" s="19" t="s">
        <v>51</v>
      </c>
      <c r="W387" s="20">
        <v>45772</v>
      </c>
      <c r="X387" s="22"/>
      <c r="Y387" s="19" t="s">
        <v>52</v>
      </c>
      <c r="Z387" s="19" t="s">
        <v>52</v>
      </c>
      <c r="AA387" s="19" t="s">
        <v>52</v>
      </c>
      <c r="AB387" s="28"/>
    </row>
    <row r="388" spans="1:33" ht="15" customHeight="1" x14ac:dyDescent="0.25">
      <c r="A388" s="33" t="s">
        <v>71</v>
      </c>
      <c r="B388" s="34"/>
      <c r="C388" s="34"/>
      <c r="D388" s="34"/>
      <c r="E388" s="34"/>
      <c r="F388" s="35"/>
      <c r="G388" s="35"/>
      <c r="H388" s="34"/>
      <c r="I388" s="34"/>
      <c r="J388" s="34"/>
      <c r="K388" s="34"/>
      <c r="L388" s="36"/>
      <c r="M388" s="36"/>
      <c r="N388" s="36"/>
      <c r="O388" s="36"/>
      <c r="P388" s="36"/>
      <c r="Q388" s="36">
        <f>SUM(Q379:Q387)</f>
        <v>1321740</v>
      </c>
      <c r="R388" s="36"/>
      <c r="S388" s="92"/>
      <c r="T388" s="93">
        <f>SUM(T379:T387)</f>
        <v>22.008078527993433</v>
      </c>
      <c r="U388" s="37"/>
      <c r="V388" s="38"/>
      <c r="W388" s="38"/>
      <c r="X388" s="38"/>
      <c r="Y388" s="34"/>
      <c r="Z388" s="34"/>
      <c r="AA388" s="39"/>
      <c r="AB388" s="29" t="s">
        <v>635</v>
      </c>
      <c r="AC388" s="81" t="s">
        <v>643</v>
      </c>
      <c r="AD388" s="83">
        <v>5000</v>
      </c>
      <c r="AF388" s="83">
        <v>0</v>
      </c>
      <c r="AG388" s="83">
        <f>SUM(AD388,AF388)</f>
        <v>5000</v>
      </c>
    </row>
    <row r="389" spans="1:33" s="29" customFormat="1" ht="15" customHeight="1" x14ac:dyDescent="0.25">
      <c r="A389" s="14">
        <v>7</v>
      </c>
      <c r="B389" s="15">
        <v>45791</v>
      </c>
      <c r="C389" s="15">
        <f>B389+8</f>
        <v>45799</v>
      </c>
      <c r="D389" s="14">
        <v>12804</v>
      </c>
      <c r="E389" s="16" t="s">
        <v>284</v>
      </c>
      <c r="F389" s="17" t="s">
        <v>285</v>
      </c>
      <c r="G389" s="17" t="s">
        <v>102</v>
      </c>
      <c r="H389" s="18" t="s">
        <v>542</v>
      </c>
      <c r="I389" s="19" t="s">
        <v>384</v>
      </c>
      <c r="J389" s="20">
        <v>45756</v>
      </c>
      <c r="K389" s="20">
        <v>45797</v>
      </c>
      <c r="L389" s="21">
        <v>150000</v>
      </c>
      <c r="M389" s="22">
        <f>SUM(N389:O389)</f>
        <v>100000</v>
      </c>
      <c r="N389" s="23">
        <v>0</v>
      </c>
      <c r="O389" s="23">
        <v>100000</v>
      </c>
      <c r="P389" s="24">
        <f>L389-N389</f>
        <v>150000</v>
      </c>
      <c r="Q389" s="25">
        <v>100000</v>
      </c>
      <c r="R389" s="26">
        <v>50000</v>
      </c>
      <c r="S389" s="91">
        <f t="shared" ref="S389:S392" si="343">IF(P389&gt;0,P389/$R389,0)</f>
        <v>3</v>
      </c>
      <c r="T389" s="91">
        <f t="shared" ref="T389:T392" si="344">IF(Q389&gt;0,Q389/$R389,0)</f>
        <v>2</v>
      </c>
      <c r="U389" s="27" t="s">
        <v>193</v>
      </c>
      <c r="V389" s="30" t="s">
        <v>59</v>
      </c>
      <c r="W389" s="31">
        <v>45784</v>
      </c>
      <c r="X389" s="22"/>
      <c r="Y389" s="19" t="s">
        <v>52</v>
      </c>
      <c r="Z389" s="19" t="s">
        <v>52</v>
      </c>
      <c r="AA389" s="19" t="s">
        <v>52</v>
      </c>
      <c r="AB389" s="28"/>
    </row>
    <row r="390" spans="1:33" s="29" customFormat="1" ht="15" customHeight="1" x14ac:dyDescent="0.25">
      <c r="A390" s="14">
        <v>8</v>
      </c>
      <c r="B390" s="15">
        <v>45791</v>
      </c>
      <c r="C390" s="15">
        <f>B390+8</f>
        <v>45799</v>
      </c>
      <c r="D390" s="14">
        <v>12817</v>
      </c>
      <c r="E390" s="16" t="s">
        <v>346</v>
      </c>
      <c r="F390" s="17" t="s">
        <v>347</v>
      </c>
      <c r="G390" s="17" t="s">
        <v>102</v>
      </c>
      <c r="H390" s="18" t="s">
        <v>542</v>
      </c>
      <c r="I390" s="19" t="s">
        <v>302</v>
      </c>
      <c r="J390" s="20">
        <v>45757</v>
      </c>
      <c r="K390" s="20">
        <v>45799</v>
      </c>
      <c r="L390" s="21">
        <v>1000000</v>
      </c>
      <c r="M390" s="22">
        <f>SUM(N390:O390)</f>
        <v>1000000</v>
      </c>
      <c r="N390" s="23">
        <v>550000</v>
      </c>
      <c r="O390" s="23">
        <v>450000</v>
      </c>
      <c r="P390" s="24">
        <f>L390-N390</f>
        <v>450000</v>
      </c>
      <c r="Q390" s="25">
        <v>450000</v>
      </c>
      <c r="R390" s="26">
        <v>48000</v>
      </c>
      <c r="S390" s="91">
        <f t="shared" si="343"/>
        <v>9.375</v>
      </c>
      <c r="T390" s="91">
        <f t="shared" si="344"/>
        <v>9.375</v>
      </c>
      <c r="U390" s="27" t="s">
        <v>193</v>
      </c>
      <c r="V390" s="30" t="s">
        <v>59</v>
      </c>
      <c r="W390" s="31">
        <v>45784</v>
      </c>
      <c r="X390" s="22"/>
      <c r="Y390" s="19" t="s">
        <v>52</v>
      </c>
      <c r="Z390" s="19" t="s">
        <v>52</v>
      </c>
      <c r="AA390" s="19" t="s">
        <v>52</v>
      </c>
      <c r="AB390" s="28"/>
    </row>
    <row r="391" spans="1:33" s="29" customFormat="1" ht="15" customHeight="1" x14ac:dyDescent="0.25">
      <c r="A391" s="14">
        <v>9</v>
      </c>
      <c r="B391" s="15">
        <v>45791</v>
      </c>
      <c r="C391" s="15">
        <f>B391+8</f>
        <v>45799</v>
      </c>
      <c r="D391" s="14">
        <v>12849</v>
      </c>
      <c r="E391" s="16" t="s">
        <v>369</v>
      </c>
      <c r="F391" s="17" t="s">
        <v>598</v>
      </c>
      <c r="G391" s="17" t="s">
        <v>102</v>
      </c>
      <c r="H391" s="18" t="s">
        <v>57</v>
      </c>
      <c r="I391" s="19" t="s">
        <v>58</v>
      </c>
      <c r="J391" s="20">
        <v>45769</v>
      </c>
      <c r="K391" s="20" t="s">
        <v>65</v>
      </c>
      <c r="L391" s="21">
        <v>1000000</v>
      </c>
      <c r="M391" s="22">
        <f>SUM(N391:O391)</f>
        <v>750000</v>
      </c>
      <c r="N391" s="23">
        <v>0</v>
      </c>
      <c r="O391" s="23">
        <v>750000</v>
      </c>
      <c r="P391" s="24">
        <f>L391-N391</f>
        <v>1000000</v>
      </c>
      <c r="Q391" s="25">
        <v>750000</v>
      </c>
      <c r="R391" s="26">
        <v>50000</v>
      </c>
      <c r="S391" s="91">
        <f t="shared" si="343"/>
        <v>20</v>
      </c>
      <c r="T391" s="91">
        <f t="shared" si="344"/>
        <v>15</v>
      </c>
      <c r="U391" s="27" t="s">
        <v>193</v>
      </c>
      <c r="V391" s="30" t="s">
        <v>59</v>
      </c>
      <c r="W391" s="31">
        <v>45784</v>
      </c>
      <c r="X391" s="22"/>
      <c r="Y391" s="19" t="s">
        <v>52</v>
      </c>
      <c r="Z391" s="19" t="s">
        <v>52</v>
      </c>
      <c r="AA391" s="19" t="s">
        <v>52</v>
      </c>
      <c r="AB391" s="28"/>
    </row>
    <row r="392" spans="1:33" s="29" customFormat="1" ht="15" customHeight="1" x14ac:dyDescent="0.25">
      <c r="A392" s="14">
        <v>19</v>
      </c>
      <c r="B392" s="15">
        <v>45791</v>
      </c>
      <c r="C392" s="15">
        <f t="shared" ref="C392" si="345">B392+8</f>
        <v>45799</v>
      </c>
      <c r="D392" s="14">
        <v>12873</v>
      </c>
      <c r="E392" s="16" t="s">
        <v>309</v>
      </c>
      <c r="F392" s="40" t="s">
        <v>301</v>
      </c>
      <c r="G392" s="17" t="s">
        <v>75</v>
      </c>
      <c r="H392" s="18" t="s">
        <v>542</v>
      </c>
      <c r="I392" s="19" t="s">
        <v>302</v>
      </c>
      <c r="J392" s="20">
        <v>45771</v>
      </c>
      <c r="K392" s="20">
        <v>45800</v>
      </c>
      <c r="L392" s="21">
        <v>1000000</v>
      </c>
      <c r="M392" s="22">
        <f t="shared" ref="M392" si="346">SUM(N392:O392)</f>
        <v>1062000</v>
      </c>
      <c r="N392" s="23">
        <v>900000</v>
      </c>
      <c r="O392" s="23">
        <v>162000</v>
      </c>
      <c r="P392" s="24">
        <f t="shared" ref="P392" si="347">L392-N392</f>
        <v>100000</v>
      </c>
      <c r="Q392" s="25">
        <v>162000</v>
      </c>
      <c r="R392" s="26">
        <v>150000</v>
      </c>
      <c r="S392" s="91">
        <f t="shared" si="343"/>
        <v>0.66666666666666663</v>
      </c>
      <c r="T392" s="91">
        <f t="shared" si="344"/>
        <v>1.08</v>
      </c>
      <c r="U392" s="27" t="s">
        <v>193</v>
      </c>
      <c r="V392" s="30" t="s">
        <v>59</v>
      </c>
      <c r="W392" s="31">
        <v>45792</v>
      </c>
      <c r="X392" s="22"/>
      <c r="Y392" s="19" t="s">
        <v>52</v>
      </c>
      <c r="Z392" s="19" t="s">
        <v>52</v>
      </c>
      <c r="AA392" s="19" t="s">
        <v>52</v>
      </c>
      <c r="AB392" s="28"/>
      <c r="AC392" s="90"/>
    </row>
    <row r="393" spans="1:33" ht="15" customHeight="1" x14ac:dyDescent="0.25">
      <c r="A393" s="33" t="s">
        <v>71</v>
      </c>
      <c r="B393" s="34"/>
      <c r="C393" s="34"/>
      <c r="D393" s="34"/>
      <c r="E393" s="34"/>
      <c r="F393" s="35"/>
      <c r="G393" s="35"/>
      <c r="H393" s="34"/>
      <c r="I393" s="34"/>
      <c r="J393" s="34"/>
      <c r="K393" s="34"/>
      <c r="L393" s="36"/>
      <c r="M393" s="36"/>
      <c r="N393" s="36"/>
      <c r="O393" s="36"/>
      <c r="P393" s="36"/>
      <c r="Q393" s="36">
        <f>SUM(Q389:Q392)</f>
        <v>1462000</v>
      </c>
      <c r="R393" s="36"/>
      <c r="S393" s="92"/>
      <c r="T393" s="93">
        <f>SUM(T389:T392)</f>
        <v>27.454999999999998</v>
      </c>
      <c r="U393" s="37"/>
      <c r="V393" s="38"/>
      <c r="W393" s="38"/>
      <c r="X393" s="38"/>
      <c r="Y393" s="34"/>
      <c r="Z393" s="34"/>
      <c r="AA393" s="39"/>
      <c r="AB393" s="29" t="s">
        <v>641</v>
      </c>
      <c r="AC393" s="81" t="s">
        <v>645</v>
      </c>
      <c r="AD393" s="83">
        <v>5000</v>
      </c>
      <c r="AF393" s="83">
        <v>0</v>
      </c>
      <c r="AG393" s="83">
        <f>SUM(AD393,AF393)</f>
        <v>5000</v>
      </c>
    </row>
    <row r="394" spans="1:33" s="29" customFormat="1" ht="15" customHeight="1" x14ac:dyDescent="0.25">
      <c r="A394" s="14">
        <v>15</v>
      </c>
      <c r="B394" s="15">
        <v>45791</v>
      </c>
      <c r="C394" s="15">
        <f t="shared" ref="C394:C398" si="348">B394+8</f>
        <v>45799</v>
      </c>
      <c r="D394" s="14">
        <v>12848</v>
      </c>
      <c r="E394" s="16" t="s">
        <v>92</v>
      </c>
      <c r="F394" s="40" t="s">
        <v>93</v>
      </c>
      <c r="G394" s="17" t="s">
        <v>75</v>
      </c>
      <c r="H394" s="18" t="s">
        <v>57</v>
      </c>
      <c r="I394" s="19" t="s">
        <v>94</v>
      </c>
      <c r="J394" s="20">
        <v>45765</v>
      </c>
      <c r="K394" s="20">
        <v>45793</v>
      </c>
      <c r="L394" s="21">
        <v>750000</v>
      </c>
      <c r="M394" s="22">
        <f t="shared" ref="M394:M398" si="349">SUM(N394:O394)</f>
        <v>813000</v>
      </c>
      <c r="N394" s="23">
        <v>0</v>
      </c>
      <c r="O394" s="23">
        <v>813000</v>
      </c>
      <c r="P394" s="24">
        <f t="shared" ref="P394:P398" si="350">L394-N394</f>
        <v>750000</v>
      </c>
      <c r="Q394" s="25">
        <v>813000</v>
      </c>
      <c r="R394" s="26">
        <v>150000</v>
      </c>
      <c r="S394" s="91">
        <f t="shared" ref="S394:S398" si="351">IF(P394&gt;0,P394/$R394,0)</f>
        <v>5</v>
      </c>
      <c r="T394" s="91">
        <f t="shared" ref="T394:T398" si="352">IF(Q394&gt;0,Q394/$R394,0)</f>
        <v>5.42</v>
      </c>
      <c r="U394" s="27" t="s">
        <v>193</v>
      </c>
      <c r="V394" s="30" t="s">
        <v>59</v>
      </c>
      <c r="W394" s="31">
        <v>45784</v>
      </c>
      <c r="X394" s="22"/>
      <c r="Y394" s="19" t="s">
        <v>52</v>
      </c>
      <c r="Z394" s="19" t="s">
        <v>52</v>
      </c>
      <c r="AA394" s="19" t="s">
        <v>52</v>
      </c>
      <c r="AB394" s="28"/>
      <c r="AC394" s="90"/>
    </row>
    <row r="395" spans="1:33" s="29" customFormat="1" ht="15" customHeight="1" x14ac:dyDescent="0.25">
      <c r="A395" s="14">
        <v>27</v>
      </c>
      <c r="B395" s="15">
        <v>45791</v>
      </c>
      <c r="C395" s="15">
        <f>B395+8</f>
        <v>45799</v>
      </c>
      <c r="D395" s="14">
        <v>12882</v>
      </c>
      <c r="E395" s="16" t="s">
        <v>604</v>
      </c>
      <c r="F395" s="40" t="s">
        <v>605</v>
      </c>
      <c r="G395" s="17" t="s">
        <v>75</v>
      </c>
      <c r="H395" s="18" t="s">
        <v>542</v>
      </c>
      <c r="I395" s="19" t="s">
        <v>104</v>
      </c>
      <c r="J395" s="20">
        <v>45771</v>
      </c>
      <c r="K395" s="20">
        <v>45821</v>
      </c>
      <c r="L395" s="21">
        <v>1500000</v>
      </c>
      <c r="M395" s="22">
        <f>SUM(N395:O395)</f>
        <v>1431000</v>
      </c>
      <c r="N395" s="23">
        <v>1050000</v>
      </c>
      <c r="O395" s="23">
        <v>381000</v>
      </c>
      <c r="P395" s="24">
        <f>L395-N395</f>
        <v>450000</v>
      </c>
      <c r="Q395" s="25">
        <v>381000</v>
      </c>
      <c r="R395" s="26">
        <v>150000</v>
      </c>
      <c r="S395" s="91">
        <f t="shared" si="351"/>
        <v>3</v>
      </c>
      <c r="T395" s="91">
        <f t="shared" si="352"/>
        <v>2.54</v>
      </c>
      <c r="U395" s="27" t="s">
        <v>193</v>
      </c>
      <c r="V395" s="30" t="s">
        <v>59</v>
      </c>
      <c r="W395" s="31">
        <v>45794</v>
      </c>
      <c r="X395" s="22"/>
      <c r="Y395" s="19" t="s">
        <v>52</v>
      </c>
      <c r="Z395" s="19" t="s">
        <v>52</v>
      </c>
      <c r="AA395" s="19" t="s">
        <v>52</v>
      </c>
      <c r="AB395" s="28"/>
      <c r="AC395" s="90"/>
    </row>
    <row r="396" spans="1:33" s="29" customFormat="1" ht="15" customHeight="1" x14ac:dyDescent="0.25">
      <c r="A396" s="14">
        <v>17</v>
      </c>
      <c r="B396" s="15">
        <v>45791</v>
      </c>
      <c r="C396" s="15">
        <f>B396+8</f>
        <v>45799</v>
      </c>
      <c r="D396" s="14">
        <v>12851</v>
      </c>
      <c r="E396" s="16" t="s">
        <v>130</v>
      </c>
      <c r="F396" s="17" t="s">
        <v>250</v>
      </c>
      <c r="G396" s="17" t="s">
        <v>102</v>
      </c>
      <c r="H396" s="18" t="s">
        <v>542</v>
      </c>
      <c r="I396" s="19" t="s">
        <v>70</v>
      </c>
      <c r="J396" s="20">
        <v>45769</v>
      </c>
      <c r="K396" s="20">
        <v>45821</v>
      </c>
      <c r="L396" s="21">
        <v>250000</v>
      </c>
      <c r="M396" s="22">
        <f>SUM(N396:O396)</f>
        <v>50000</v>
      </c>
      <c r="N396" s="23">
        <v>0</v>
      </c>
      <c r="O396" s="23">
        <v>50000</v>
      </c>
      <c r="P396" s="24">
        <f>L396-N396</f>
        <v>250000</v>
      </c>
      <c r="Q396" s="25">
        <v>50000</v>
      </c>
      <c r="R396" s="26">
        <v>50000</v>
      </c>
      <c r="S396" s="91">
        <f t="shared" si="351"/>
        <v>5</v>
      </c>
      <c r="T396" s="91">
        <f t="shared" si="352"/>
        <v>1</v>
      </c>
      <c r="U396" s="27" t="s">
        <v>193</v>
      </c>
      <c r="V396" s="30" t="s">
        <v>59</v>
      </c>
      <c r="W396" s="31">
        <v>45785</v>
      </c>
      <c r="X396" s="22"/>
      <c r="Y396" s="19" t="s">
        <v>52</v>
      </c>
      <c r="Z396" s="19" t="s">
        <v>52</v>
      </c>
      <c r="AA396" s="19" t="s">
        <v>52</v>
      </c>
      <c r="AB396" s="28"/>
    </row>
    <row r="397" spans="1:33" s="29" customFormat="1" ht="15" customHeight="1" x14ac:dyDescent="0.25">
      <c r="A397" s="14">
        <v>26</v>
      </c>
      <c r="B397" s="15">
        <v>45791</v>
      </c>
      <c r="C397" s="15">
        <f t="shared" si="348"/>
        <v>45799</v>
      </c>
      <c r="D397" s="14">
        <v>12884</v>
      </c>
      <c r="E397" s="16" t="s">
        <v>413</v>
      </c>
      <c r="F397" s="40" t="s">
        <v>414</v>
      </c>
      <c r="G397" s="17" t="s">
        <v>75</v>
      </c>
      <c r="H397" s="18" t="s">
        <v>542</v>
      </c>
      <c r="I397" s="19" t="s">
        <v>104</v>
      </c>
      <c r="J397" s="20">
        <v>45771</v>
      </c>
      <c r="K397" s="20">
        <v>45821</v>
      </c>
      <c r="L397" s="21">
        <v>1500000</v>
      </c>
      <c r="M397" s="22">
        <f t="shared" si="349"/>
        <v>1350000</v>
      </c>
      <c r="N397" s="23">
        <v>0</v>
      </c>
      <c r="O397" s="23">
        <v>1350000</v>
      </c>
      <c r="P397" s="24">
        <f t="shared" si="350"/>
        <v>1500000</v>
      </c>
      <c r="Q397" s="25">
        <v>1350000</v>
      </c>
      <c r="R397" s="26">
        <v>150000</v>
      </c>
      <c r="S397" s="91">
        <f t="shared" si="351"/>
        <v>10</v>
      </c>
      <c r="T397" s="91">
        <f t="shared" si="352"/>
        <v>9</v>
      </c>
      <c r="U397" s="27" t="s">
        <v>193</v>
      </c>
      <c r="V397" s="30" t="s">
        <v>59</v>
      </c>
      <c r="W397" s="31">
        <v>45794</v>
      </c>
      <c r="X397" s="22"/>
      <c r="Y397" s="19" t="s">
        <v>52</v>
      </c>
      <c r="Z397" s="19" t="s">
        <v>52</v>
      </c>
      <c r="AA397" s="19" t="s">
        <v>52</v>
      </c>
      <c r="AB397" s="28"/>
      <c r="AC397" s="90"/>
    </row>
    <row r="398" spans="1:33" s="29" customFormat="1" ht="15" customHeight="1" x14ac:dyDescent="0.25">
      <c r="A398" s="14">
        <v>18</v>
      </c>
      <c r="B398" s="15">
        <v>45791</v>
      </c>
      <c r="C398" s="15">
        <f t="shared" si="348"/>
        <v>45799</v>
      </c>
      <c r="D398" s="14">
        <v>12891</v>
      </c>
      <c r="E398" s="16" t="s">
        <v>103</v>
      </c>
      <c r="F398" s="17" t="s">
        <v>606</v>
      </c>
      <c r="G398" s="17" t="s">
        <v>102</v>
      </c>
      <c r="H398" s="18" t="s">
        <v>542</v>
      </c>
      <c r="I398" s="19" t="s">
        <v>104</v>
      </c>
      <c r="J398" s="20">
        <v>45771</v>
      </c>
      <c r="K398" s="20">
        <v>45821</v>
      </c>
      <c r="L398" s="21">
        <v>1000000</v>
      </c>
      <c r="M398" s="22">
        <f t="shared" si="349"/>
        <v>500000</v>
      </c>
      <c r="N398" s="23">
        <v>0</v>
      </c>
      <c r="O398" s="23">
        <v>500000</v>
      </c>
      <c r="P398" s="24">
        <f t="shared" si="350"/>
        <v>1000000</v>
      </c>
      <c r="Q398" s="25">
        <v>500000</v>
      </c>
      <c r="R398" s="26">
        <v>63000</v>
      </c>
      <c r="S398" s="91">
        <f t="shared" si="351"/>
        <v>15.873015873015873</v>
      </c>
      <c r="T398" s="91">
        <f t="shared" si="352"/>
        <v>7.9365079365079367</v>
      </c>
      <c r="U398" s="27" t="s">
        <v>56</v>
      </c>
      <c r="V398" s="30" t="s">
        <v>59</v>
      </c>
      <c r="W398" s="31">
        <v>45785</v>
      </c>
      <c r="X398" s="22"/>
      <c r="Y398" s="19" t="s">
        <v>52</v>
      </c>
      <c r="Z398" s="19" t="s">
        <v>52</v>
      </c>
      <c r="AA398" s="19" t="s">
        <v>52</v>
      </c>
      <c r="AB398" s="28"/>
    </row>
    <row r="399" spans="1:33" ht="15" customHeight="1" x14ac:dyDescent="0.25">
      <c r="A399" s="33" t="s">
        <v>71</v>
      </c>
      <c r="B399" s="34"/>
      <c r="C399" s="34"/>
      <c r="D399" s="34"/>
      <c r="E399" s="34"/>
      <c r="F399" s="35"/>
      <c r="G399" s="35"/>
      <c r="H399" s="34"/>
      <c r="I399" s="34"/>
      <c r="J399" s="34"/>
      <c r="K399" s="34"/>
      <c r="L399" s="36"/>
      <c r="M399" s="36"/>
      <c r="N399" s="36"/>
      <c r="O399" s="36"/>
      <c r="P399" s="36"/>
      <c r="Q399" s="36">
        <f>SUM(Q394:Q398)</f>
        <v>3094000</v>
      </c>
      <c r="R399" s="36"/>
      <c r="S399" s="92"/>
      <c r="T399" s="93">
        <f>SUM(T394:T398)</f>
        <v>25.896507936507938</v>
      </c>
      <c r="U399" s="37"/>
      <c r="V399" s="38"/>
      <c r="W399" s="38"/>
      <c r="X399" s="38"/>
      <c r="Y399" s="34"/>
      <c r="Z399" s="34"/>
      <c r="AA399" s="39"/>
      <c r="AB399" s="29" t="s">
        <v>642</v>
      </c>
      <c r="AC399" s="81" t="s">
        <v>650</v>
      </c>
      <c r="AD399" s="83">
        <v>5000</v>
      </c>
      <c r="AF399" s="83">
        <v>0</v>
      </c>
      <c r="AG399" s="83">
        <f>SUM(AD399,AF399)</f>
        <v>5000</v>
      </c>
    </row>
    <row r="400" spans="1:33" s="29" customFormat="1" ht="15" customHeight="1" x14ac:dyDescent="0.25">
      <c r="A400" s="14">
        <v>2</v>
      </c>
      <c r="B400" s="15">
        <v>45792</v>
      </c>
      <c r="C400" s="15">
        <f>B400+8</f>
        <v>45800</v>
      </c>
      <c r="D400" s="14">
        <v>12770</v>
      </c>
      <c r="E400" s="16" t="s">
        <v>105</v>
      </c>
      <c r="F400" s="17" t="s">
        <v>106</v>
      </c>
      <c r="G400" s="17" t="s">
        <v>102</v>
      </c>
      <c r="H400" s="18" t="s">
        <v>542</v>
      </c>
      <c r="I400" s="19" t="s">
        <v>49</v>
      </c>
      <c r="J400" s="20">
        <v>45748</v>
      </c>
      <c r="K400" s="20">
        <v>45782</v>
      </c>
      <c r="L400" s="21">
        <v>1700000</v>
      </c>
      <c r="M400" s="22">
        <f>SUM(N400:O400)</f>
        <v>1594000</v>
      </c>
      <c r="N400" s="23">
        <v>1162000</v>
      </c>
      <c r="O400" s="23">
        <v>432000</v>
      </c>
      <c r="P400" s="24">
        <f>L400-N400</f>
        <v>538000</v>
      </c>
      <c r="Q400" s="25">
        <v>432000</v>
      </c>
      <c r="R400" s="26">
        <v>50000</v>
      </c>
      <c r="S400" s="91">
        <f t="shared" ref="S400:S405" si="353">IF(P400&gt;0,P400/$R400,0)</f>
        <v>10.76</v>
      </c>
      <c r="T400" s="91">
        <f t="shared" ref="T400:T405" si="354">IF(Q400&gt;0,Q400/$R400,0)</f>
        <v>8.64</v>
      </c>
      <c r="U400" s="27" t="s">
        <v>56</v>
      </c>
      <c r="V400" s="19" t="s">
        <v>51</v>
      </c>
      <c r="W400" s="20">
        <v>45772</v>
      </c>
      <c r="X400" s="22"/>
      <c r="Y400" s="19" t="s">
        <v>52</v>
      </c>
      <c r="Z400" s="19" t="s">
        <v>52</v>
      </c>
      <c r="AA400" s="19" t="s">
        <v>52</v>
      </c>
      <c r="AB400" s="28"/>
    </row>
    <row r="401" spans="1:33" s="29" customFormat="1" ht="15" customHeight="1" x14ac:dyDescent="0.25">
      <c r="A401" s="14">
        <v>1</v>
      </c>
      <c r="B401" s="15">
        <v>45792</v>
      </c>
      <c r="C401" s="15">
        <f>B401+8</f>
        <v>45800</v>
      </c>
      <c r="D401" s="14">
        <v>12874</v>
      </c>
      <c r="E401" s="16" t="s">
        <v>609</v>
      </c>
      <c r="F401" s="17" t="s">
        <v>610</v>
      </c>
      <c r="G401" s="17" t="s">
        <v>102</v>
      </c>
      <c r="H401" s="18" t="s">
        <v>133</v>
      </c>
      <c r="I401" s="19" t="s">
        <v>611</v>
      </c>
      <c r="J401" s="20">
        <v>45772</v>
      </c>
      <c r="K401" s="20">
        <v>45778</v>
      </c>
      <c r="L401" s="21">
        <v>25000</v>
      </c>
      <c r="M401" s="22">
        <f>SUM(N401:O401)</f>
        <v>20400</v>
      </c>
      <c r="N401" s="23">
        <v>14100</v>
      </c>
      <c r="O401" s="23">
        <v>6300</v>
      </c>
      <c r="P401" s="24">
        <f>L401-N401</f>
        <v>10900</v>
      </c>
      <c r="Q401" s="25">
        <v>6300</v>
      </c>
      <c r="R401" s="26">
        <v>15000</v>
      </c>
      <c r="S401" s="91">
        <f t="shared" si="353"/>
        <v>0.72666666666666668</v>
      </c>
      <c r="T401" s="91">
        <f t="shared" si="354"/>
        <v>0.42</v>
      </c>
      <c r="U401" s="27" t="s">
        <v>56</v>
      </c>
      <c r="V401" s="30" t="s">
        <v>68</v>
      </c>
      <c r="W401" s="31" t="s">
        <v>68</v>
      </c>
      <c r="X401" s="22"/>
      <c r="Y401" s="41" t="s">
        <v>82</v>
      </c>
      <c r="Z401" s="41" t="s">
        <v>82</v>
      </c>
      <c r="AA401" s="41" t="s">
        <v>82</v>
      </c>
      <c r="AB401" s="28"/>
    </row>
    <row r="402" spans="1:33" s="29" customFormat="1" ht="15" customHeight="1" x14ac:dyDescent="0.25">
      <c r="A402" s="14">
        <v>3</v>
      </c>
      <c r="B402" s="15">
        <v>45792</v>
      </c>
      <c r="C402" s="15">
        <f t="shared" ref="C402:C405" si="355">B402+8</f>
        <v>45800</v>
      </c>
      <c r="D402" s="14">
        <v>12788</v>
      </c>
      <c r="E402" s="16" t="s">
        <v>449</v>
      </c>
      <c r="F402" s="40" t="s">
        <v>450</v>
      </c>
      <c r="G402" s="17" t="s">
        <v>75</v>
      </c>
      <c r="H402" s="18" t="s">
        <v>57</v>
      </c>
      <c r="I402" s="19" t="s">
        <v>94</v>
      </c>
      <c r="J402" s="20">
        <v>45750</v>
      </c>
      <c r="K402" s="20" t="s">
        <v>65</v>
      </c>
      <c r="L402" s="21">
        <v>450000</v>
      </c>
      <c r="M402" s="22">
        <f t="shared" ref="M402:M405" si="356">SUM(N402:O402)</f>
        <v>378000</v>
      </c>
      <c r="N402" s="23">
        <v>345000</v>
      </c>
      <c r="O402" s="23">
        <v>33000</v>
      </c>
      <c r="P402" s="24">
        <f t="shared" ref="P402:P405" si="357">L402-N402</f>
        <v>105000</v>
      </c>
      <c r="Q402" s="25">
        <v>33000</v>
      </c>
      <c r="R402" s="26">
        <v>144000</v>
      </c>
      <c r="S402" s="91">
        <f t="shared" si="353"/>
        <v>0.72916666666666663</v>
      </c>
      <c r="T402" s="91">
        <f t="shared" si="354"/>
        <v>0.22916666666666666</v>
      </c>
      <c r="U402" s="27" t="s">
        <v>193</v>
      </c>
      <c r="V402" s="19" t="s">
        <v>51</v>
      </c>
      <c r="W402" s="20">
        <v>45769</v>
      </c>
      <c r="X402" s="22"/>
      <c r="Y402" s="19" t="s">
        <v>52</v>
      </c>
      <c r="Z402" s="19" t="s">
        <v>52</v>
      </c>
      <c r="AA402" s="19" t="s">
        <v>52</v>
      </c>
      <c r="AB402" s="28"/>
      <c r="AC402" s="90"/>
    </row>
    <row r="403" spans="1:33" s="29" customFormat="1" ht="15" customHeight="1" x14ac:dyDescent="0.25">
      <c r="A403" s="14">
        <v>4</v>
      </c>
      <c r="B403" s="15">
        <v>45792</v>
      </c>
      <c r="C403" s="15">
        <f>B403+8</f>
        <v>45800</v>
      </c>
      <c r="D403" s="14">
        <v>12823</v>
      </c>
      <c r="E403" s="16" t="s">
        <v>372</v>
      </c>
      <c r="F403" s="17" t="s">
        <v>478</v>
      </c>
      <c r="G403" s="17" t="s">
        <v>102</v>
      </c>
      <c r="H403" s="18" t="s">
        <v>57</v>
      </c>
      <c r="I403" s="19" t="s">
        <v>58</v>
      </c>
      <c r="J403" s="20">
        <v>45761</v>
      </c>
      <c r="K403" s="20">
        <v>45793</v>
      </c>
      <c r="L403" s="21">
        <v>500000</v>
      </c>
      <c r="M403" s="22">
        <f>SUM(N403:O403)</f>
        <v>493000</v>
      </c>
      <c r="N403" s="23">
        <v>0</v>
      </c>
      <c r="O403" s="23">
        <v>493000</v>
      </c>
      <c r="P403" s="24">
        <f>L403-N403</f>
        <v>500000</v>
      </c>
      <c r="Q403" s="25">
        <v>378000</v>
      </c>
      <c r="R403" s="26">
        <v>48000</v>
      </c>
      <c r="S403" s="91">
        <f t="shared" si="353"/>
        <v>10.416666666666666</v>
      </c>
      <c r="T403" s="91">
        <f t="shared" si="354"/>
        <v>7.875</v>
      </c>
      <c r="U403" s="27" t="s">
        <v>193</v>
      </c>
      <c r="V403" s="19" t="s">
        <v>51</v>
      </c>
      <c r="W403" s="20">
        <v>45780</v>
      </c>
      <c r="X403" s="22"/>
      <c r="Y403" s="19" t="s">
        <v>52</v>
      </c>
      <c r="Z403" s="19" t="s">
        <v>52</v>
      </c>
      <c r="AA403" s="19" t="s">
        <v>52</v>
      </c>
      <c r="AB403" s="28"/>
    </row>
    <row r="404" spans="1:33" s="29" customFormat="1" ht="15" customHeight="1" x14ac:dyDescent="0.25">
      <c r="A404" s="14">
        <v>5</v>
      </c>
      <c r="B404" s="15">
        <v>45792</v>
      </c>
      <c r="C404" s="15">
        <f>B404+8</f>
        <v>45800</v>
      </c>
      <c r="D404" s="14">
        <v>12849</v>
      </c>
      <c r="E404" s="16" t="s">
        <v>369</v>
      </c>
      <c r="F404" s="17" t="s">
        <v>598</v>
      </c>
      <c r="G404" s="17" t="s">
        <v>102</v>
      </c>
      <c r="H404" s="18" t="s">
        <v>57</v>
      </c>
      <c r="I404" s="19" t="s">
        <v>58</v>
      </c>
      <c r="J404" s="20">
        <v>45769</v>
      </c>
      <c r="K404" s="20" t="s">
        <v>65</v>
      </c>
      <c r="L404" s="21">
        <v>1000000</v>
      </c>
      <c r="M404" s="22">
        <f>SUM(N404:O404)</f>
        <v>944000</v>
      </c>
      <c r="N404" s="23">
        <v>750000</v>
      </c>
      <c r="O404" s="23">
        <v>194000</v>
      </c>
      <c r="P404" s="24">
        <f>L404-N404</f>
        <v>250000</v>
      </c>
      <c r="Q404" s="25">
        <v>194000</v>
      </c>
      <c r="R404" s="26">
        <v>50000</v>
      </c>
      <c r="S404" s="91">
        <f t="shared" si="353"/>
        <v>5</v>
      </c>
      <c r="T404" s="91">
        <f t="shared" si="354"/>
        <v>3.88</v>
      </c>
      <c r="U404" s="27" t="s">
        <v>193</v>
      </c>
      <c r="V404" s="30" t="s">
        <v>59</v>
      </c>
      <c r="W404" s="31">
        <v>45784</v>
      </c>
      <c r="X404" s="22"/>
      <c r="Y404" s="19" t="s">
        <v>52</v>
      </c>
      <c r="Z404" s="19" t="s">
        <v>52</v>
      </c>
      <c r="AA404" s="19" t="s">
        <v>52</v>
      </c>
      <c r="AB404" s="28"/>
    </row>
    <row r="405" spans="1:33" s="29" customFormat="1" ht="15" customHeight="1" x14ac:dyDescent="0.25">
      <c r="A405" s="14">
        <v>5</v>
      </c>
      <c r="B405" s="15">
        <v>45792</v>
      </c>
      <c r="C405" s="15">
        <f t="shared" si="355"/>
        <v>45800</v>
      </c>
      <c r="D405" s="14">
        <v>12860</v>
      </c>
      <c r="E405" s="16" t="s">
        <v>436</v>
      </c>
      <c r="F405" s="40" t="s">
        <v>437</v>
      </c>
      <c r="G405" s="17" t="s">
        <v>75</v>
      </c>
      <c r="H405" s="18" t="s">
        <v>57</v>
      </c>
      <c r="I405" s="19" t="s">
        <v>94</v>
      </c>
      <c r="J405" s="20">
        <v>45770</v>
      </c>
      <c r="K405" s="20">
        <v>45790</v>
      </c>
      <c r="L405" s="21">
        <v>500000</v>
      </c>
      <c r="M405" s="22">
        <f t="shared" si="356"/>
        <v>555000</v>
      </c>
      <c r="N405" s="23">
        <v>150000</v>
      </c>
      <c r="O405" s="23">
        <v>405000</v>
      </c>
      <c r="P405" s="24">
        <f t="shared" si="357"/>
        <v>350000</v>
      </c>
      <c r="Q405" s="25">
        <v>405000</v>
      </c>
      <c r="R405" s="26">
        <v>150000</v>
      </c>
      <c r="S405" s="91">
        <f t="shared" si="353"/>
        <v>2.3333333333333335</v>
      </c>
      <c r="T405" s="91">
        <f t="shared" si="354"/>
        <v>2.7</v>
      </c>
      <c r="U405" s="27" t="s">
        <v>193</v>
      </c>
      <c r="V405" s="30" t="s">
        <v>59</v>
      </c>
      <c r="W405" s="31">
        <v>45789</v>
      </c>
      <c r="X405" s="22"/>
      <c r="Y405" s="19" t="s">
        <v>52</v>
      </c>
      <c r="Z405" s="19" t="s">
        <v>52</v>
      </c>
      <c r="AA405" s="19" t="s">
        <v>52</v>
      </c>
      <c r="AB405" s="28"/>
      <c r="AC405" s="90"/>
    </row>
    <row r="406" spans="1:33" ht="15" customHeight="1" x14ac:dyDescent="0.25">
      <c r="A406" s="33" t="s">
        <v>71</v>
      </c>
      <c r="B406" s="34"/>
      <c r="C406" s="34"/>
      <c r="D406" s="34"/>
      <c r="E406" s="34"/>
      <c r="F406" s="35"/>
      <c r="G406" s="35"/>
      <c r="H406" s="34"/>
      <c r="I406" s="34"/>
      <c r="J406" s="34"/>
      <c r="K406" s="34"/>
      <c r="L406" s="36"/>
      <c r="M406" s="36"/>
      <c r="N406" s="36"/>
      <c r="O406" s="36"/>
      <c r="P406" s="36"/>
      <c r="Q406" s="36">
        <f>SUM(Q400:Q405)</f>
        <v>1448300</v>
      </c>
      <c r="R406" s="36"/>
      <c r="S406" s="92"/>
      <c r="T406" s="93">
        <f>SUM(T400:T405)</f>
        <v>23.744166666666665</v>
      </c>
      <c r="U406" s="37"/>
      <c r="V406" s="38"/>
      <c r="W406" s="38"/>
      <c r="X406" s="38"/>
      <c r="Y406" s="34"/>
      <c r="Z406" s="34"/>
      <c r="AA406" s="39"/>
      <c r="AB406" s="29" t="s">
        <v>647</v>
      </c>
      <c r="AC406" s="81" t="s">
        <v>651</v>
      </c>
      <c r="AD406" s="83">
        <v>5000</v>
      </c>
      <c r="AF406" s="83">
        <v>0</v>
      </c>
      <c r="AG406" s="83">
        <f>SUM(AD406,AF406)</f>
        <v>5000</v>
      </c>
    </row>
    <row r="407" spans="1:33" s="29" customFormat="1" ht="15" customHeight="1" x14ac:dyDescent="0.25">
      <c r="A407" s="14">
        <v>15</v>
      </c>
      <c r="B407" s="15">
        <v>45793</v>
      </c>
      <c r="C407" s="15">
        <f>B407+8</f>
        <v>45801</v>
      </c>
      <c r="D407" s="14">
        <v>12891</v>
      </c>
      <c r="E407" s="16" t="s">
        <v>103</v>
      </c>
      <c r="F407" s="17" t="s">
        <v>606</v>
      </c>
      <c r="G407" s="17" t="s">
        <v>102</v>
      </c>
      <c r="H407" s="18" t="s">
        <v>542</v>
      </c>
      <c r="I407" s="19" t="s">
        <v>104</v>
      </c>
      <c r="J407" s="20">
        <v>45771</v>
      </c>
      <c r="K407" s="20">
        <v>45821</v>
      </c>
      <c r="L407" s="21">
        <v>1000000</v>
      </c>
      <c r="M407" s="22">
        <f>SUM(N407:O407)</f>
        <v>800000</v>
      </c>
      <c r="N407" s="23">
        <v>500000</v>
      </c>
      <c r="O407" s="23">
        <v>300000</v>
      </c>
      <c r="P407" s="24">
        <f>L407-N407</f>
        <v>500000</v>
      </c>
      <c r="Q407" s="25">
        <v>300000</v>
      </c>
      <c r="R407" s="26">
        <v>63000</v>
      </c>
      <c r="S407" s="91">
        <f t="shared" ref="S407:S411" si="358">IF(P407&gt;0,P407/$R407,0)</f>
        <v>7.9365079365079367</v>
      </c>
      <c r="T407" s="91">
        <f t="shared" ref="T407:T411" si="359">IF(Q407&gt;0,Q407/$R407,0)</f>
        <v>4.7619047619047619</v>
      </c>
      <c r="U407" s="27" t="s">
        <v>56</v>
      </c>
      <c r="V407" s="30" t="s">
        <v>59</v>
      </c>
      <c r="W407" s="31">
        <v>45785</v>
      </c>
      <c r="X407" s="22"/>
      <c r="Y407" s="19" t="s">
        <v>52</v>
      </c>
      <c r="Z407" s="19" t="s">
        <v>52</v>
      </c>
      <c r="AA407" s="19" t="s">
        <v>52</v>
      </c>
      <c r="AB407" s="28"/>
    </row>
    <row r="408" spans="1:33" s="29" customFormat="1" ht="15" customHeight="1" x14ac:dyDescent="0.25">
      <c r="A408" s="14">
        <v>3</v>
      </c>
      <c r="B408" s="15">
        <v>45793</v>
      </c>
      <c r="C408" s="15">
        <f>B408+8</f>
        <v>45801</v>
      </c>
      <c r="D408" s="14">
        <v>12804</v>
      </c>
      <c r="E408" s="16" t="s">
        <v>284</v>
      </c>
      <c r="F408" s="17" t="s">
        <v>285</v>
      </c>
      <c r="G408" s="17" t="s">
        <v>102</v>
      </c>
      <c r="H408" s="18" t="s">
        <v>542</v>
      </c>
      <c r="I408" s="19" t="s">
        <v>384</v>
      </c>
      <c r="J408" s="20">
        <v>45756</v>
      </c>
      <c r="K408" s="20">
        <v>45797</v>
      </c>
      <c r="L408" s="21">
        <v>150000</v>
      </c>
      <c r="M408" s="22">
        <f>SUM(N408:O408)</f>
        <v>194000</v>
      </c>
      <c r="N408" s="23">
        <v>100000</v>
      </c>
      <c r="O408" s="23">
        <v>94000</v>
      </c>
      <c r="P408" s="24">
        <f>L408-N408</f>
        <v>50000</v>
      </c>
      <c r="Q408" s="25">
        <v>94000</v>
      </c>
      <c r="R408" s="26">
        <v>50000</v>
      </c>
      <c r="S408" s="91">
        <f t="shared" si="358"/>
        <v>1</v>
      </c>
      <c r="T408" s="91">
        <f t="shared" si="359"/>
        <v>1.88</v>
      </c>
      <c r="U408" s="27" t="s">
        <v>193</v>
      </c>
      <c r="V408" s="30" t="s">
        <v>59</v>
      </c>
      <c r="W408" s="31">
        <v>45784</v>
      </c>
      <c r="X408" s="22"/>
      <c r="Y408" s="19" t="s">
        <v>52</v>
      </c>
      <c r="Z408" s="19" t="s">
        <v>52</v>
      </c>
      <c r="AA408" s="19" t="s">
        <v>52</v>
      </c>
      <c r="AB408" s="28"/>
    </row>
    <row r="409" spans="1:33" s="29" customFormat="1" ht="15" customHeight="1" x14ac:dyDescent="0.25">
      <c r="A409" s="14">
        <v>13</v>
      </c>
      <c r="B409" s="15">
        <v>45793</v>
      </c>
      <c r="C409" s="15">
        <f t="shared" ref="C409:C410" si="360">B409+8</f>
        <v>45801</v>
      </c>
      <c r="D409" s="14">
        <v>12877</v>
      </c>
      <c r="E409" s="16" t="s">
        <v>232</v>
      </c>
      <c r="F409" s="40" t="s">
        <v>233</v>
      </c>
      <c r="G409" s="17" t="s">
        <v>75</v>
      </c>
      <c r="H409" s="18" t="s">
        <v>542</v>
      </c>
      <c r="I409" s="19" t="s">
        <v>104</v>
      </c>
      <c r="J409" s="20">
        <v>45771</v>
      </c>
      <c r="K409" s="20">
        <v>45806</v>
      </c>
      <c r="L409" s="21">
        <v>3000000</v>
      </c>
      <c r="M409" s="22">
        <f t="shared" ref="M409:M410" si="361">SUM(N409:O409)</f>
        <v>1400000</v>
      </c>
      <c r="N409" s="23">
        <v>0</v>
      </c>
      <c r="O409" s="23">
        <v>1400000</v>
      </c>
      <c r="P409" s="24">
        <f t="shared" ref="P409:P410" si="362">L409-N409</f>
        <v>3000000</v>
      </c>
      <c r="Q409" s="25">
        <v>1400000</v>
      </c>
      <c r="R409" s="26">
        <v>150000</v>
      </c>
      <c r="S409" s="91">
        <f t="shared" si="358"/>
        <v>20</v>
      </c>
      <c r="T409" s="91">
        <f t="shared" si="359"/>
        <v>9.3333333333333339</v>
      </c>
      <c r="U409" s="27" t="s">
        <v>193</v>
      </c>
      <c r="V409" s="30" t="s">
        <v>59</v>
      </c>
      <c r="W409" s="31">
        <v>45794</v>
      </c>
      <c r="X409" s="22"/>
      <c r="Y409" s="19" t="s">
        <v>52</v>
      </c>
      <c r="Z409" s="19" t="s">
        <v>52</v>
      </c>
      <c r="AA409" s="19" t="s">
        <v>52</v>
      </c>
      <c r="AB409" s="28"/>
      <c r="AC409" s="90"/>
    </row>
    <row r="410" spans="1:33" s="29" customFormat="1" ht="15" customHeight="1" x14ac:dyDescent="0.25">
      <c r="A410" s="14">
        <v>6</v>
      </c>
      <c r="B410" s="15">
        <v>45793</v>
      </c>
      <c r="C410" s="15">
        <f t="shared" si="360"/>
        <v>45801</v>
      </c>
      <c r="D410" s="14">
        <v>12875</v>
      </c>
      <c r="E410" s="16" t="s">
        <v>297</v>
      </c>
      <c r="F410" s="17" t="s">
        <v>298</v>
      </c>
      <c r="G410" s="17" t="s">
        <v>102</v>
      </c>
      <c r="H410" s="18" t="s">
        <v>57</v>
      </c>
      <c r="I410" s="19" t="s">
        <v>94</v>
      </c>
      <c r="J410" s="20">
        <v>45771</v>
      </c>
      <c r="K410" s="20">
        <v>45799</v>
      </c>
      <c r="L410" s="21">
        <v>810000</v>
      </c>
      <c r="M410" s="22">
        <f t="shared" si="361"/>
        <v>210000</v>
      </c>
      <c r="N410" s="23">
        <v>0</v>
      </c>
      <c r="O410" s="23">
        <v>210000</v>
      </c>
      <c r="P410" s="24">
        <f t="shared" si="362"/>
        <v>810000</v>
      </c>
      <c r="Q410" s="25">
        <v>210000</v>
      </c>
      <c r="R410" s="26">
        <v>30000</v>
      </c>
      <c r="S410" s="91">
        <f t="shared" si="358"/>
        <v>27</v>
      </c>
      <c r="T410" s="91">
        <f t="shared" si="359"/>
        <v>7</v>
      </c>
      <c r="U410" s="27" t="s">
        <v>193</v>
      </c>
      <c r="V410" s="30" t="s">
        <v>59</v>
      </c>
      <c r="W410" s="31">
        <v>45785</v>
      </c>
      <c r="X410" s="22"/>
      <c r="Y410" s="19" t="s">
        <v>52</v>
      </c>
      <c r="Z410" s="19" t="s">
        <v>52</v>
      </c>
      <c r="AA410" s="19" t="s">
        <v>52</v>
      </c>
      <c r="AB410" s="28"/>
    </row>
    <row r="411" spans="1:33" s="29" customFormat="1" ht="15" customHeight="1" x14ac:dyDescent="0.25">
      <c r="A411" s="14">
        <v>7</v>
      </c>
      <c r="B411" s="15">
        <v>45793</v>
      </c>
      <c r="C411" s="15">
        <f>B411+8</f>
        <v>45801</v>
      </c>
      <c r="D411" s="14">
        <v>12799</v>
      </c>
      <c r="E411" s="16" t="s">
        <v>238</v>
      </c>
      <c r="F411" s="40" t="s">
        <v>239</v>
      </c>
      <c r="G411" s="17" t="s">
        <v>75</v>
      </c>
      <c r="H411" s="18" t="s">
        <v>57</v>
      </c>
      <c r="I411" s="19" t="s">
        <v>94</v>
      </c>
      <c r="J411" s="20">
        <v>45755</v>
      </c>
      <c r="K411" s="20">
        <v>45782</v>
      </c>
      <c r="L411" s="21">
        <v>300000</v>
      </c>
      <c r="M411" s="22">
        <f>SUM(N411:O411)</f>
        <v>315000</v>
      </c>
      <c r="N411" s="23">
        <v>270000</v>
      </c>
      <c r="O411" s="23">
        <v>45000</v>
      </c>
      <c r="P411" s="24">
        <f>L411-N411</f>
        <v>30000</v>
      </c>
      <c r="Q411" s="25">
        <v>45000</v>
      </c>
      <c r="R411" s="26">
        <v>150000</v>
      </c>
      <c r="S411" s="91">
        <f t="shared" si="358"/>
        <v>0.2</v>
      </c>
      <c r="T411" s="91">
        <f t="shared" si="359"/>
        <v>0.3</v>
      </c>
      <c r="U411" s="27" t="s">
        <v>193</v>
      </c>
      <c r="V411" s="19" t="s">
        <v>51</v>
      </c>
      <c r="W411" s="20">
        <v>45772</v>
      </c>
      <c r="X411" s="22"/>
      <c r="Y411" s="19" t="s">
        <v>52</v>
      </c>
      <c r="Z411" s="19" t="s">
        <v>52</v>
      </c>
      <c r="AA411" s="19" t="s">
        <v>52</v>
      </c>
      <c r="AB411" s="28"/>
      <c r="AC411" s="90"/>
    </row>
    <row r="412" spans="1:33" ht="15" customHeight="1" x14ac:dyDescent="0.25">
      <c r="A412" s="33" t="s">
        <v>71</v>
      </c>
      <c r="B412" s="34"/>
      <c r="C412" s="34"/>
      <c r="D412" s="34"/>
      <c r="E412" s="34"/>
      <c r="F412" s="35"/>
      <c r="G412" s="35"/>
      <c r="H412" s="34"/>
      <c r="I412" s="34"/>
      <c r="J412" s="34"/>
      <c r="K412" s="34"/>
      <c r="L412" s="36"/>
      <c r="M412" s="36"/>
      <c r="N412" s="36"/>
      <c r="O412" s="36"/>
      <c r="P412" s="36"/>
      <c r="Q412" s="36">
        <f>SUM(Q407:Q411)</f>
        <v>2049000</v>
      </c>
      <c r="R412" s="36"/>
      <c r="S412" s="92"/>
      <c r="T412" s="93">
        <f>SUM(T407:T411)</f>
        <v>23.275238095238098</v>
      </c>
      <c r="U412" s="37"/>
      <c r="V412" s="38"/>
      <c r="W412" s="38"/>
      <c r="X412" s="38"/>
      <c r="Y412" s="34"/>
      <c r="Z412" s="34"/>
      <c r="AA412" s="39"/>
      <c r="AB412" s="29" t="s">
        <v>648</v>
      </c>
      <c r="AC412" s="81" t="s">
        <v>652</v>
      </c>
      <c r="AD412" s="83">
        <v>5000</v>
      </c>
      <c r="AF412" s="83">
        <v>0</v>
      </c>
      <c r="AG412" s="83">
        <f>SUM(AD412,AF412)</f>
        <v>5000</v>
      </c>
    </row>
    <row r="413" spans="1:33" s="29" customFormat="1" ht="15" customHeight="1" x14ac:dyDescent="0.25">
      <c r="A413" s="14">
        <v>1</v>
      </c>
      <c r="B413" s="15">
        <v>45793</v>
      </c>
      <c r="C413" s="15">
        <f t="shared" ref="C413:C414" si="363">B413+8</f>
        <v>45801</v>
      </c>
      <c r="D413" s="14">
        <v>12813</v>
      </c>
      <c r="E413" s="16" t="s">
        <v>208</v>
      </c>
      <c r="F413" s="17" t="s">
        <v>209</v>
      </c>
      <c r="G413" s="17" t="s">
        <v>47</v>
      </c>
      <c r="H413" s="18" t="s">
        <v>542</v>
      </c>
      <c r="I413" s="19" t="s">
        <v>49</v>
      </c>
      <c r="J413" s="20">
        <v>45757</v>
      </c>
      <c r="K413" s="20">
        <v>45791</v>
      </c>
      <c r="L413" s="21">
        <v>150000</v>
      </c>
      <c r="M413" s="22">
        <f t="shared" ref="M413:M414" si="364">SUM(N413:O413)</f>
        <v>172000</v>
      </c>
      <c r="N413" s="23">
        <v>15000</v>
      </c>
      <c r="O413" s="23">
        <v>157000</v>
      </c>
      <c r="P413" s="24">
        <f t="shared" ref="P413:P414" si="365">L413-N413</f>
        <v>135000</v>
      </c>
      <c r="Q413" s="25">
        <v>157000</v>
      </c>
      <c r="R413" s="26">
        <v>50000</v>
      </c>
      <c r="S413" s="91">
        <f t="shared" ref="S413:S415" si="366">IF(P413&gt;0,P413/$R413,0)</f>
        <v>2.7</v>
      </c>
      <c r="T413" s="91">
        <f t="shared" ref="T413:T415" si="367">IF(Q413&gt;0,Q413/$R413,0)</f>
        <v>3.14</v>
      </c>
      <c r="U413" s="27" t="s">
        <v>193</v>
      </c>
      <c r="V413" s="19" t="s">
        <v>51</v>
      </c>
      <c r="W413" s="20">
        <v>45780</v>
      </c>
      <c r="X413" s="22"/>
      <c r="Y413" s="19" t="s">
        <v>52</v>
      </c>
      <c r="Z413" s="19" t="s">
        <v>52</v>
      </c>
      <c r="AA413" s="19" t="s">
        <v>52</v>
      </c>
      <c r="AB413" s="42"/>
    </row>
    <row r="414" spans="1:33" s="29" customFormat="1" ht="15" customHeight="1" x14ac:dyDescent="0.25">
      <c r="A414" s="14">
        <v>2</v>
      </c>
      <c r="B414" s="15">
        <v>45793</v>
      </c>
      <c r="C414" s="15">
        <f t="shared" si="363"/>
        <v>45801</v>
      </c>
      <c r="D414" s="14">
        <v>12833</v>
      </c>
      <c r="E414" s="16" t="s">
        <v>587</v>
      </c>
      <c r="F414" s="17" t="s">
        <v>588</v>
      </c>
      <c r="G414" s="17" t="s">
        <v>47</v>
      </c>
      <c r="H414" s="18" t="s">
        <v>57</v>
      </c>
      <c r="I414" s="19" t="s">
        <v>81</v>
      </c>
      <c r="J414" s="20">
        <v>45763</v>
      </c>
      <c r="K414" s="20">
        <v>45797</v>
      </c>
      <c r="L414" s="21">
        <v>100000</v>
      </c>
      <c r="M414" s="22">
        <f t="shared" si="364"/>
        <v>90000</v>
      </c>
      <c r="N414" s="23">
        <v>0</v>
      </c>
      <c r="O414" s="23">
        <v>90000</v>
      </c>
      <c r="P414" s="24">
        <f t="shared" si="365"/>
        <v>100000</v>
      </c>
      <c r="Q414" s="25">
        <v>90000</v>
      </c>
      <c r="R414" s="26">
        <v>25000</v>
      </c>
      <c r="S414" s="91">
        <f t="shared" si="366"/>
        <v>4</v>
      </c>
      <c r="T414" s="91">
        <f t="shared" si="367"/>
        <v>3.6</v>
      </c>
      <c r="U414" s="27" t="s">
        <v>193</v>
      </c>
      <c r="V414" s="30" t="s">
        <v>59</v>
      </c>
      <c r="W414" s="31">
        <v>45784</v>
      </c>
      <c r="X414" s="22"/>
      <c r="Y414" s="19" t="s">
        <v>52</v>
      </c>
      <c r="Z414" s="19" t="s">
        <v>52</v>
      </c>
      <c r="AA414" s="19" t="s">
        <v>52</v>
      </c>
      <c r="AB414" s="42"/>
    </row>
    <row r="415" spans="1:33" s="29" customFormat="1" ht="15" customHeight="1" x14ac:dyDescent="0.25">
      <c r="A415" s="14">
        <v>10</v>
      </c>
      <c r="B415" s="15">
        <v>45793</v>
      </c>
      <c r="C415" s="15">
        <f>B415+8</f>
        <v>45801</v>
      </c>
      <c r="D415" s="14">
        <v>12837</v>
      </c>
      <c r="E415" s="16" t="s">
        <v>392</v>
      </c>
      <c r="F415" s="40" t="s">
        <v>393</v>
      </c>
      <c r="G415" s="17" t="s">
        <v>75</v>
      </c>
      <c r="H415" s="18" t="s">
        <v>57</v>
      </c>
      <c r="I415" s="19" t="s">
        <v>64</v>
      </c>
      <c r="J415" s="20">
        <v>45765</v>
      </c>
      <c r="K415" s="20">
        <v>45805</v>
      </c>
      <c r="L415" s="21">
        <v>2500000</v>
      </c>
      <c r="M415" s="22">
        <f t="shared" ref="M415" si="368">SUM(N415:O415)</f>
        <v>1050000</v>
      </c>
      <c r="N415" s="23">
        <v>0</v>
      </c>
      <c r="O415" s="23">
        <v>1050000</v>
      </c>
      <c r="P415" s="24">
        <f>L415-N415</f>
        <v>2500000</v>
      </c>
      <c r="Q415" s="25">
        <v>1050000</v>
      </c>
      <c r="R415" s="26">
        <v>150000</v>
      </c>
      <c r="S415" s="91">
        <f t="shared" si="366"/>
        <v>16.666666666666668</v>
      </c>
      <c r="T415" s="91">
        <f t="shared" si="367"/>
        <v>7</v>
      </c>
      <c r="U415" s="27" t="s">
        <v>193</v>
      </c>
      <c r="V415" s="30" t="s">
        <v>59</v>
      </c>
      <c r="W415" s="31">
        <v>45786</v>
      </c>
      <c r="X415" s="22"/>
      <c r="Y415" s="19" t="s">
        <v>52</v>
      </c>
      <c r="Z415" s="19" t="s">
        <v>52</v>
      </c>
      <c r="AA415" s="19" t="s">
        <v>52</v>
      </c>
      <c r="AB415" s="28"/>
      <c r="AC415" s="90"/>
    </row>
    <row r="416" spans="1:33" ht="15" customHeight="1" x14ac:dyDescent="0.25">
      <c r="A416" s="33" t="s">
        <v>71</v>
      </c>
      <c r="B416" s="34"/>
      <c r="C416" s="34"/>
      <c r="D416" s="34"/>
      <c r="E416" s="34"/>
      <c r="F416" s="35"/>
      <c r="G416" s="35"/>
      <c r="H416" s="34"/>
      <c r="I416" s="34"/>
      <c r="J416" s="34"/>
      <c r="K416" s="34"/>
      <c r="L416" s="36"/>
      <c r="M416" s="36"/>
      <c r="N416" s="36"/>
      <c r="O416" s="36"/>
      <c r="P416" s="36"/>
      <c r="Q416" s="36">
        <f>SUM(Q413:Q415)</f>
        <v>1297000</v>
      </c>
      <c r="R416" s="36"/>
      <c r="S416" s="92"/>
      <c r="T416" s="93">
        <f>SUM(T413:T415)</f>
        <v>13.74</v>
      </c>
      <c r="U416" s="37"/>
      <c r="V416" s="38"/>
      <c r="W416" s="38"/>
      <c r="X416" s="38"/>
      <c r="Y416" s="34"/>
      <c r="Z416" s="34"/>
      <c r="AA416" s="39"/>
      <c r="AB416" s="29" t="s">
        <v>649</v>
      </c>
      <c r="AC416" s="81" t="s">
        <v>653</v>
      </c>
      <c r="AD416" s="83">
        <v>3125</v>
      </c>
      <c r="AF416" s="83">
        <v>0</v>
      </c>
      <c r="AG416" s="83">
        <f>SUM(AD416,AF416)</f>
        <v>3125</v>
      </c>
    </row>
    <row r="417" spans="1:33" s="29" customFormat="1" ht="15" customHeight="1" x14ac:dyDescent="0.25">
      <c r="A417" s="14">
        <v>2</v>
      </c>
      <c r="B417" s="15">
        <v>45797</v>
      </c>
      <c r="C417" s="15">
        <f t="shared" ref="C417:C419" si="369">B417+8</f>
        <v>45805</v>
      </c>
      <c r="D417" s="14">
        <v>12727</v>
      </c>
      <c r="E417" s="16" t="s">
        <v>83</v>
      </c>
      <c r="F417" s="40" t="s">
        <v>84</v>
      </c>
      <c r="G417" s="17" t="s">
        <v>75</v>
      </c>
      <c r="H417" s="18" t="s">
        <v>54</v>
      </c>
      <c r="I417" s="19" t="s">
        <v>421</v>
      </c>
      <c r="J417" s="20">
        <v>45737</v>
      </c>
      <c r="K417" s="20">
        <v>45779</v>
      </c>
      <c r="L417" s="21">
        <v>500000</v>
      </c>
      <c r="M417" s="22">
        <f t="shared" ref="M417:M422" si="370">SUM(N417:O417)</f>
        <v>207000</v>
      </c>
      <c r="N417" s="23">
        <v>200000</v>
      </c>
      <c r="O417" s="23">
        <v>7000</v>
      </c>
      <c r="P417" s="24">
        <f t="shared" ref="P417:P419" si="371">L417-N417</f>
        <v>300000</v>
      </c>
      <c r="Q417" s="25">
        <v>7000</v>
      </c>
      <c r="R417" s="26">
        <v>84000</v>
      </c>
      <c r="S417" s="91">
        <f t="shared" ref="S417:S422" si="372">IF(P417&gt;0,P417/$R417,0)</f>
        <v>3.5714285714285716</v>
      </c>
      <c r="T417" s="91">
        <f t="shared" ref="T417:T422" si="373">IF(Q417&gt;0,Q417/$R417,0)</f>
        <v>8.3333333333333329E-2</v>
      </c>
      <c r="U417" s="27" t="s">
        <v>56</v>
      </c>
      <c r="V417" s="19" t="s">
        <v>51</v>
      </c>
      <c r="W417" s="20">
        <v>45772</v>
      </c>
      <c r="X417" s="22"/>
      <c r="Y417" s="19" t="s">
        <v>52</v>
      </c>
      <c r="Z417" s="19" t="s">
        <v>52</v>
      </c>
      <c r="AA417" s="19" t="s">
        <v>52</v>
      </c>
      <c r="AB417" s="28"/>
      <c r="AC417" s="90"/>
    </row>
    <row r="418" spans="1:33" s="29" customFormat="1" ht="15" customHeight="1" x14ac:dyDescent="0.25">
      <c r="A418" s="14">
        <v>16</v>
      </c>
      <c r="B418" s="15">
        <v>45797</v>
      </c>
      <c r="C418" s="15">
        <f>B418+8</f>
        <v>45805</v>
      </c>
      <c r="D418" s="14">
        <v>12891</v>
      </c>
      <c r="E418" s="16" t="s">
        <v>103</v>
      </c>
      <c r="F418" s="17" t="s">
        <v>606</v>
      </c>
      <c r="G418" s="17" t="s">
        <v>102</v>
      </c>
      <c r="H418" s="18" t="s">
        <v>542</v>
      </c>
      <c r="I418" s="19" t="s">
        <v>104</v>
      </c>
      <c r="J418" s="20">
        <v>45771</v>
      </c>
      <c r="K418" s="20">
        <v>45821</v>
      </c>
      <c r="L418" s="21">
        <v>1000000</v>
      </c>
      <c r="M418" s="22">
        <f t="shared" si="370"/>
        <v>800000</v>
      </c>
      <c r="N418" s="23">
        <v>500000</v>
      </c>
      <c r="O418" s="23">
        <v>300000</v>
      </c>
      <c r="P418" s="24">
        <f>L418-N418</f>
        <v>500000</v>
      </c>
      <c r="Q418" s="25">
        <v>245000</v>
      </c>
      <c r="R418" s="26">
        <v>63000</v>
      </c>
      <c r="S418" s="91">
        <f t="shared" si="372"/>
        <v>7.9365079365079367</v>
      </c>
      <c r="T418" s="91">
        <f t="shared" si="373"/>
        <v>3.8888888888888888</v>
      </c>
      <c r="U418" s="27" t="s">
        <v>56</v>
      </c>
      <c r="V418" s="30" t="s">
        <v>59</v>
      </c>
      <c r="W418" s="31">
        <v>45785</v>
      </c>
      <c r="X418" s="22"/>
      <c r="Y418" s="19" t="s">
        <v>52</v>
      </c>
      <c r="Z418" s="19" t="s">
        <v>52</v>
      </c>
      <c r="AA418" s="19" t="s">
        <v>52</v>
      </c>
      <c r="AB418" s="28"/>
    </row>
    <row r="419" spans="1:33" s="29" customFormat="1" ht="15" customHeight="1" x14ac:dyDescent="0.25">
      <c r="A419" s="14">
        <v>6</v>
      </c>
      <c r="B419" s="15">
        <v>45797</v>
      </c>
      <c r="C419" s="15">
        <f t="shared" si="369"/>
        <v>45805</v>
      </c>
      <c r="D419" s="14">
        <v>12899</v>
      </c>
      <c r="E419" s="16" t="s">
        <v>376</v>
      </c>
      <c r="F419" s="40" t="s">
        <v>371</v>
      </c>
      <c r="G419" s="17" t="s">
        <v>75</v>
      </c>
      <c r="H419" s="18" t="s">
        <v>78</v>
      </c>
      <c r="I419" s="19" t="s">
        <v>79</v>
      </c>
      <c r="J419" s="20">
        <v>45776</v>
      </c>
      <c r="K419" s="20">
        <v>45800</v>
      </c>
      <c r="L419" s="21">
        <v>450000</v>
      </c>
      <c r="M419" s="22">
        <f t="shared" si="370"/>
        <v>210000</v>
      </c>
      <c r="N419" s="23">
        <v>0</v>
      </c>
      <c r="O419" s="23">
        <v>210000</v>
      </c>
      <c r="P419" s="24">
        <f t="shared" si="371"/>
        <v>450000</v>
      </c>
      <c r="Q419" s="25">
        <v>210000</v>
      </c>
      <c r="R419" s="26">
        <v>96000</v>
      </c>
      <c r="S419" s="91">
        <f t="shared" si="372"/>
        <v>4.6875</v>
      </c>
      <c r="T419" s="91">
        <f t="shared" si="373"/>
        <v>2.1875</v>
      </c>
      <c r="U419" s="27" t="s">
        <v>56</v>
      </c>
      <c r="V419" s="30" t="s">
        <v>59</v>
      </c>
      <c r="W419" s="31">
        <v>45796</v>
      </c>
      <c r="X419" s="22"/>
      <c r="Y419" s="19" t="s">
        <v>52</v>
      </c>
      <c r="Z419" s="19" t="s">
        <v>52</v>
      </c>
      <c r="AA419" s="19" t="s">
        <v>52</v>
      </c>
      <c r="AB419" s="28"/>
      <c r="AC419" s="90"/>
    </row>
    <row r="420" spans="1:33" s="29" customFormat="1" ht="15" customHeight="1" x14ac:dyDescent="0.25">
      <c r="A420" s="14">
        <v>10</v>
      </c>
      <c r="B420" s="15">
        <v>45797</v>
      </c>
      <c r="C420" s="15">
        <f>B420+8</f>
        <v>45805</v>
      </c>
      <c r="D420" s="14">
        <v>12837</v>
      </c>
      <c r="E420" s="16" t="s">
        <v>392</v>
      </c>
      <c r="F420" s="40" t="s">
        <v>393</v>
      </c>
      <c r="G420" s="17" t="s">
        <v>75</v>
      </c>
      <c r="H420" s="18" t="s">
        <v>57</v>
      </c>
      <c r="I420" s="19" t="s">
        <v>64</v>
      </c>
      <c r="J420" s="20">
        <v>45765</v>
      </c>
      <c r="K420" s="20">
        <v>45805</v>
      </c>
      <c r="L420" s="21">
        <v>2500000</v>
      </c>
      <c r="M420" s="22">
        <f t="shared" si="370"/>
        <v>1743000</v>
      </c>
      <c r="N420" s="23">
        <v>0</v>
      </c>
      <c r="O420" s="23">
        <v>1743000</v>
      </c>
      <c r="P420" s="24">
        <f>L420-N420</f>
        <v>2500000</v>
      </c>
      <c r="Q420" s="25">
        <v>1743000</v>
      </c>
      <c r="R420" s="26">
        <v>150000</v>
      </c>
      <c r="S420" s="91">
        <f t="shared" si="372"/>
        <v>16.666666666666668</v>
      </c>
      <c r="T420" s="91">
        <f t="shared" si="373"/>
        <v>11.62</v>
      </c>
      <c r="U420" s="27" t="s">
        <v>193</v>
      </c>
      <c r="V420" s="30" t="s">
        <v>59</v>
      </c>
      <c r="W420" s="31">
        <v>45786</v>
      </c>
      <c r="X420" s="22"/>
      <c r="Y420" s="19" t="s">
        <v>52</v>
      </c>
      <c r="Z420" s="19" t="s">
        <v>52</v>
      </c>
      <c r="AA420" s="19" t="s">
        <v>52</v>
      </c>
      <c r="AB420" s="28"/>
      <c r="AC420" s="90"/>
    </row>
    <row r="421" spans="1:33" s="29" customFormat="1" ht="15" customHeight="1" x14ac:dyDescent="0.25">
      <c r="A421" s="14">
        <v>14</v>
      </c>
      <c r="B421" s="15">
        <v>45797</v>
      </c>
      <c r="C421" s="15">
        <f>B421+8</f>
        <v>45805</v>
      </c>
      <c r="D421" s="14">
        <v>12851</v>
      </c>
      <c r="E421" s="16" t="s">
        <v>130</v>
      </c>
      <c r="F421" s="17" t="s">
        <v>250</v>
      </c>
      <c r="G421" s="17" t="s">
        <v>102</v>
      </c>
      <c r="H421" s="18" t="s">
        <v>542</v>
      </c>
      <c r="I421" s="19" t="s">
        <v>70</v>
      </c>
      <c r="J421" s="20">
        <v>45769</v>
      </c>
      <c r="K421" s="20">
        <v>45821</v>
      </c>
      <c r="L421" s="21">
        <v>250000</v>
      </c>
      <c r="M421" s="22">
        <f t="shared" si="370"/>
        <v>267000</v>
      </c>
      <c r="N421" s="23">
        <v>50000</v>
      </c>
      <c r="O421" s="23">
        <v>217000</v>
      </c>
      <c r="P421" s="24">
        <f>L421-N421</f>
        <v>200000</v>
      </c>
      <c r="Q421" s="25">
        <v>215000</v>
      </c>
      <c r="R421" s="26">
        <v>50000</v>
      </c>
      <c r="S421" s="91">
        <f t="shared" si="372"/>
        <v>4</v>
      </c>
      <c r="T421" s="91">
        <f t="shared" si="373"/>
        <v>4.3</v>
      </c>
      <c r="U421" s="27" t="s">
        <v>193</v>
      </c>
      <c r="V421" s="30" t="s">
        <v>59</v>
      </c>
      <c r="W421" s="31">
        <v>45785</v>
      </c>
      <c r="X421" s="22"/>
      <c r="Y421" s="19" t="s">
        <v>52</v>
      </c>
      <c r="Z421" s="19" t="s">
        <v>52</v>
      </c>
      <c r="AA421" s="19" t="s">
        <v>52</v>
      </c>
      <c r="AB421" s="28"/>
    </row>
    <row r="422" spans="1:33" s="29" customFormat="1" ht="15" customHeight="1" x14ac:dyDescent="0.25">
      <c r="A422" s="14">
        <v>12</v>
      </c>
      <c r="B422" s="15">
        <v>45797</v>
      </c>
      <c r="C422" s="15">
        <f>B422+8</f>
        <v>45805</v>
      </c>
      <c r="D422" s="14">
        <v>12868</v>
      </c>
      <c r="E422" s="16" t="s">
        <v>427</v>
      </c>
      <c r="F422" s="40" t="s">
        <v>561</v>
      </c>
      <c r="G422" s="17" t="s">
        <v>75</v>
      </c>
      <c r="H422" s="18" t="s">
        <v>57</v>
      </c>
      <c r="I422" s="19" t="s">
        <v>58</v>
      </c>
      <c r="J422" s="20">
        <v>45771</v>
      </c>
      <c r="K422" s="20">
        <v>45805</v>
      </c>
      <c r="L422" s="21">
        <v>300000</v>
      </c>
      <c r="M422" s="22">
        <f t="shared" si="370"/>
        <v>252000</v>
      </c>
      <c r="N422" s="23">
        <v>0</v>
      </c>
      <c r="O422" s="23">
        <v>252000</v>
      </c>
      <c r="P422" s="24">
        <f>L422-N422</f>
        <v>300000</v>
      </c>
      <c r="Q422" s="25">
        <v>252000</v>
      </c>
      <c r="R422" s="26">
        <v>144000</v>
      </c>
      <c r="S422" s="91">
        <f t="shared" si="372"/>
        <v>2.0833333333333335</v>
      </c>
      <c r="T422" s="91">
        <f t="shared" si="373"/>
        <v>1.75</v>
      </c>
      <c r="U422" s="27" t="s">
        <v>193</v>
      </c>
      <c r="V422" s="30" t="s">
        <v>59</v>
      </c>
      <c r="W422" s="31">
        <v>45794</v>
      </c>
      <c r="X422" s="22"/>
      <c r="Y422" s="19" t="s">
        <v>52</v>
      </c>
      <c r="Z422" s="19" t="s">
        <v>52</v>
      </c>
      <c r="AA422" s="19" t="s">
        <v>52</v>
      </c>
      <c r="AB422" s="28"/>
      <c r="AC422" s="90"/>
    </row>
    <row r="423" spans="1:33" ht="15" customHeight="1" x14ac:dyDescent="0.25">
      <c r="A423" s="33" t="s">
        <v>71</v>
      </c>
      <c r="B423" s="34"/>
      <c r="C423" s="34"/>
      <c r="D423" s="34"/>
      <c r="E423" s="34"/>
      <c r="F423" s="35"/>
      <c r="G423" s="35"/>
      <c r="H423" s="34"/>
      <c r="I423" s="34"/>
      <c r="J423" s="34"/>
      <c r="K423" s="34"/>
      <c r="L423" s="36"/>
      <c r="M423" s="36"/>
      <c r="N423" s="36"/>
      <c r="O423" s="36"/>
      <c r="P423" s="36"/>
      <c r="Q423" s="36">
        <f>SUM(Q417:Q422)</f>
        <v>2672000</v>
      </c>
      <c r="R423" s="36"/>
      <c r="S423" s="92"/>
      <c r="T423" s="93">
        <f>SUM(T417:T422)</f>
        <v>23.829722222222223</v>
      </c>
      <c r="U423" s="37"/>
      <c r="V423" s="38"/>
      <c r="W423" s="38"/>
      <c r="X423" s="38"/>
      <c r="Y423" s="34"/>
      <c r="Z423" s="34"/>
      <c r="AA423" s="39"/>
      <c r="AB423" s="29" t="s">
        <v>654</v>
      </c>
      <c r="AC423" s="81" t="s">
        <v>658</v>
      </c>
      <c r="AD423" s="83">
        <v>5000</v>
      </c>
      <c r="AF423" s="83">
        <v>0</v>
      </c>
      <c r="AG423" s="83">
        <f>SUM(AD423,AF423)</f>
        <v>5000</v>
      </c>
    </row>
    <row r="424" spans="1:33" s="29" customFormat="1" ht="15" customHeight="1" x14ac:dyDescent="0.25">
      <c r="A424" s="14">
        <v>4</v>
      </c>
      <c r="B424" s="15">
        <v>45797</v>
      </c>
      <c r="C424" s="15">
        <f>B424+8</f>
        <v>45805</v>
      </c>
      <c r="D424" s="14">
        <v>12823</v>
      </c>
      <c r="E424" s="16" t="s">
        <v>372</v>
      </c>
      <c r="F424" s="17" t="s">
        <v>478</v>
      </c>
      <c r="G424" s="17" t="s">
        <v>102</v>
      </c>
      <c r="H424" s="18" t="s">
        <v>57</v>
      </c>
      <c r="I424" s="19" t="s">
        <v>58</v>
      </c>
      <c r="J424" s="20">
        <v>45761</v>
      </c>
      <c r="K424" s="20">
        <v>45793</v>
      </c>
      <c r="L424" s="21">
        <v>500000</v>
      </c>
      <c r="M424" s="22">
        <f>SUM(N424:O424)</f>
        <v>460000</v>
      </c>
      <c r="N424" s="23">
        <v>378000</v>
      </c>
      <c r="O424" s="23">
        <v>82000</v>
      </c>
      <c r="P424" s="24">
        <f>L424-N424</f>
        <v>122000</v>
      </c>
      <c r="Q424" s="25">
        <v>82000</v>
      </c>
      <c r="R424" s="26">
        <v>48000</v>
      </c>
      <c r="S424" s="91">
        <f t="shared" ref="S424:S429" si="374">IF(P424&gt;0,P424/$R424,0)</f>
        <v>2.5416666666666665</v>
      </c>
      <c r="T424" s="91">
        <f t="shared" ref="T424:T429" si="375">IF(Q424&gt;0,Q424/$R424,0)</f>
        <v>1.7083333333333333</v>
      </c>
      <c r="U424" s="27" t="s">
        <v>193</v>
      </c>
      <c r="V424" s="19" t="s">
        <v>51</v>
      </c>
      <c r="W424" s="20">
        <v>45780</v>
      </c>
      <c r="X424" s="22"/>
      <c r="Y424" s="19" t="s">
        <v>52</v>
      </c>
      <c r="Z424" s="19" t="s">
        <v>52</v>
      </c>
      <c r="AA424" s="19" t="s">
        <v>52</v>
      </c>
      <c r="AB424" s="28"/>
    </row>
    <row r="425" spans="1:33" s="29" customFormat="1" ht="15" customHeight="1" x14ac:dyDescent="0.25">
      <c r="A425" s="14">
        <v>6</v>
      </c>
      <c r="B425" s="15">
        <v>45797</v>
      </c>
      <c r="C425" s="15">
        <f t="shared" ref="C425:C428" si="376">B425+8</f>
        <v>45805</v>
      </c>
      <c r="D425" s="14">
        <v>12842</v>
      </c>
      <c r="E425" s="16" t="s">
        <v>468</v>
      </c>
      <c r="F425" s="17" t="s">
        <v>469</v>
      </c>
      <c r="G425" s="17" t="s">
        <v>47</v>
      </c>
      <c r="H425" s="18" t="s">
        <v>57</v>
      </c>
      <c r="I425" s="19" t="s">
        <v>58</v>
      </c>
      <c r="J425" s="20">
        <v>45765</v>
      </c>
      <c r="K425" s="20">
        <v>45820</v>
      </c>
      <c r="L425" s="21">
        <v>2000000</v>
      </c>
      <c r="M425" s="22">
        <f t="shared" ref="M425:M429" si="377">SUM(N425:O425)</f>
        <v>300000</v>
      </c>
      <c r="N425" s="23">
        <v>0</v>
      </c>
      <c r="O425" s="23">
        <v>300000</v>
      </c>
      <c r="P425" s="24">
        <f t="shared" ref="P425:P428" si="378">L425-N425</f>
        <v>2000000</v>
      </c>
      <c r="Q425" s="25">
        <v>300000</v>
      </c>
      <c r="R425" s="26">
        <v>96000</v>
      </c>
      <c r="S425" s="91">
        <f t="shared" si="374"/>
        <v>20.833333333333332</v>
      </c>
      <c r="T425" s="91">
        <f t="shared" si="375"/>
        <v>3.125</v>
      </c>
      <c r="U425" s="27" t="s">
        <v>193</v>
      </c>
      <c r="V425" s="30" t="s">
        <v>59</v>
      </c>
      <c r="W425" s="31">
        <v>45787</v>
      </c>
      <c r="X425" s="22"/>
      <c r="Y425" s="19" t="s">
        <v>52</v>
      </c>
      <c r="Z425" s="19" t="s">
        <v>52</v>
      </c>
      <c r="AA425" s="19" t="s">
        <v>52</v>
      </c>
      <c r="AB425" s="42"/>
    </row>
    <row r="426" spans="1:33" s="29" customFormat="1" ht="15" customHeight="1" x14ac:dyDescent="0.25">
      <c r="A426" s="14">
        <v>13</v>
      </c>
      <c r="B426" s="15">
        <v>45797</v>
      </c>
      <c r="C426" s="15">
        <f t="shared" si="376"/>
        <v>45805</v>
      </c>
      <c r="D426" s="14">
        <v>12877</v>
      </c>
      <c r="E426" s="16" t="s">
        <v>232</v>
      </c>
      <c r="F426" s="40" t="s">
        <v>233</v>
      </c>
      <c r="G426" s="17" t="s">
        <v>75</v>
      </c>
      <c r="H426" s="18" t="s">
        <v>542</v>
      </c>
      <c r="I426" s="19" t="s">
        <v>104</v>
      </c>
      <c r="J426" s="20">
        <v>45771</v>
      </c>
      <c r="K426" s="20">
        <v>45806</v>
      </c>
      <c r="L426" s="21">
        <v>3000000</v>
      </c>
      <c r="M426" s="22">
        <f t="shared" si="377"/>
        <v>1400000</v>
      </c>
      <c r="N426" s="23">
        <v>0</v>
      </c>
      <c r="O426" s="23">
        <v>1400000</v>
      </c>
      <c r="P426" s="24">
        <f t="shared" si="378"/>
        <v>3000000</v>
      </c>
      <c r="Q426" s="25">
        <v>900000</v>
      </c>
      <c r="R426" s="26">
        <v>150000</v>
      </c>
      <c r="S426" s="91">
        <f t="shared" si="374"/>
        <v>20</v>
      </c>
      <c r="T426" s="91">
        <f t="shared" si="375"/>
        <v>6</v>
      </c>
      <c r="U426" s="27" t="s">
        <v>193</v>
      </c>
      <c r="V426" s="30" t="s">
        <v>59</v>
      </c>
      <c r="W426" s="31">
        <v>45794</v>
      </c>
      <c r="X426" s="22"/>
      <c r="Y426" s="19" t="s">
        <v>52</v>
      </c>
      <c r="Z426" s="19" t="s">
        <v>52</v>
      </c>
      <c r="AA426" s="19" t="s">
        <v>52</v>
      </c>
      <c r="AB426" s="28"/>
      <c r="AC426" s="90"/>
    </row>
    <row r="427" spans="1:33" s="29" customFormat="1" ht="15" customHeight="1" x14ac:dyDescent="0.25">
      <c r="A427" s="14">
        <v>7</v>
      </c>
      <c r="B427" s="15">
        <v>45797</v>
      </c>
      <c r="C427" s="15">
        <f>B427+8</f>
        <v>45805</v>
      </c>
      <c r="D427" s="14">
        <v>12875</v>
      </c>
      <c r="E427" s="16" t="s">
        <v>297</v>
      </c>
      <c r="F427" s="17" t="s">
        <v>298</v>
      </c>
      <c r="G427" s="17" t="s">
        <v>102</v>
      </c>
      <c r="H427" s="18" t="s">
        <v>57</v>
      </c>
      <c r="I427" s="19" t="s">
        <v>94</v>
      </c>
      <c r="J427" s="20">
        <v>45771</v>
      </c>
      <c r="K427" s="20">
        <v>45799</v>
      </c>
      <c r="L427" s="21">
        <v>810000</v>
      </c>
      <c r="M427" s="22">
        <f t="shared" si="377"/>
        <v>660000</v>
      </c>
      <c r="N427" s="23">
        <v>210000</v>
      </c>
      <c r="O427" s="23">
        <v>450000</v>
      </c>
      <c r="P427" s="24">
        <f>L427-N427</f>
        <v>600000</v>
      </c>
      <c r="Q427" s="25">
        <v>450000</v>
      </c>
      <c r="R427" s="26">
        <v>30000</v>
      </c>
      <c r="S427" s="91">
        <f t="shared" si="374"/>
        <v>20</v>
      </c>
      <c r="T427" s="91">
        <f t="shared" si="375"/>
        <v>15</v>
      </c>
      <c r="U427" s="27" t="s">
        <v>193</v>
      </c>
      <c r="V427" s="30" t="s">
        <v>59</v>
      </c>
      <c r="W427" s="31">
        <v>45785</v>
      </c>
      <c r="X427" s="22"/>
      <c r="Y427" s="19" t="s">
        <v>52</v>
      </c>
      <c r="Z427" s="19" t="s">
        <v>52</v>
      </c>
      <c r="AA427" s="19" t="s">
        <v>52</v>
      </c>
      <c r="AB427" s="28"/>
    </row>
    <row r="428" spans="1:33" s="29" customFormat="1" ht="15" customHeight="1" x14ac:dyDescent="0.25">
      <c r="A428" s="14">
        <v>15</v>
      </c>
      <c r="B428" s="15">
        <v>45797</v>
      </c>
      <c r="C428" s="15">
        <f t="shared" si="376"/>
        <v>45805</v>
      </c>
      <c r="D428" s="14">
        <v>12884</v>
      </c>
      <c r="E428" s="16" t="s">
        <v>413</v>
      </c>
      <c r="F428" s="40" t="s">
        <v>414</v>
      </c>
      <c r="G428" s="17" t="s">
        <v>75</v>
      </c>
      <c r="H428" s="18" t="s">
        <v>542</v>
      </c>
      <c r="I428" s="19" t="s">
        <v>104</v>
      </c>
      <c r="J428" s="20">
        <v>45771</v>
      </c>
      <c r="K428" s="20">
        <v>45821</v>
      </c>
      <c r="L428" s="21">
        <v>1500000</v>
      </c>
      <c r="M428" s="22">
        <f t="shared" si="377"/>
        <v>1509000</v>
      </c>
      <c r="N428" s="23">
        <v>1350000</v>
      </c>
      <c r="O428" s="23">
        <v>159000</v>
      </c>
      <c r="P428" s="24">
        <f t="shared" si="378"/>
        <v>150000</v>
      </c>
      <c r="Q428" s="25">
        <v>159000</v>
      </c>
      <c r="R428" s="26">
        <v>150000</v>
      </c>
      <c r="S428" s="91">
        <f t="shared" si="374"/>
        <v>1</v>
      </c>
      <c r="T428" s="91">
        <f t="shared" si="375"/>
        <v>1.06</v>
      </c>
      <c r="U428" s="27" t="s">
        <v>193</v>
      </c>
      <c r="V428" s="30" t="s">
        <v>59</v>
      </c>
      <c r="W428" s="31">
        <v>45794</v>
      </c>
      <c r="X428" s="22"/>
      <c r="Y428" s="19" t="s">
        <v>52</v>
      </c>
      <c r="Z428" s="19" t="s">
        <v>52</v>
      </c>
      <c r="AA428" s="19" t="s">
        <v>52</v>
      </c>
      <c r="AB428" s="28"/>
      <c r="AC428" s="90"/>
    </row>
    <row r="429" spans="1:33" s="29" customFormat="1" ht="15" customHeight="1" x14ac:dyDescent="0.25">
      <c r="A429" s="14">
        <v>6</v>
      </c>
      <c r="B429" s="15">
        <v>45797</v>
      </c>
      <c r="C429" s="15">
        <f>B429+8</f>
        <v>45805</v>
      </c>
      <c r="D429" s="14">
        <v>12817</v>
      </c>
      <c r="E429" s="16" t="s">
        <v>346</v>
      </c>
      <c r="F429" s="17" t="s">
        <v>347</v>
      </c>
      <c r="G429" s="17" t="s">
        <v>102</v>
      </c>
      <c r="H429" s="18" t="s">
        <v>542</v>
      </c>
      <c r="I429" s="19" t="s">
        <v>302</v>
      </c>
      <c r="J429" s="20">
        <v>45757</v>
      </c>
      <c r="K429" s="20">
        <v>45799</v>
      </c>
      <c r="L429" s="21">
        <v>1000000</v>
      </c>
      <c r="M429" s="22">
        <f t="shared" si="377"/>
        <v>1050000</v>
      </c>
      <c r="N429" s="23">
        <v>1000000</v>
      </c>
      <c r="O429" s="23">
        <v>50000</v>
      </c>
      <c r="P429" s="24">
        <f>L429-N429</f>
        <v>0</v>
      </c>
      <c r="Q429" s="25">
        <v>50000</v>
      </c>
      <c r="R429" s="26">
        <v>48000</v>
      </c>
      <c r="S429" s="91">
        <f t="shared" si="374"/>
        <v>0</v>
      </c>
      <c r="T429" s="91">
        <f t="shared" si="375"/>
        <v>1.0416666666666667</v>
      </c>
      <c r="U429" s="27" t="s">
        <v>193</v>
      </c>
      <c r="V429" s="19" t="s">
        <v>59</v>
      </c>
      <c r="W429" s="20">
        <v>45784</v>
      </c>
      <c r="X429" s="22"/>
      <c r="Y429" s="19" t="s">
        <v>52</v>
      </c>
      <c r="Z429" s="19" t="s">
        <v>52</v>
      </c>
      <c r="AA429" s="19" t="s">
        <v>52</v>
      </c>
      <c r="AB429" s="28"/>
    </row>
    <row r="430" spans="1:33" ht="15" customHeight="1" x14ac:dyDescent="0.25">
      <c r="A430" s="33" t="s">
        <v>71</v>
      </c>
      <c r="B430" s="34"/>
      <c r="C430" s="34"/>
      <c r="D430" s="34"/>
      <c r="E430" s="34"/>
      <c r="F430" s="35"/>
      <c r="G430" s="35"/>
      <c r="H430" s="34"/>
      <c r="I430" s="34"/>
      <c r="J430" s="34"/>
      <c r="K430" s="34"/>
      <c r="L430" s="36"/>
      <c r="M430" s="36"/>
      <c r="N430" s="36"/>
      <c r="O430" s="36"/>
      <c r="P430" s="36"/>
      <c r="Q430" s="36">
        <f>SUM(Q424:Q429)</f>
        <v>1941000</v>
      </c>
      <c r="R430" s="36"/>
      <c r="S430" s="92"/>
      <c r="T430" s="93">
        <f>SUM(T424:T429)</f>
        <v>27.934999999999999</v>
      </c>
      <c r="U430" s="37"/>
      <c r="V430" s="38"/>
      <c r="W430" s="38"/>
      <c r="X430" s="38"/>
      <c r="Y430" s="34"/>
      <c r="Z430" s="34"/>
      <c r="AA430" s="39"/>
      <c r="AB430" s="29" t="s">
        <v>655</v>
      </c>
      <c r="AC430" s="81" t="s">
        <v>659</v>
      </c>
      <c r="AD430" s="83">
        <v>5000</v>
      </c>
      <c r="AF430" s="83">
        <v>0</v>
      </c>
      <c r="AG430" s="83">
        <f>SUM(AD430,AF430)</f>
        <v>5000</v>
      </c>
    </row>
    <row r="431" spans="1:33" s="29" customFormat="1" ht="15" customHeight="1" x14ac:dyDescent="0.25">
      <c r="A431" s="14">
        <v>1</v>
      </c>
      <c r="B431" s="15">
        <v>45801</v>
      </c>
      <c r="C431" s="15">
        <f>B431+8</f>
        <v>45809</v>
      </c>
      <c r="D431" s="14">
        <v>12770</v>
      </c>
      <c r="E431" s="16" t="s">
        <v>105</v>
      </c>
      <c r="F431" s="17" t="s">
        <v>106</v>
      </c>
      <c r="G431" s="17" t="s">
        <v>102</v>
      </c>
      <c r="H431" s="18" t="s">
        <v>542</v>
      </c>
      <c r="I431" s="19" t="s">
        <v>49</v>
      </c>
      <c r="J431" s="20">
        <v>45748</v>
      </c>
      <c r="K431" s="20">
        <v>45782</v>
      </c>
      <c r="L431" s="21">
        <v>1700000</v>
      </c>
      <c r="M431" s="22">
        <f>SUM(N431:O431)</f>
        <v>1755000</v>
      </c>
      <c r="N431" s="23">
        <v>1594000</v>
      </c>
      <c r="O431" s="23">
        <v>161000</v>
      </c>
      <c r="P431" s="24">
        <f>L431-N431</f>
        <v>106000</v>
      </c>
      <c r="Q431" s="25">
        <v>161000</v>
      </c>
      <c r="R431" s="26">
        <v>50000</v>
      </c>
      <c r="S431" s="91">
        <f t="shared" ref="S431:S435" si="379">IF(P431&gt;0,P431/$R431,0)</f>
        <v>2.12</v>
      </c>
      <c r="T431" s="91">
        <f t="shared" ref="T431:T435" si="380">IF(Q431&gt;0,Q431/$R431,0)</f>
        <v>3.22</v>
      </c>
      <c r="U431" s="27" t="s">
        <v>193</v>
      </c>
      <c r="V431" s="19" t="s">
        <v>51</v>
      </c>
      <c r="W431" s="20">
        <v>45772</v>
      </c>
      <c r="X431" s="22"/>
      <c r="Y431" s="19" t="s">
        <v>52</v>
      </c>
      <c r="Z431" s="19" t="s">
        <v>52</v>
      </c>
      <c r="AA431" s="19" t="s">
        <v>52</v>
      </c>
      <c r="AB431" s="28"/>
    </row>
    <row r="432" spans="1:33" s="29" customFormat="1" ht="15" customHeight="1" x14ac:dyDescent="0.25">
      <c r="A432" s="14">
        <v>5</v>
      </c>
      <c r="B432" s="15">
        <v>45801</v>
      </c>
      <c r="C432" s="15">
        <f>B432+8</f>
        <v>45809</v>
      </c>
      <c r="D432" s="14">
        <v>12842</v>
      </c>
      <c r="E432" s="16" t="s">
        <v>468</v>
      </c>
      <c r="F432" s="17" t="s">
        <v>469</v>
      </c>
      <c r="G432" s="17" t="s">
        <v>47</v>
      </c>
      <c r="H432" s="18" t="s">
        <v>57</v>
      </c>
      <c r="I432" s="19" t="s">
        <v>58</v>
      </c>
      <c r="J432" s="20">
        <v>45765</v>
      </c>
      <c r="K432" s="20">
        <v>45820</v>
      </c>
      <c r="L432" s="21">
        <v>2000000</v>
      </c>
      <c r="M432" s="22">
        <f t="shared" ref="M432" si="381">SUM(N432:O432)</f>
        <v>1396000</v>
      </c>
      <c r="N432" s="23">
        <v>300000</v>
      </c>
      <c r="O432" s="23">
        <v>1096000</v>
      </c>
      <c r="P432" s="24">
        <f t="shared" ref="P432:P435" si="382">L432-N432</f>
        <v>1700000</v>
      </c>
      <c r="Q432" s="25">
        <v>1096000</v>
      </c>
      <c r="R432" s="26">
        <v>96000</v>
      </c>
      <c r="S432" s="91">
        <f t="shared" si="379"/>
        <v>17.708333333333332</v>
      </c>
      <c r="T432" s="91">
        <f t="shared" si="380"/>
        <v>11.416666666666666</v>
      </c>
      <c r="U432" s="27" t="s">
        <v>193</v>
      </c>
      <c r="V432" s="19" t="s">
        <v>51</v>
      </c>
      <c r="W432" s="20">
        <v>45789</v>
      </c>
      <c r="X432" s="22"/>
      <c r="Y432" s="19" t="s">
        <v>52</v>
      </c>
      <c r="Z432" s="19" t="s">
        <v>52</v>
      </c>
      <c r="AA432" s="19" t="s">
        <v>52</v>
      </c>
      <c r="AB432" s="42"/>
    </row>
    <row r="433" spans="1:33" s="29" customFormat="1" ht="15" customHeight="1" x14ac:dyDescent="0.25">
      <c r="A433" s="14">
        <v>9</v>
      </c>
      <c r="B433" s="15">
        <v>45801</v>
      </c>
      <c r="C433" s="15">
        <f>B433+8</f>
        <v>45809</v>
      </c>
      <c r="D433" s="14">
        <v>12877</v>
      </c>
      <c r="E433" s="16" t="s">
        <v>232</v>
      </c>
      <c r="F433" s="40" t="s">
        <v>233</v>
      </c>
      <c r="G433" s="17" t="s">
        <v>75</v>
      </c>
      <c r="H433" s="18" t="s">
        <v>542</v>
      </c>
      <c r="I433" s="19" t="s">
        <v>104</v>
      </c>
      <c r="J433" s="20">
        <v>45771</v>
      </c>
      <c r="K433" s="20">
        <v>45806</v>
      </c>
      <c r="L433" s="21">
        <v>3000000</v>
      </c>
      <c r="M433" s="22">
        <f>SUM(N433:O433)</f>
        <v>2850000</v>
      </c>
      <c r="N433" s="23">
        <v>2250000</v>
      </c>
      <c r="O433" s="23">
        <v>600000</v>
      </c>
      <c r="P433" s="24">
        <f>L433-N433</f>
        <v>750000</v>
      </c>
      <c r="Q433" s="25">
        <v>600000</v>
      </c>
      <c r="R433" s="26">
        <v>150000</v>
      </c>
      <c r="S433" s="91">
        <f t="shared" si="379"/>
        <v>5</v>
      </c>
      <c r="T433" s="91">
        <f t="shared" si="380"/>
        <v>4</v>
      </c>
      <c r="U433" s="27" t="s">
        <v>193</v>
      </c>
      <c r="V433" s="19" t="s">
        <v>51</v>
      </c>
      <c r="W433" s="20">
        <v>45796</v>
      </c>
      <c r="X433" s="22"/>
      <c r="Y433" s="19" t="s">
        <v>52</v>
      </c>
      <c r="Z433" s="19" t="s">
        <v>52</v>
      </c>
      <c r="AA433" s="19" t="s">
        <v>52</v>
      </c>
      <c r="AB433" s="28"/>
    </row>
    <row r="434" spans="1:33" s="29" customFormat="1" ht="15" customHeight="1" x14ac:dyDescent="0.25">
      <c r="A434" s="14">
        <v>2</v>
      </c>
      <c r="B434" s="15">
        <v>45801</v>
      </c>
      <c r="C434" s="15">
        <f>B434+8</f>
        <v>45809</v>
      </c>
      <c r="D434" s="14">
        <v>12875</v>
      </c>
      <c r="E434" s="16" t="s">
        <v>297</v>
      </c>
      <c r="F434" s="17" t="s">
        <v>298</v>
      </c>
      <c r="G434" s="17" t="s">
        <v>102</v>
      </c>
      <c r="H434" s="18" t="s">
        <v>57</v>
      </c>
      <c r="I434" s="19" t="s">
        <v>94</v>
      </c>
      <c r="J434" s="20">
        <v>45771</v>
      </c>
      <c r="K434" s="20">
        <v>45799</v>
      </c>
      <c r="L434" s="21">
        <v>810000</v>
      </c>
      <c r="M434" s="22">
        <f>SUM(N434:O434)</f>
        <v>841000</v>
      </c>
      <c r="N434" s="23">
        <v>660000</v>
      </c>
      <c r="O434" s="23">
        <v>181000</v>
      </c>
      <c r="P434" s="24">
        <f>L434-N434</f>
        <v>150000</v>
      </c>
      <c r="Q434" s="25">
        <v>181000</v>
      </c>
      <c r="R434" s="26">
        <v>30000</v>
      </c>
      <c r="S434" s="91">
        <f t="shared" si="379"/>
        <v>5</v>
      </c>
      <c r="T434" s="91">
        <f t="shared" si="380"/>
        <v>6.0333333333333332</v>
      </c>
      <c r="U434" s="27" t="s">
        <v>193</v>
      </c>
      <c r="V434" s="19" t="s">
        <v>51</v>
      </c>
      <c r="W434" s="20">
        <v>45786</v>
      </c>
      <c r="X434" s="22"/>
      <c r="Y434" s="19" t="s">
        <v>52</v>
      </c>
      <c r="Z434" s="19" t="s">
        <v>52</v>
      </c>
      <c r="AA434" s="19" t="s">
        <v>52</v>
      </c>
      <c r="AB434" s="28"/>
    </row>
    <row r="435" spans="1:33" s="29" customFormat="1" ht="15" customHeight="1" x14ac:dyDescent="0.25">
      <c r="A435" s="14">
        <v>4</v>
      </c>
      <c r="B435" s="15">
        <v>45801</v>
      </c>
      <c r="C435" s="15">
        <f t="shared" ref="C435" si="383">B435+8</f>
        <v>45809</v>
      </c>
      <c r="D435" s="14">
        <v>12846</v>
      </c>
      <c r="E435" s="16" t="s">
        <v>591</v>
      </c>
      <c r="F435" s="40" t="s">
        <v>592</v>
      </c>
      <c r="G435" s="17" t="s">
        <v>75</v>
      </c>
      <c r="H435" s="18" t="s">
        <v>542</v>
      </c>
      <c r="I435" s="19" t="s">
        <v>593</v>
      </c>
      <c r="J435" s="20">
        <v>45765</v>
      </c>
      <c r="K435" s="20">
        <v>45796</v>
      </c>
      <c r="L435" s="21">
        <v>350000</v>
      </c>
      <c r="M435" s="22">
        <f t="shared" ref="M435" si="384">SUM(N435:O435)</f>
        <v>150000</v>
      </c>
      <c r="N435" s="23">
        <v>0</v>
      </c>
      <c r="O435" s="23">
        <v>150000</v>
      </c>
      <c r="P435" s="24">
        <f t="shared" si="382"/>
        <v>350000</v>
      </c>
      <c r="Q435" s="25">
        <v>150000</v>
      </c>
      <c r="R435" s="26">
        <v>150000</v>
      </c>
      <c r="S435" s="91">
        <f t="shared" si="379"/>
        <v>2.3333333333333335</v>
      </c>
      <c r="T435" s="91">
        <f t="shared" si="380"/>
        <v>1</v>
      </c>
      <c r="U435" s="27" t="s">
        <v>193</v>
      </c>
      <c r="V435" s="30" t="s">
        <v>59</v>
      </c>
      <c r="W435" s="31">
        <v>45798</v>
      </c>
      <c r="X435" s="22"/>
      <c r="Y435" s="19" t="s">
        <v>52</v>
      </c>
      <c r="Z435" s="19" t="s">
        <v>52</v>
      </c>
      <c r="AA435" s="19" t="s">
        <v>52</v>
      </c>
      <c r="AB435" s="28"/>
    </row>
    <row r="436" spans="1:33" ht="15" customHeight="1" x14ac:dyDescent="0.25">
      <c r="A436" s="33" t="s">
        <v>71</v>
      </c>
      <c r="B436" s="34"/>
      <c r="C436" s="34"/>
      <c r="D436" s="34"/>
      <c r="E436" s="34"/>
      <c r="F436" s="35"/>
      <c r="G436" s="35"/>
      <c r="H436" s="34"/>
      <c r="I436" s="34"/>
      <c r="J436" s="34"/>
      <c r="K436" s="34"/>
      <c r="L436" s="36"/>
      <c r="M436" s="36"/>
      <c r="N436" s="36"/>
      <c r="O436" s="36"/>
      <c r="P436" s="36"/>
      <c r="Q436" s="36">
        <f>SUM(Q431:Q435)</f>
        <v>2188000</v>
      </c>
      <c r="R436" s="36"/>
      <c r="S436" s="92"/>
      <c r="T436" s="93">
        <f>SUM(T431:T435)</f>
        <v>25.67</v>
      </c>
      <c r="U436" s="37"/>
      <c r="V436" s="38"/>
      <c r="W436" s="38"/>
      <c r="X436" s="38"/>
      <c r="Y436" s="34"/>
      <c r="Z436" s="34"/>
      <c r="AA436" s="39"/>
      <c r="AB436" s="29" t="s">
        <v>661</v>
      </c>
      <c r="AC436" s="81" t="s">
        <v>668</v>
      </c>
      <c r="AD436" s="83">
        <v>5000</v>
      </c>
      <c r="AF436" s="83">
        <v>0</v>
      </c>
      <c r="AG436" s="83">
        <f>SUM(AD436,AF436)</f>
        <v>5000</v>
      </c>
    </row>
    <row r="437" spans="1:33" s="29" customFormat="1" ht="15" customHeight="1" x14ac:dyDescent="0.25">
      <c r="A437" s="14">
        <v>5</v>
      </c>
      <c r="B437" s="15">
        <v>45801</v>
      </c>
      <c r="C437" s="15">
        <f t="shared" ref="C437" si="385">B437+8</f>
        <v>45809</v>
      </c>
      <c r="D437" s="14">
        <v>12899</v>
      </c>
      <c r="E437" s="16" t="s">
        <v>376</v>
      </c>
      <c r="F437" s="40" t="s">
        <v>371</v>
      </c>
      <c r="G437" s="17" t="s">
        <v>75</v>
      </c>
      <c r="H437" s="18" t="s">
        <v>78</v>
      </c>
      <c r="I437" s="19" t="s">
        <v>79</v>
      </c>
      <c r="J437" s="20">
        <v>45776</v>
      </c>
      <c r="K437" s="20">
        <v>45800</v>
      </c>
      <c r="L437" s="21">
        <v>450000</v>
      </c>
      <c r="M437" s="22">
        <f>SUM(N437:O437)</f>
        <v>480000</v>
      </c>
      <c r="N437" s="23">
        <v>210000</v>
      </c>
      <c r="O437" s="23">
        <v>270000</v>
      </c>
      <c r="P437" s="24">
        <f>L437-N437</f>
        <v>240000</v>
      </c>
      <c r="Q437" s="25">
        <v>270000</v>
      </c>
      <c r="R437" s="26">
        <v>96000</v>
      </c>
      <c r="S437" s="91">
        <f t="shared" ref="S437:S440" si="386">IF(P437&gt;0,P437/$R437,0)</f>
        <v>2.5</v>
      </c>
      <c r="T437" s="91">
        <f t="shared" ref="T437:T440" si="387">IF(Q437&gt;0,Q437/$R437,0)</f>
        <v>2.8125</v>
      </c>
      <c r="U437" s="27" t="s">
        <v>56</v>
      </c>
      <c r="V437" s="30" t="s">
        <v>59</v>
      </c>
      <c r="W437" s="31">
        <v>45798</v>
      </c>
      <c r="X437" s="22"/>
      <c r="Y437" s="19" t="s">
        <v>52</v>
      </c>
      <c r="Z437" s="19" t="s">
        <v>52</v>
      </c>
      <c r="AA437" s="19" t="s">
        <v>52</v>
      </c>
      <c r="AB437" s="28"/>
    </row>
    <row r="438" spans="1:33" s="29" customFormat="1" ht="15" customHeight="1" x14ac:dyDescent="0.25">
      <c r="A438" s="14">
        <v>13</v>
      </c>
      <c r="B438" s="15">
        <v>45801</v>
      </c>
      <c r="C438" s="15">
        <f>B438+8</f>
        <v>45809</v>
      </c>
      <c r="D438" s="14">
        <v>12849</v>
      </c>
      <c r="E438" s="16" t="s">
        <v>369</v>
      </c>
      <c r="F438" s="17" t="s">
        <v>598</v>
      </c>
      <c r="G438" s="17" t="s">
        <v>102</v>
      </c>
      <c r="H438" s="18" t="s">
        <v>57</v>
      </c>
      <c r="I438" s="19" t="s">
        <v>58</v>
      </c>
      <c r="J438" s="20">
        <v>45769</v>
      </c>
      <c r="K438" s="20" t="s">
        <v>65</v>
      </c>
      <c r="L438" s="21">
        <v>1000000</v>
      </c>
      <c r="M438" s="22">
        <f>SUM(N438:O438)</f>
        <v>994000</v>
      </c>
      <c r="N438" s="23">
        <v>944000</v>
      </c>
      <c r="O438" s="23">
        <v>50000</v>
      </c>
      <c r="P438" s="24">
        <f>L438-N438</f>
        <v>56000</v>
      </c>
      <c r="Q438" s="25">
        <v>50000</v>
      </c>
      <c r="R438" s="26">
        <v>50000</v>
      </c>
      <c r="S438" s="91">
        <f t="shared" si="386"/>
        <v>1.1200000000000001</v>
      </c>
      <c r="T438" s="91">
        <f t="shared" si="387"/>
        <v>1</v>
      </c>
      <c r="U438" s="27" t="s">
        <v>193</v>
      </c>
      <c r="V438" s="19" t="s">
        <v>51</v>
      </c>
      <c r="W438" s="20">
        <v>45786</v>
      </c>
      <c r="X438" s="22"/>
      <c r="Y438" s="19" t="s">
        <v>52</v>
      </c>
      <c r="Z438" s="19" t="s">
        <v>52</v>
      </c>
      <c r="AA438" s="19" t="s">
        <v>52</v>
      </c>
      <c r="AB438" s="28"/>
    </row>
    <row r="439" spans="1:33" s="29" customFormat="1" ht="15" customHeight="1" x14ac:dyDescent="0.25">
      <c r="A439" s="14">
        <v>2</v>
      </c>
      <c r="B439" s="15">
        <v>45801</v>
      </c>
      <c r="C439" s="15">
        <f>B439+8</f>
        <v>45809</v>
      </c>
      <c r="D439" s="14">
        <v>12850</v>
      </c>
      <c r="E439" s="16" t="s">
        <v>403</v>
      </c>
      <c r="F439" s="17" t="s">
        <v>69</v>
      </c>
      <c r="G439" s="17" t="s">
        <v>47</v>
      </c>
      <c r="H439" s="18" t="s">
        <v>542</v>
      </c>
      <c r="I439" s="19" t="s">
        <v>70</v>
      </c>
      <c r="J439" s="20">
        <v>45769</v>
      </c>
      <c r="K439" s="20">
        <v>45805</v>
      </c>
      <c r="L439" s="21">
        <v>2000000</v>
      </c>
      <c r="M439" s="22">
        <f t="shared" ref="M439" si="388">SUM(N439:O439)</f>
        <v>1050000</v>
      </c>
      <c r="N439" s="23">
        <v>0</v>
      </c>
      <c r="O439" s="23">
        <v>1050000</v>
      </c>
      <c r="P439" s="24">
        <f t="shared" ref="P439" si="389">L439-N439</f>
        <v>2000000</v>
      </c>
      <c r="Q439" s="25">
        <v>1050000</v>
      </c>
      <c r="R439" s="26">
        <v>50000</v>
      </c>
      <c r="S439" s="91">
        <f t="shared" si="386"/>
        <v>40</v>
      </c>
      <c r="T439" s="91">
        <f t="shared" si="387"/>
        <v>21</v>
      </c>
      <c r="U439" s="27" t="s">
        <v>193</v>
      </c>
      <c r="V439" s="19" t="s">
        <v>51</v>
      </c>
      <c r="W439" s="20">
        <v>45784</v>
      </c>
      <c r="X439" s="22"/>
      <c r="Y439" s="19" t="s">
        <v>52</v>
      </c>
      <c r="Z439" s="19" t="s">
        <v>52</v>
      </c>
      <c r="AA439" s="19" t="s">
        <v>52</v>
      </c>
      <c r="AB439" s="42"/>
    </row>
    <row r="440" spans="1:33" s="29" customFormat="1" ht="15" customHeight="1" x14ac:dyDescent="0.25">
      <c r="A440" s="14">
        <v>27</v>
      </c>
      <c r="B440" s="15">
        <v>45801</v>
      </c>
      <c r="C440" s="15">
        <f>B440+8</f>
        <v>45809</v>
      </c>
      <c r="D440" s="14">
        <v>12868</v>
      </c>
      <c r="E440" s="16" t="s">
        <v>427</v>
      </c>
      <c r="F440" s="40" t="s">
        <v>561</v>
      </c>
      <c r="G440" s="17" t="s">
        <v>75</v>
      </c>
      <c r="H440" s="18" t="s">
        <v>57</v>
      </c>
      <c r="I440" s="19" t="s">
        <v>58</v>
      </c>
      <c r="J440" s="20">
        <v>45771</v>
      </c>
      <c r="K440" s="20">
        <v>45805</v>
      </c>
      <c r="L440" s="21">
        <v>300000</v>
      </c>
      <c r="M440" s="22">
        <f t="shared" ref="M440" si="390">SUM(N440:O440)</f>
        <v>315000</v>
      </c>
      <c r="N440" s="23">
        <v>252000</v>
      </c>
      <c r="O440" s="23">
        <v>63000</v>
      </c>
      <c r="P440" s="24">
        <f>L440-N440</f>
        <v>48000</v>
      </c>
      <c r="Q440" s="25">
        <v>63000</v>
      </c>
      <c r="R440" s="26">
        <v>144000</v>
      </c>
      <c r="S440" s="91">
        <f t="shared" si="386"/>
        <v>0.33333333333333331</v>
      </c>
      <c r="T440" s="91">
        <f t="shared" si="387"/>
        <v>0.4375</v>
      </c>
      <c r="U440" s="27" t="s">
        <v>193</v>
      </c>
      <c r="V440" s="19" t="s">
        <v>51</v>
      </c>
      <c r="W440" s="20">
        <v>45796</v>
      </c>
      <c r="X440" s="22"/>
      <c r="Y440" s="19" t="s">
        <v>52</v>
      </c>
      <c r="Z440" s="19" t="s">
        <v>52</v>
      </c>
      <c r="AA440" s="19" t="s">
        <v>52</v>
      </c>
      <c r="AB440" s="28"/>
      <c r="AC440" s="90"/>
    </row>
    <row r="441" spans="1:33" ht="15" customHeight="1" x14ac:dyDescent="0.25">
      <c r="A441" s="33" t="s">
        <v>71</v>
      </c>
      <c r="B441" s="34"/>
      <c r="C441" s="34"/>
      <c r="D441" s="34"/>
      <c r="E441" s="34"/>
      <c r="F441" s="35"/>
      <c r="G441" s="35"/>
      <c r="H441" s="34"/>
      <c r="I441" s="34"/>
      <c r="J441" s="34"/>
      <c r="K441" s="34"/>
      <c r="L441" s="36"/>
      <c r="M441" s="36"/>
      <c r="N441" s="36"/>
      <c r="O441" s="36"/>
      <c r="P441" s="36"/>
      <c r="Q441" s="36">
        <f>SUM(Q437:Q440)</f>
        <v>1433000</v>
      </c>
      <c r="R441" s="36"/>
      <c r="S441" s="92"/>
      <c r="T441" s="93">
        <f>SUM(T437:T440)</f>
        <v>25.25</v>
      </c>
      <c r="U441" s="37"/>
      <c r="V441" s="38"/>
      <c r="W441" s="38"/>
      <c r="X441" s="38"/>
      <c r="Y441" s="34"/>
      <c r="Z441" s="34"/>
      <c r="AA441" s="39"/>
      <c r="AB441" s="29" t="s">
        <v>662</v>
      </c>
      <c r="AC441" s="81" t="s">
        <v>669</v>
      </c>
      <c r="AD441" s="83">
        <v>5000</v>
      </c>
      <c r="AF441" s="83">
        <v>0</v>
      </c>
      <c r="AG441" s="83">
        <f>SUM(AD441,AF441)</f>
        <v>5000</v>
      </c>
    </row>
    <row r="442" spans="1:33" s="29" customFormat="1" ht="15" customHeight="1" x14ac:dyDescent="0.25">
      <c r="A442" s="14">
        <v>4</v>
      </c>
      <c r="B442" s="15">
        <v>45805</v>
      </c>
      <c r="C442" s="15">
        <f>B442+8</f>
        <v>45813</v>
      </c>
      <c r="D442" s="14">
        <v>12842</v>
      </c>
      <c r="E442" s="16" t="s">
        <v>468</v>
      </c>
      <c r="F442" s="17" t="s">
        <v>469</v>
      </c>
      <c r="G442" s="17" t="s">
        <v>47</v>
      </c>
      <c r="H442" s="18" t="s">
        <v>57</v>
      </c>
      <c r="I442" s="19" t="s">
        <v>58</v>
      </c>
      <c r="J442" s="20">
        <v>45765</v>
      </c>
      <c r="K442" s="20">
        <v>45820</v>
      </c>
      <c r="L442" s="21">
        <v>2000000</v>
      </c>
      <c r="M442" s="22">
        <f t="shared" ref="M442" si="391">SUM(N442:O442)</f>
        <v>1796000</v>
      </c>
      <c r="N442" s="23">
        <v>1396000</v>
      </c>
      <c r="O442" s="23">
        <v>400000</v>
      </c>
      <c r="P442" s="24">
        <f t="shared" ref="P442:P444" si="392">L442-N442</f>
        <v>604000</v>
      </c>
      <c r="Q442" s="25">
        <v>400000</v>
      </c>
      <c r="R442" s="26">
        <v>96000</v>
      </c>
      <c r="S442" s="91">
        <f t="shared" ref="S442:S444" si="393">IF(P442&gt;0,P442/$R442,0)</f>
        <v>6.291666666666667</v>
      </c>
      <c r="T442" s="91">
        <f t="shared" ref="T442:T444" si="394">IF(Q442&gt;0,Q442/$R442,0)</f>
        <v>4.166666666666667</v>
      </c>
      <c r="U442" s="27" t="s">
        <v>193</v>
      </c>
      <c r="V442" s="19" t="s">
        <v>51</v>
      </c>
      <c r="W442" s="20">
        <v>45789</v>
      </c>
      <c r="X442" s="22"/>
      <c r="Y442" s="19" t="s">
        <v>52</v>
      </c>
      <c r="Z442" s="19" t="s">
        <v>52</v>
      </c>
      <c r="AA442" s="19" t="s">
        <v>52</v>
      </c>
      <c r="AB442" s="42"/>
    </row>
    <row r="443" spans="1:33" s="29" customFormat="1" ht="15" customHeight="1" x14ac:dyDescent="0.25">
      <c r="A443" s="14">
        <v>1</v>
      </c>
      <c r="B443" s="15">
        <v>45805</v>
      </c>
      <c r="C443" s="15">
        <f>B443+8</f>
        <v>45813</v>
      </c>
      <c r="D443" s="14">
        <v>12850</v>
      </c>
      <c r="E443" s="16" t="s">
        <v>403</v>
      </c>
      <c r="F443" s="17" t="s">
        <v>69</v>
      </c>
      <c r="G443" s="17" t="s">
        <v>47</v>
      </c>
      <c r="H443" s="18" t="s">
        <v>542</v>
      </c>
      <c r="I443" s="19" t="s">
        <v>70</v>
      </c>
      <c r="J443" s="20">
        <v>45769</v>
      </c>
      <c r="K443" s="20">
        <v>45805</v>
      </c>
      <c r="L443" s="21">
        <v>2000000</v>
      </c>
      <c r="M443" s="22">
        <f>SUM(N443:O443)</f>
        <v>2127000</v>
      </c>
      <c r="N443" s="23">
        <v>1050000</v>
      </c>
      <c r="O443" s="23">
        <v>1077000</v>
      </c>
      <c r="P443" s="24">
        <f>L443-N443</f>
        <v>950000</v>
      </c>
      <c r="Q443" s="25">
        <v>1077000</v>
      </c>
      <c r="R443" s="26">
        <v>50000</v>
      </c>
      <c r="S443" s="91">
        <f t="shared" si="393"/>
        <v>19</v>
      </c>
      <c r="T443" s="91">
        <f t="shared" si="394"/>
        <v>21.54</v>
      </c>
      <c r="U443" s="27" t="s">
        <v>193</v>
      </c>
      <c r="V443" s="19" t="s">
        <v>51</v>
      </c>
      <c r="W443" s="20">
        <v>45784</v>
      </c>
      <c r="X443" s="22"/>
      <c r="Y443" s="19" t="s">
        <v>52</v>
      </c>
      <c r="Z443" s="19" t="s">
        <v>52</v>
      </c>
      <c r="AA443" s="19" t="s">
        <v>52</v>
      </c>
      <c r="AB443" s="42"/>
    </row>
    <row r="444" spans="1:33" s="29" customFormat="1" ht="15" customHeight="1" x14ac:dyDescent="0.25">
      <c r="A444" s="14">
        <v>4</v>
      </c>
      <c r="B444" s="15">
        <v>45805</v>
      </c>
      <c r="C444" s="15">
        <f t="shared" ref="C444" si="395">B444+8</f>
        <v>45813</v>
      </c>
      <c r="D444" s="14">
        <v>12911</v>
      </c>
      <c r="E444" s="16" t="s">
        <v>287</v>
      </c>
      <c r="F444" s="17" t="s">
        <v>288</v>
      </c>
      <c r="G444" s="17" t="s">
        <v>102</v>
      </c>
      <c r="H444" s="18" t="s">
        <v>62</v>
      </c>
      <c r="I444" s="19" t="s">
        <v>63</v>
      </c>
      <c r="J444" s="20">
        <v>45777</v>
      </c>
      <c r="K444" s="20">
        <v>45812</v>
      </c>
      <c r="L444" s="21">
        <v>750000</v>
      </c>
      <c r="M444" s="22">
        <f t="shared" ref="M444" si="396">SUM(N444:O444)</f>
        <v>336000</v>
      </c>
      <c r="N444" s="23">
        <v>0</v>
      </c>
      <c r="O444" s="23">
        <v>336000</v>
      </c>
      <c r="P444" s="24">
        <f t="shared" si="392"/>
        <v>750000</v>
      </c>
      <c r="Q444" s="25">
        <v>336000</v>
      </c>
      <c r="R444" s="26">
        <v>84000</v>
      </c>
      <c r="S444" s="91">
        <f t="shared" si="393"/>
        <v>8.9285714285714288</v>
      </c>
      <c r="T444" s="91">
        <f t="shared" si="394"/>
        <v>4</v>
      </c>
      <c r="U444" s="27" t="s">
        <v>193</v>
      </c>
      <c r="V444" s="30" t="s">
        <v>59</v>
      </c>
      <c r="W444" s="31">
        <v>45798</v>
      </c>
      <c r="X444" s="22"/>
      <c r="Y444" s="19" t="s">
        <v>52</v>
      </c>
      <c r="Z444" s="19" t="s">
        <v>52</v>
      </c>
      <c r="AA444" s="19" t="s">
        <v>52</v>
      </c>
      <c r="AB444" s="28"/>
    </row>
    <row r="445" spans="1:33" ht="15" customHeight="1" x14ac:dyDescent="0.25">
      <c r="A445" s="33" t="s">
        <v>71</v>
      </c>
      <c r="B445" s="34"/>
      <c r="C445" s="34"/>
      <c r="D445" s="34"/>
      <c r="E445" s="34"/>
      <c r="F445" s="35"/>
      <c r="G445" s="35"/>
      <c r="H445" s="34"/>
      <c r="I445" s="34"/>
      <c r="J445" s="34"/>
      <c r="K445" s="34"/>
      <c r="L445" s="36"/>
      <c r="M445" s="36"/>
      <c r="N445" s="36"/>
      <c r="O445" s="36"/>
      <c r="P445" s="36"/>
      <c r="Q445" s="36">
        <f>SUM(Q442:Q444)</f>
        <v>1813000</v>
      </c>
      <c r="R445" s="36"/>
      <c r="S445" s="92"/>
      <c r="T445" s="93">
        <f>SUM(T442:T444)</f>
        <v>29.706666666666667</v>
      </c>
      <c r="U445" s="37"/>
      <c r="V445" s="38"/>
      <c r="W445" s="38"/>
      <c r="X445" s="38"/>
      <c r="Y445" s="34"/>
      <c r="Z445" s="34"/>
      <c r="AA445" s="39"/>
      <c r="AB445" s="29" t="s">
        <v>670</v>
      </c>
      <c r="AC445" s="81" t="s">
        <v>676</v>
      </c>
      <c r="AD445" s="83">
        <v>5000</v>
      </c>
      <c r="AF445" s="83">
        <v>0</v>
      </c>
      <c r="AG445" s="83">
        <f>SUM(AD445,AF445)</f>
        <v>5000</v>
      </c>
    </row>
    <row r="446" spans="1:33" s="29" customFormat="1" ht="15" customHeight="1" x14ac:dyDescent="0.25">
      <c r="A446" s="14">
        <v>8</v>
      </c>
      <c r="B446" s="15">
        <v>45807</v>
      </c>
      <c r="C446" s="15">
        <f t="shared" ref="C446:C452" si="397">B446+8</f>
        <v>45815</v>
      </c>
      <c r="D446" s="14">
        <v>12763</v>
      </c>
      <c r="E446" s="16" t="s">
        <v>148</v>
      </c>
      <c r="F446" s="17" t="s">
        <v>149</v>
      </c>
      <c r="G446" s="17" t="s">
        <v>132</v>
      </c>
      <c r="H446" s="18" t="s">
        <v>54</v>
      </c>
      <c r="I446" s="19" t="s">
        <v>135</v>
      </c>
      <c r="J446" s="20">
        <v>45748</v>
      </c>
      <c r="K446" s="20">
        <v>45821</v>
      </c>
      <c r="L446" s="21">
        <v>75000</v>
      </c>
      <c r="M446" s="22">
        <f>SUM(N446:O446)</f>
        <v>56140</v>
      </c>
      <c r="N446" s="23">
        <v>0</v>
      </c>
      <c r="O446" s="23">
        <v>56140</v>
      </c>
      <c r="P446" s="24">
        <f t="shared" ref="P446:P456" si="398">L446-N446</f>
        <v>75000</v>
      </c>
      <c r="Q446" s="25">
        <v>56140</v>
      </c>
      <c r="R446" s="26">
        <v>57330</v>
      </c>
      <c r="S446" s="91">
        <f t="shared" ref="S446:S456" si="399">IF(P446&gt;0,P446/$R446,0)</f>
        <v>1.3082155939298796</v>
      </c>
      <c r="T446" s="91">
        <f t="shared" ref="T446:T456" si="400">IF(Q446&gt;0,Q446/$R446,0)</f>
        <v>0.97924297924297921</v>
      </c>
      <c r="U446" s="27" t="s">
        <v>56</v>
      </c>
      <c r="V446" s="19" t="s">
        <v>51</v>
      </c>
      <c r="W446" s="20">
        <v>45772</v>
      </c>
      <c r="X446" s="22"/>
      <c r="Y446" s="19" t="s">
        <v>52</v>
      </c>
      <c r="Z446" s="19" t="s">
        <v>52</v>
      </c>
      <c r="AA446" s="19" t="s">
        <v>52</v>
      </c>
      <c r="AB446" s="28"/>
    </row>
    <row r="447" spans="1:33" s="29" customFormat="1" ht="15" customHeight="1" x14ac:dyDescent="0.25">
      <c r="A447" s="14">
        <v>4</v>
      </c>
      <c r="B447" s="15">
        <v>45807</v>
      </c>
      <c r="C447" s="15">
        <f t="shared" si="397"/>
        <v>45815</v>
      </c>
      <c r="D447" s="14">
        <v>12842</v>
      </c>
      <c r="E447" s="16" t="s">
        <v>468</v>
      </c>
      <c r="F447" s="17" t="s">
        <v>469</v>
      </c>
      <c r="G447" s="17" t="s">
        <v>47</v>
      </c>
      <c r="H447" s="18" t="s">
        <v>57</v>
      </c>
      <c r="I447" s="19" t="s">
        <v>58</v>
      </c>
      <c r="J447" s="20">
        <v>45765</v>
      </c>
      <c r="K447" s="20">
        <v>45820</v>
      </c>
      <c r="L447" s="21">
        <v>2000000</v>
      </c>
      <c r="M447" s="22">
        <f>SUM(N447:O447)</f>
        <v>1796000</v>
      </c>
      <c r="N447" s="23">
        <v>1396000</v>
      </c>
      <c r="O447" s="23">
        <v>400000</v>
      </c>
      <c r="P447" s="24">
        <f t="shared" si="398"/>
        <v>604000</v>
      </c>
      <c r="Q447" s="25">
        <v>362000</v>
      </c>
      <c r="R447" s="26">
        <v>96000</v>
      </c>
      <c r="S447" s="91">
        <f t="shared" si="399"/>
        <v>6.291666666666667</v>
      </c>
      <c r="T447" s="91">
        <f t="shared" si="400"/>
        <v>3.7708333333333335</v>
      </c>
      <c r="U447" s="27" t="s">
        <v>56</v>
      </c>
      <c r="V447" s="19" t="s">
        <v>51</v>
      </c>
      <c r="W447" s="20">
        <v>45789</v>
      </c>
      <c r="X447" s="22"/>
      <c r="Y447" s="19" t="s">
        <v>52</v>
      </c>
      <c r="Z447" s="19" t="s">
        <v>52</v>
      </c>
      <c r="AA447" s="19" t="s">
        <v>52</v>
      </c>
      <c r="AB447" s="42"/>
    </row>
    <row r="448" spans="1:33" s="29" customFormat="1" ht="15" customHeight="1" x14ac:dyDescent="0.25">
      <c r="A448" s="14">
        <v>2</v>
      </c>
      <c r="B448" s="15">
        <v>45807</v>
      </c>
      <c r="C448" s="15">
        <f t="shared" si="397"/>
        <v>45815</v>
      </c>
      <c r="D448" s="14">
        <v>12911</v>
      </c>
      <c r="E448" s="16" t="s">
        <v>287</v>
      </c>
      <c r="F448" s="17" t="s">
        <v>288</v>
      </c>
      <c r="G448" s="17" t="s">
        <v>102</v>
      </c>
      <c r="H448" s="18" t="s">
        <v>62</v>
      </c>
      <c r="I448" s="19" t="s">
        <v>63</v>
      </c>
      <c r="J448" s="20">
        <v>45777</v>
      </c>
      <c r="K448" s="20">
        <v>45812</v>
      </c>
      <c r="L448" s="21">
        <v>750000</v>
      </c>
      <c r="M448" s="22">
        <f>SUM(N448:O448)</f>
        <v>336000</v>
      </c>
      <c r="N448" s="23">
        <v>0</v>
      </c>
      <c r="O448" s="23">
        <v>336000</v>
      </c>
      <c r="P448" s="24">
        <f t="shared" si="398"/>
        <v>750000</v>
      </c>
      <c r="Q448" s="25">
        <v>252000</v>
      </c>
      <c r="R448" s="26">
        <v>84000</v>
      </c>
      <c r="S448" s="91">
        <f t="shared" si="399"/>
        <v>8.9285714285714288</v>
      </c>
      <c r="T448" s="91">
        <f t="shared" si="400"/>
        <v>3</v>
      </c>
      <c r="U448" s="27" t="s">
        <v>56</v>
      </c>
      <c r="V448" s="19" t="s">
        <v>51</v>
      </c>
      <c r="W448" s="20">
        <v>45800</v>
      </c>
      <c r="X448" s="22"/>
      <c r="Y448" s="19" t="s">
        <v>52</v>
      </c>
      <c r="Z448" s="19" t="s">
        <v>52</v>
      </c>
      <c r="AA448" s="19" t="s">
        <v>52</v>
      </c>
      <c r="AB448" s="28"/>
    </row>
    <row r="449" spans="1:33" s="29" customFormat="1" ht="15" customHeight="1" x14ac:dyDescent="0.25">
      <c r="A449" s="14">
        <v>2</v>
      </c>
      <c r="B449" s="15">
        <v>45807</v>
      </c>
      <c r="C449" s="15">
        <f t="shared" si="397"/>
        <v>45815</v>
      </c>
      <c r="D449" s="14">
        <v>12926</v>
      </c>
      <c r="E449" s="16" t="s">
        <v>202</v>
      </c>
      <c r="F449" s="17" t="s">
        <v>203</v>
      </c>
      <c r="G449" s="17" t="s">
        <v>47</v>
      </c>
      <c r="H449" s="18" t="s">
        <v>542</v>
      </c>
      <c r="I449" s="19" t="s">
        <v>104</v>
      </c>
      <c r="J449" s="20">
        <v>45779</v>
      </c>
      <c r="K449" s="20">
        <v>45817</v>
      </c>
      <c r="L449" s="21">
        <v>50000</v>
      </c>
      <c r="M449" s="22">
        <f t="shared" ref="M449" si="401">SUM(N449:O449)</f>
        <v>50000</v>
      </c>
      <c r="N449" s="23">
        <v>0</v>
      </c>
      <c r="O449" s="23">
        <v>50000</v>
      </c>
      <c r="P449" s="24">
        <f t="shared" si="398"/>
        <v>50000</v>
      </c>
      <c r="Q449" s="25">
        <v>50000</v>
      </c>
      <c r="R449" s="26">
        <v>50000</v>
      </c>
      <c r="S449" s="91">
        <f t="shared" si="399"/>
        <v>1</v>
      </c>
      <c r="T449" s="91">
        <f t="shared" si="400"/>
        <v>1</v>
      </c>
      <c r="U449" s="27" t="s">
        <v>56</v>
      </c>
      <c r="V449" s="19" t="s">
        <v>51</v>
      </c>
      <c r="W449" s="20">
        <v>45801</v>
      </c>
      <c r="X449" s="22"/>
      <c r="Y449" s="19" t="s">
        <v>52</v>
      </c>
      <c r="Z449" s="19" t="s">
        <v>52</v>
      </c>
      <c r="AA449" s="19" t="s">
        <v>52</v>
      </c>
      <c r="AB449" s="42"/>
    </row>
    <row r="450" spans="1:33" s="29" customFormat="1" ht="15" customHeight="1" x14ac:dyDescent="0.25">
      <c r="A450" s="14">
        <v>5</v>
      </c>
      <c r="B450" s="15">
        <v>45807</v>
      </c>
      <c r="C450" s="15">
        <f t="shared" si="397"/>
        <v>45815</v>
      </c>
      <c r="D450" s="14">
        <v>12927</v>
      </c>
      <c r="E450" s="16" t="s">
        <v>114</v>
      </c>
      <c r="F450" s="17" t="s">
        <v>115</v>
      </c>
      <c r="G450" s="17" t="s">
        <v>102</v>
      </c>
      <c r="H450" s="18" t="s">
        <v>542</v>
      </c>
      <c r="I450" s="19" t="s">
        <v>104</v>
      </c>
      <c r="J450" s="20">
        <v>45779</v>
      </c>
      <c r="K450" s="20">
        <v>45817</v>
      </c>
      <c r="L450" s="21">
        <v>1500000</v>
      </c>
      <c r="M450" s="22">
        <f>SUM(N450:O450)</f>
        <v>630000</v>
      </c>
      <c r="N450" s="23">
        <v>0</v>
      </c>
      <c r="O450" s="23">
        <v>630000</v>
      </c>
      <c r="P450" s="24">
        <f t="shared" si="398"/>
        <v>1500000</v>
      </c>
      <c r="Q450" s="25">
        <v>630000</v>
      </c>
      <c r="R450" s="26">
        <v>63000</v>
      </c>
      <c r="S450" s="91">
        <f t="shared" si="399"/>
        <v>23.80952380952381</v>
      </c>
      <c r="T450" s="91">
        <f t="shared" si="400"/>
        <v>10</v>
      </c>
      <c r="U450" s="27" t="s">
        <v>56</v>
      </c>
      <c r="V450" s="19" t="s">
        <v>51</v>
      </c>
      <c r="W450" s="20">
        <v>45797</v>
      </c>
      <c r="X450" s="22"/>
      <c r="Y450" s="19" t="s">
        <v>52</v>
      </c>
      <c r="Z450" s="19" t="s">
        <v>52</v>
      </c>
      <c r="AA450" s="19" t="s">
        <v>52</v>
      </c>
      <c r="AB450" s="28"/>
    </row>
    <row r="451" spans="1:33" s="29" customFormat="1" ht="15" customHeight="1" x14ac:dyDescent="0.25">
      <c r="A451" s="14">
        <v>24</v>
      </c>
      <c r="B451" s="15">
        <v>45807</v>
      </c>
      <c r="C451" s="15">
        <f t="shared" si="397"/>
        <v>45815</v>
      </c>
      <c r="D451" s="14">
        <v>12922</v>
      </c>
      <c r="E451" s="16" t="s">
        <v>340</v>
      </c>
      <c r="F451" s="40" t="s">
        <v>201</v>
      </c>
      <c r="G451" s="17" t="s">
        <v>75</v>
      </c>
      <c r="H451" s="18" t="s">
        <v>57</v>
      </c>
      <c r="I451" s="19" t="s">
        <v>58</v>
      </c>
      <c r="J451" s="20">
        <v>45782</v>
      </c>
      <c r="K451" s="20">
        <v>45835</v>
      </c>
      <c r="L451" s="21">
        <v>1000000</v>
      </c>
      <c r="M451" s="22">
        <f>SUM(N451:O451)</f>
        <v>465000</v>
      </c>
      <c r="N451" s="23">
        <v>0</v>
      </c>
      <c r="O451" s="23">
        <v>465000</v>
      </c>
      <c r="P451" s="24">
        <f t="shared" si="398"/>
        <v>1000000</v>
      </c>
      <c r="Q451" s="25">
        <v>465000</v>
      </c>
      <c r="R451" s="26">
        <v>150000</v>
      </c>
      <c r="S451" s="91">
        <f t="shared" si="399"/>
        <v>6.666666666666667</v>
      </c>
      <c r="T451" s="91">
        <f t="shared" si="400"/>
        <v>3.1</v>
      </c>
      <c r="U451" s="27" t="s">
        <v>56</v>
      </c>
      <c r="V451" s="19" t="s">
        <v>51</v>
      </c>
      <c r="W451" s="20">
        <v>45798</v>
      </c>
      <c r="X451" s="22"/>
      <c r="Y451" s="19" t="s">
        <v>52</v>
      </c>
      <c r="Z451" s="19" t="s">
        <v>52</v>
      </c>
      <c r="AA451" s="19" t="s">
        <v>52</v>
      </c>
      <c r="AB451" s="28"/>
    </row>
    <row r="452" spans="1:33" s="29" customFormat="1" ht="15" customHeight="1" x14ac:dyDescent="0.25">
      <c r="A452" s="14">
        <v>6</v>
      </c>
      <c r="B452" s="15">
        <v>45807</v>
      </c>
      <c r="C452" s="15">
        <f t="shared" si="397"/>
        <v>45815</v>
      </c>
      <c r="D452" s="14">
        <v>12869</v>
      </c>
      <c r="E452" s="16" t="s">
        <v>601</v>
      </c>
      <c r="F452" s="40" t="s">
        <v>602</v>
      </c>
      <c r="G452" s="17" t="s">
        <v>75</v>
      </c>
      <c r="H452" s="18" t="s">
        <v>57</v>
      </c>
      <c r="I452" s="19" t="s">
        <v>81</v>
      </c>
      <c r="J452" s="20">
        <v>45771</v>
      </c>
      <c r="K452" s="20">
        <v>45805</v>
      </c>
      <c r="L452" s="21">
        <v>100000</v>
      </c>
      <c r="M452" s="22">
        <f>SUM(N452:O452)</f>
        <v>102000</v>
      </c>
      <c r="N452" s="23">
        <v>0</v>
      </c>
      <c r="O452" s="23">
        <v>102000</v>
      </c>
      <c r="P452" s="24">
        <f t="shared" si="398"/>
        <v>100000</v>
      </c>
      <c r="Q452" s="25">
        <v>102000</v>
      </c>
      <c r="R452" s="26">
        <v>150000</v>
      </c>
      <c r="S452" s="91">
        <f t="shared" si="399"/>
        <v>0.66666666666666663</v>
      </c>
      <c r="T452" s="91">
        <f t="shared" si="400"/>
        <v>0.68</v>
      </c>
      <c r="U452" s="27" t="s">
        <v>193</v>
      </c>
      <c r="V452" s="30" t="s">
        <v>59</v>
      </c>
      <c r="W452" s="31">
        <v>45806</v>
      </c>
      <c r="X452" s="22"/>
      <c r="Y452" s="19" t="s">
        <v>52</v>
      </c>
      <c r="Z452" s="19" t="s">
        <v>52</v>
      </c>
      <c r="AA452" s="19" t="s">
        <v>52</v>
      </c>
      <c r="AB452" s="28"/>
    </row>
    <row r="453" spans="1:33" s="29" customFormat="1" ht="15" customHeight="1" x14ac:dyDescent="0.25">
      <c r="A453" s="14">
        <v>3</v>
      </c>
      <c r="B453" s="15">
        <v>45807</v>
      </c>
      <c r="C453" s="15">
        <f t="shared" ref="C453" si="402">B453+8</f>
        <v>45815</v>
      </c>
      <c r="D453" s="14">
        <v>12846</v>
      </c>
      <c r="E453" s="16" t="s">
        <v>591</v>
      </c>
      <c r="F453" s="40" t="s">
        <v>592</v>
      </c>
      <c r="G453" s="17" t="s">
        <v>75</v>
      </c>
      <c r="H453" s="18" t="s">
        <v>542</v>
      </c>
      <c r="I453" s="19" t="s">
        <v>593</v>
      </c>
      <c r="J453" s="20">
        <v>45765</v>
      </c>
      <c r="K453" s="20">
        <v>45796</v>
      </c>
      <c r="L453" s="21">
        <v>350000</v>
      </c>
      <c r="M453" s="22">
        <f t="shared" ref="M453" si="403">SUM(N453:O453)</f>
        <v>234000</v>
      </c>
      <c r="N453" s="23">
        <v>0</v>
      </c>
      <c r="O453" s="23">
        <v>234000</v>
      </c>
      <c r="P453" s="24">
        <f t="shared" si="398"/>
        <v>350000</v>
      </c>
      <c r="Q453" s="25">
        <v>234000</v>
      </c>
      <c r="R453" s="26">
        <v>150000</v>
      </c>
      <c r="S453" s="91">
        <f t="shared" si="399"/>
        <v>2.3333333333333335</v>
      </c>
      <c r="T453" s="91">
        <f t="shared" si="400"/>
        <v>1.56</v>
      </c>
      <c r="U453" s="27" t="s">
        <v>193</v>
      </c>
      <c r="V453" s="19" t="s">
        <v>51</v>
      </c>
      <c r="W453" s="20">
        <v>45800</v>
      </c>
      <c r="X453" s="22"/>
      <c r="Y453" s="19" t="s">
        <v>52</v>
      </c>
      <c r="Z453" s="19" t="s">
        <v>52</v>
      </c>
      <c r="AA453" s="19" t="s">
        <v>52</v>
      </c>
      <c r="AB453" s="28"/>
    </row>
    <row r="454" spans="1:33" s="29" customFormat="1" ht="15" customHeight="1" x14ac:dyDescent="0.25">
      <c r="A454" s="14">
        <v>1</v>
      </c>
      <c r="B454" s="15">
        <v>45807</v>
      </c>
      <c r="C454" s="15">
        <f>B454+8</f>
        <v>45815</v>
      </c>
      <c r="D454" s="14">
        <v>12943</v>
      </c>
      <c r="E454" s="16" t="s">
        <v>626</v>
      </c>
      <c r="F454" s="17" t="s">
        <v>627</v>
      </c>
      <c r="G454" s="17" t="s">
        <v>102</v>
      </c>
      <c r="H454" s="18" t="s">
        <v>57</v>
      </c>
      <c r="I454" s="19" t="s">
        <v>94</v>
      </c>
      <c r="J454" s="20">
        <v>45784</v>
      </c>
      <c r="K454" s="20">
        <v>45807</v>
      </c>
      <c r="L454" s="21">
        <v>200000</v>
      </c>
      <c r="M454" s="22">
        <f>SUM(N454:O454)</f>
        <v>20000</v>
      </c>
      <c r="N454" s="23">
        <v>0</v>
      </c>
      <c r="O454" s="23">
        <v>20000</v>
      </c>
      <c r="P454" s="24">
        <f t="shared" si="398"/>
        <v>200000</v>
      </c>
      <c r="Q454" s="25">
        <v>20000</v>
      </c>
      <c r="R454" s="26">
        <v>50000</v>
      </c>
      <c r="S454" s="91">
        <f t="shared" si="399"/>
        <v>4</v>
      </c>
      <c r="T454" s="91">
        <f t="shared" si="400"/>
        <v>0.4</v>
      </c>
      <c r="U454" s="27" t="s">
        <v>193</v>
      </c>
      <c r="V454" s="30" t="s">
        <v>59</v>
      </c>
      <c r="W454" s="31">
        <v>45805</v>
      </c>
      <c r="X454" s="22"/>
      <c r="Y454" s="19" t="s">
        <v>52</v>
      </c>
      <c r="Z454" s="19" t="s">
        <v>52</v>
      </c>
      <c r="AA454" s="19" t="s">
        <v>52</v>
      </c>
      <c r="AB454" s="28"/>
    </row>
    <row r="455" spans="1:33" s="29" customFormat="1" ht="15" customHeight="1" x14ac:dyDescent="0.25">
      <c r="A455" s="14">
        <v>3</v>
      </c>
      <c r="B455" s="15">
        <v>45807</v>
      </c>
      <c r="C455" s="15">
        <f>B455+8</f>
        <v>45815</v>
      </c>
      <c r="D455" s="14">
        <v>12973</v>
      </c>
      <c r="E455" s="16" t="s">
        <v>636</v>
      </c>
      <c r="F455" s="17" t="s">
        <v>637</v>
      </c>
      <c r="G455" s="17" t="s">
        <v>102</v>
      </c>
      <c r="H455" s="18" t="s">
        <v>542</v>
      </c>
      <c r="I455" s="19" t="s">
        <v>104</v>
      </c>
      <c r="J455" s="20">
        <v>45786</v>
      </c>
      <c r="K455" s="20">
        <v>45814</v>
      </c>
      <c r="L455" s="21">
        <v>100000</v>
      </c>
      <c r="M455" s="22">
        <f>SUM(N455:O455)</f>
        <v>20000</v>
      </c>
      <c r="N455" s="23">
        <v>0</v>
      </c>
      <c r="O455" s="23">
        <v>20000</v>
      </c>
      <c r="P455" s="24">
        <f t="shared" si="398"/>
        <v>100000</v>
      </c>
      <c r="Q455" s="25">
        <v>20000</v>
      </c>
      <c r="R455" s="26">
        <v>63000</v>
      </c>
      <c r="S455" s="91">
        <f t="shared" si="399"/>
        <v>1.5873015873015872</v>
      </c>
      <c r="T455" s="91">
        <f t="shared" si="400"/>
        <v>0.31746031746031744</v>
      </c>
      <c r="U455" s="27" t="s">
        <v>193</v>
      </c>
      <c r="V455" s="30" t="s">
        <v>59</v>
      </c>
      <c r="W455" s="31">
        <v>45805</v>
      </c>
      <c r="X455" s="22"/>
      <c r="Y455" s="19" t="s">
        <v>52</v>
      </c>
      <c r="Z455" s="19" t="s">
        <v>52</v>
      </c>
      <c r="AA455" s="19" t="s">
        <v>52</v>
      </c>
      <c r="AB455" s="28"/>
    </row>
    <row r="456" spans="1:33" s="29" customFormat="1" ht="15" customHeight="1" x14ac:dyDescent="0.25">
      <c r="A456" s="14">
        <v>3</v>
      </c>
      <c r="B456" s="15">
        <v>45807</v>
      </c>
      <c r="C456" s="15">
        <f>B456+8</f>
        <v>45815</v>
      </c>
      <c r="D456" s="14">
        <v>12953</v>
      </c>
      <c r="E456" s="16" t="s">
        <v>394</v>
      </c>
      <c r="F456" s="17" t="s">
        <v>638</v>
      </c>
      <c r="G456" s="17" t="s">
        <v>47</v>
      </c>
      <c r="H456" s="18" t="s">
        <v>639</v>
      </c>
      <c r="I456" s="19" t="s">
        <v>395</v>
      </c>
      <c r="J456" s="20">
        <v>45786</v>
      </c>
      <c r="K456" s="20">
        <v>45818</v>
      </c>
      <c r="L456" s="21">
        <v>100000</v>
      </c>
      <c r="M456" s="22">
        <f>SUM(N456:O456)</f>
        <v>50000</v>
      </c>
      <c r="N456" s="23">
        <v>0</v>
      </c>
      <c r="O456" s="23">
        <v>50000</v>
      </c>
      <c r="P456" s="24">
        <f t="shared" si="398"/>
        <v>100000</v>
      </c>
      <c r="Q456" s="25">
        <v>50000</v>
      </c>
      <c r="R456" s="26">
        <v>50000</v>
      </c>
      <c r="S456" s="91">
        <f t="shared" si="399"/>
        <v>2</v>
      </c>
      <c r="T456" s="91">
        <f t="shared" si="400"/>
        <v>1</v>
      </c>
      <c r="U456" s="27" t="s">
        <v>193</v>
      </c>
      <c r="V456" s="30" t="s">
        <v>59</v>
      </c>
      <c r="W456" s="31">
        <v>45805</v>
      </c>
      <c r="X456" s="22"/>
      <c r="Y456" s="19" t="s">
        <v>52</v>
      </c>
      <c r="Z456" s="19" t="s">
        <v>52</v>
      </c>
      <c r="AA456" s="19" t="s">
        <v>52</v>
      </c>
      <c r="AB456" s="42"/>
    </row>
    <row r="457" spans="1:33" ht="15" customHeight="1" x14ac:dyDescent="0.25">
      <c r="A457" s="33" t="s">
        <v>71</v>
      </c>
      <c r="B457" s="34"/>
      <c r="C457" s="34"/>
      <c r="D457" s="34"/>
      <c r="E457" s="34"/>
      <c r="F457" s="35"/>
      <c r="G457" s="35"/>
      <c r="H457" s="34"/>
      <c r="I457" s="34"/>
      <c r="J457" s="34"/>
      <c r="K457" s="34"/>
      <c r="L457" s="36"/>
      <c r="M457" s="36"/>
      <c r="N457" s="36"/>
      <c r="O457" s="36"/>
      <c r="P457" s="36"/>
      <c r="Q457" s="36">
        <f>SUM(Q446:Q456)</f>
        <v>2241140</v>
      </c>
      <c r="R457" s="36"/>
      <c r="S457" s="92"/>
      <c r="T457" s="93">
        <f>SUM(T446:T456)</f>
        <v>25.807536630036626</v>
      </c>
      <c r="U457" s="37"/>
      <c r="V457" s="38"/>
      <c r="W457" s="38"/>
      <c r="X457" s="38"/>
      <c r="Y457" s="34"/>
      <c r="Z457" s="34"/>
      <c r="AA457" s="39"/>
      <c r="AB457" s="29" t="s">
        <v>677</v>
      </c>
      <c r="AC457" s="81" t="s">
        <v>679</v>
      </c>
      <c r="AD457" s="83">
        <v>5000</v>
      </c>
      <c r="AF457" s="83">
        <v>0</v>
      </c>
      <c r="AG457" s="83">
        <f>SUM(AD457,AF457)</f>
        <v>5000</v>
      </c>
    </row>
    <row r="458" spans="1:33" s="29" customFormat="1" ht="15" customHeight="1" x14ac:dyDescent="0.25">
      <c r="A458" s="14">
        <v>6</v>
      </c>
      <c r="B458" s="15">
        <v>45812</v>
      </c>
      <c r="C458" s="15">
        <f t="shared" ref="C458:C467" si="404">B458+8</f>
        <v>45820</v>
      </c>
      <c r="D458" s="14">
        <v>12929</v>
      </c>
      <c r="E458" s="16" t="s">
        <v>107</v>
      </c>
      <c r="F458" s="17" t="s">
        <v>108</v>
      </c>
      <c r="G458" s="17" t="s">
        <v>102</v>
      </c>
      <c r="H458" s="18" t="s">
        <v>542</v>
      </c>
      <c r="I458" s="19" t="s">
        <v>104</v>
      </c>
      <c r="J458" s="20">
        <v>45782</v>
      </c>
      <c r="K458" s="20">
        <v>45817</v>
      </c>
      <c r="L458" s="21">
        <v>126000</v>
      </c>
      <c r="M458" s="22">
        <f t="shared" ref="M458:M469" si="405">SUM(N458:O458)</f>
        <v>135000</v>
      </c>
      <c r="N458" s="23">
        <v>0</v>
      </c>
      <c r="O458" s="23">
        <v>135000</v>
      </c>
      <c r="P458" s="24">
        <f t="shared" ref="P458:P470" si="406">L458-N458</f>
        <v>126000</v>
      </c>
      <c r="Q458" s="25">
        <v>135000</v>
      </c>
      <c r="R458" s="26">
        <v>63000</v>
      </c>
      <c r="S458" s="91">
        <f t="shared" ref="S458:S466" si="407">IF(P458&gt;0,P458/$R458,0)</f>
        <v>2</v>
      </c>
      <c r="T458" s="91">
        <f t="shared" ref="T458:T466" si="408">IF(Q458&gt;0,Q458/$R458,0)</f>
        <v>2.1428571428571428</v>
      </c>
      <c r="U458" s="27" t="s">
        <v>56</v>
      </c>
      <c r="V458" s="30" t="s">
        <v>59</v>
      </c>
      <c r="W458" s="31">
        <v>45805</v>
      </c>
      <c r="X458" s="22"/>
      <c r="Y458" s="19" t="s">
        <v>52</v>
      </c>
      <c r="Z458" s="19" t="s">
        <v>52</v>
      </c>
      <c r="AA458" s="19" t="s">
        <v>52</v>
      </c>
      <c r="AB458" s="28"/>
    </row>
    <row r="459" spans="1:33" s="29" customFormat="1" ht="15" customHeight="1" x14ac:dyDescent="0.25">
      <c r="A459" s="14">
        <v>5</v>
      </c>
      <c r="B459" s="15">
        <v>45812</v>
      </c>
      <c r="C459" s="15">
        <f t="shared" si="404"/>
        <v>45820</v>
      </c>
      <c r="D459" s="14">
        <v>12892</v>
      </c>
      <c r="E459" s="16" t="s">
        <v>139</v>
      </c>
      <c r="F459" s="17" t="s">
        <v>265</v>
      </c>
      <c r="G459" s="17" t="s">
        <v>132</v>
      </c>
      <c r="H459" s="18" t="s">
        <v>54</v>
      </c>
      <c r="I459" s="19" t="s">
        <v>135</v>
      </c>
      <c r="J459" s="20">
        <v>45783</v>
      </c>
      <c r="K459" s="20">
        <v>45819</v>
      </c>
      <c r="L459" s="21">
        <v>385000</v>
      </c>
      <c r="M459" s="22">
        <f t="shared" si="405"/>
        <v>446000</v>
      </c>
      <c r="N459" s="23">
        <v>0</v>
      </c>
      <c r="O459" s="23">
        <v>446000</v>
      </c>
      <c r="P459" s="24">
        <f t="shared" si="406"/>
        <v>385000</v>
      </c>
      <c r="Q459" s="25">
        <v>446210</v>
      </c>
      <c r="R459" s="26">
        <v>175500</v>
      </c>
      <c r="S459" s="91">
        <f t="shared" si="407"/>
        <v>2.1937321937321936</v>
      </c>
      <c r="T459" s="91">
        <f t="shared" si="408"/>
        <v>2.5425071225071223</v>
      </c>
      <c r="U459" s="27" t="s">
        <v>56</v>
      </c>
      <c r="V459" s="30" t="s">
        <v>59</v>
      </c>
      <c r="W459" s="31">
        <v>45814</v>
      </c>
      <c r="X459" s="22"/>
      <c r="Y459" s="19" t="s">
        <v>52</v>
      </c>
      <c r="Z459" s="19" t="s">
        <v>52</v>
      </c>
      <c r="AA459" s="19" t="s">
        <v>52</v>
      </c>
      <c r="AB459" s="28"/>
    </row>
    <row r="460" spans="1:33" s="29" customFormat="1" ht="15" customHeight="1" x14ac:dyDescent="0.25">
      <c r="A460" s="14">
        <v>9</v>
      </c>
      <c r="B460" s="15">
        <v>45812</v>
      </c>
      <c r="C460" s="15">
        <f t="shared" si="404"/>
        <v>45820</v>
      </c>
      <c r="D460" s="14">
        <v>12977</v>
      </c>
      <c r="E460" s="16" t="s">
        <v>206</v>
      </c>
      <c r="F460" s="40" t="s">
        <v>646</v>
      </c>
      <c r="G460" s="17" t="s">
        <v>75</v>
      </c>
      <c r="H460" s="18" t="s">
        <v>542</v>
      </c>
      <c r="I460" s="19" t="s">
        <v>49</v>
      </c>
      <c r="J460" s="20">
        <v>45791</v>
      </c>
      <c r="K460" s="20">
        <v>45818</v>
      </c>
      <c r="L460" s="21">
        <v>600000</v>
      </c>
      <c r="M460" s="22">
        <f t="shared" si="405"/>
        <v>576000</v>
      </c>
      <c r="N460" s="23">
        <v>0</v>
      </c>
      <c r="O460" s="23">
        <v>576000</v>
      </c>
      <c r="P460" s="24">
        <f t="shared" si="406"/>
        <v>600000</v>
      </c>
      <c r="Q460" s="25">
        <v>576000</v>
      </c>
      <c r="R460" s="26">
        <v>150000</v>
      </c>
      <c r="S460" s="91">
        <f t="shared" si="407"/>
        <v>4</v>
      </c>
      <c r="T460" s="91">
        <f t="shared" si="408"/>
        <v>3.84</v>
      </c>
      <c r="U460" s="27" t="s">
        <v>56</v>
      </c>
      <c r="V460" s="30" t="s">
        <v>59</v>
      </c>
      <c r="W460" s="31">
        <v>45805</v>
      </c>
      <c r="X460" s="22"/>
      <c r="Y460" s="19" t="s">
        <v>52</v>
      </c>
      <c r="Z460" s="19" t="s">
        <v>52</v>
      </c>
      <c r="AA460" s="19" t="s">
        <v>52</v>
      </c>
      <c r="AB460" s="28"/>
    </row>
    <row r="461" spans="1:33" s="29" customFormat="1" ht="15" customHeight="1" x14ac:dyDescent="0.25">
      <c r="A461" s="14">
        <v>15</v>
      </c>
      <c r="B461" s="15">
        <v>45812</v>
      </c>
      <c r="C461" s="15">
        <f t="shared" si="404"/>
        <v>45820</v>
      </c>
      <c r="D461" s="14">
        <v>12957</v>
      </c>
      <c r="E461" s="16" t="s">
        <v>385</v>
      </c>
      <c r="F461" s="40" t="s">
        <v>386</v>
      </c>
      <c r="G461" s="17" t="s">
        <v>75</v>
      </c>
      <c r="H461" s="18" t="s">
        <v>542</v>
      </c>
      <c r="I461" s="19" t="s">
        <v>70</v>
      </c>
      <c r="J461" s="20">
        <v>45790</v>
      </c>
      <c r="K461" s="20">
        <v>45826</v>
      </c>
      <c r="L461" s="21">
        <v>2000000</v>
      </c>
      <c r="M461" s="22">
        <f t="shared" si="405"/>
        <v>450000</v>
      </c>
      <c r="N461" s="23">
        <v>0</v>
      </c>
      <c r="O461" s="23">
        <v>450000</v>
      </c>
      <c r="P461" s="24">
        <f t="shared" si="406"/>
        <v>2000000</v>
      </c>
      <c r="Q461" s="25">
        <v>450000</v>
      </c>
      <c r="R461" s="26">
        <v>150000</v>
      </c>
      <c r="S461" s="91">
        <f t="shared" si="407"/>
        <v>13.333333333333334</v>
      </c>
      <c r="T461" s="91">
        <f t="shared" si="408"/>
        <v>3</v>
      </c>
      <c r="U461" s="27" t="s">
        <v>56</v>
      </c>
      <c r="V461" s="30" t="s">
        <v>59</v>
      </c>
      <c r="W461" s="31">
        <v>45809</v>
      </c>
      <c r="X461" s="22"/>
      <c r="Y461" s="19" t="s">
        <v>52</v>
      </c>
      <c r="Z461" s="19" t="s">
        <v>52</v>
      </c>
      <c r="AA461" s="19" t="s">
        <v>52</v>
      </c>
      <c r="AB461" s="28"/>
    </row>
    <row r="462" spans="1:33" s="29" customFormat="1" ht="15" customHeight="1" x14ac:dyDescent="0.25">
      <c r="A462" s="14">
        <v>5</v>
      </c>
      <c r="B462" s="15">
        <v>45812</v>
      </c>
      <c r="C462" s="15">
        <f t="shared" si="404"/>
        <v>45820</v>
      </c>
      <c r="D462" s="14">
        <v>12949</v>
      </c>
      <c r="E462" s="16" t="s">
        <v>660</v>
      </c>
      <c r="F462" s="17" t="s">
        <v>629</v>
      </c>
      <c r="G462" s="17" t="s">
        <v>47</v>
      </c>
      <c r="H462" s="18" t="s">
        <v>54</v>
      </c>
      <c r="I462" s="19" t="s">
        <v>55</v>
      </c>
      <c r="J462" s="20">
        <v>45784</v>
      </c>
      <c r="K462" s="20">
        <v>45824</v>
      </c>
      <c r="L462" s="21">
        <v>300000</v>
      </c>
      <c r="M462" s="22">
        <f t="shared" si="405"/>
        <v>100000</v>
      </c>
      <c r="N462" s="23">
        <v>0</v>
      </c>
      <c r="O462" s="23">
        <v>100000</v>
      </c>
      <c r="P462" s="24">
        <f t="shared" si="406"/>
        <v>300000</v>
      </c>
      <c r="Q462" s="25">
        <v>100000</v>
      </c>
      <c r="R462" s="26">
        <v>50000</v>
      </c>
      <c r="S462" s="91">
        <f t="shared" si="407"/>
        <v>6</v>
      </c>
      <c r="T462" s="91">
        <f t="shared" si="408"/>
        <v>2</v>
      </c>
      <c r="U462" s="27" t="s">
        <v>56</v>
      </c>
      <c r="V462" s="30" t="s">
        <v>59</v>
      </c>
      <c r="W462" s="31">
        <v>45817</v>
      </c>
      <c r="X462" s="22"/>
      <c r="Y462" s="19" t="s">
        <v>52</v>
      </c>
      <c r="Z462" s="19" t="s">
        <v>52</v>
      </c>
      <c r="AA462" s="19" t="s">
        <v>52</v>
      </c>
      <c r="AB462" s="42"/>
    </row>
    <row r="463" spans="1:33" s="29" customFormat="1" ht="15" customHeight="1" x14ac:dyDescent="0.25">
      <c r="A463" s="14">
        <v>5</v>
      </c>
      <c r="B463" s="15">
        <v>45812</v>
      </c>
      <c r="C463" s="15">
        <f t="shared" si="404"/>
        <v>45820</v>
      </c>
      <c r="D463" s="14">
        <v>12832</v>
      </c>
      <c r="E463" s="16" t="s">
        <v>556</v>
      </c>
      <c r="F463" s="40" t="s">
        <v>474</v>
      </c>
      <c r="G463" s="17" t="s">
        <v>75</v>
      </c>
      <c r="H463" s="18" t="s">
        <v>57</v>
      </c>
      <c r="I463" s="19" t="s">
        <v>58</v>
      </c>
      <c r="J463" s="20">
        <v>45770</v>
      </c>
      <c r="K463" s="20">
        <v>45804</v>
      </c>
      <c r="L463" s="21">
        <v>100000</v>
      </c>
      <c r="M463" s="22">
        <f t="shared" si="405"/>
        <v>3000</v>
      </c>
      <c r="N463" s="23">
        <v>0</v>
      </c>
      <c r="O463" s="23">
        <v>3000</v>
      </c>
      <c r="P463" s="24">
        <f t="shared" si="406"/>
        <v>100000</v>
      </c>
      <c r="Q463" s="25">
        <v>3000</v>
      </c>
      <c r="R463" s="26">
        <v>150000</v>
      </c>
      <c r="S463" s="91">
        <f t="shared" si="407"/>
        <v>0.66666666666666663</v>
      </c>
      <c r="T463" s="91">
        <f t="shared" si="408"/>
        <v>0.02</v>
      </c>
      <c r="U463" s="27" t="s">
        <v>193</v>
      </c>
      <c r="V463" s="30" t="s">
        <v>59</v>
      </c>
      <c r="W463" s="31">
        <v>45807</v>
      </c>
      <c r="X463" s="22"/>
      <c r="Y463" s="19" t="s">
        <v>52</v>
      </c>
      <c r="Z463" s="19" t="s">
        <v>52</v>
      </c>
      <c r="AA463" s="19" t="s">
        <v>52</v>
      </c>
      <c r="AB463" s="28"/>
    </row>
    <row r="464" spans="1:33" s="29" customFormat="1" ht="15" customHeight="1" x14ac:dyDescent="0.25">
      <c r="A464" s="14">
        <v>2</v>
      </c>
      <c r="B464" s="15">
        <v>45812</v>
      </c>
      <c r="C464" s="15">
        <f t="shared" si="404"/>
        <v>45820</v>
      </c>
      <c r="D464" s="14">
        <v>12911</v>
      </c>
      <c r="E464" s="16" t="s">
        <v>287</v>
      </c>
      <c r="F464" s="17" t="s">
        <v>288</v>
      </c>
      <c r="G464" s="17" t="s">
        <v>102</v>
      </c>
      <c r="H464" s="18" t="s">
        <v>62</v>
      </c>
      <c r="I464" s="19" t="s">
        <v>63</v>
      </c>
      <c r="J464" s="20">
        <v>45777</v>
      </c>
      <c r="K464" s="20">
        <v>45812</v>
      </c>
      <c r="L464" s="21">
        <v>750000</v>
      </c>
      <c r="M464" s="22">
        <f t="shared" si="405"/>
        <v>672000</v>
      </c>
      <c r="N464" s="23">
        <v>588000</v>
      </c>
      <c r="O464" s="23">
        <v>84000</v>
      </c>
      <c r="P464" s="24">
        <f t="shared" si="406"/>
        <v>162000</v>
      </c>
      <c r="Q464" s="25">
        <v>84000</v>
      </c>
      <c r="R464" s="26">
        <v>84000</v>
      </c>
      <c r="S464" s="91">
        <f t="shared" si="407"/>
        <v>1.9285714285714286</v>
      </c>
      <c r="T464" s="91">
        <f t="shared" si="408"/>
        <v>1</v>
      </c>
      <c r="U464" s="27" t="s">
        <v>193</v>
      </c>
      <c r="V464" s="19" t="s">
        <v>51</v>
      </c>
      <c r="W464" s="20">
        <v>45800</v>
      </c>
      <c r="X464" s="22"/>
      <c r="Y464" s="19" t="s">
        <v>52</v>
      </c>
      <c r="Z464" s="19" t="s">
        <v>52</v>
      </c>
      <c r="AA464" s="19" t="s">
        <v>52</v>
      </c>
      <c r="AB464" s="28"/>
    </row>
    <row r="465" spans="1:33" s="29" customFormat="1" ht="15" customHeight="1" x14ac:dyDescent="0.25">
      <c r="A465" s="14">
        <v>24</v>
      </c>
      <c r="B465" s="15">
        <v>45812</v>
      </c>
      <c r="C465" s="15">
        <f t="shared" si="404"/>
        <v>45820</v>
      </c>
      <c r="D465" s="14">
        <v>12922</v>
      </c>
      <c r="E465" s="16" t="s">
        <v>340</v>
      </c>
      <c r="F465" s="40" t="s">
        <v>201</v>
      </c>
      <c r="G465" s="17" t="s">
        <v>75</v>
      </c>
      <c r="H465" s="18" t="s">
        <v>57</v>
      </c>
      <c r="I465" s="19" t="s">
        <v>58</v>
      </c>
      <c r="J465" s="20">
        <v>45782</v>
      </c>
      <c r="K465" s="20">
        <v>45835</v>
      </c>
      <c r="L465" s="21">
        <v>1000000</v>
      </c>
      <c r="M465" s="22">
        <f t="shared" si="405"/>
        <v>615000</v>
      </c>
      <c r="N465" s="23">
        <v>465000</v>
      </c>
      <c r="O465" s="23">
        <v>150000</v>
      </c>
      <c r="P465" s="24">
        <f t="shared" si="406"/>
        <v>535000</v>
      </c>
      <c r="Q465" s="25">
        <v>150000</v>
      </c>
      <c r="R465" s="26">
        <v>150000</v>
      </c>
      <c r="S465" s="91">
        <f t="shared" si="407"/>
        <v>3.5666666666666669</v>
      </c>
      <c r="T465" s="91">
        <f t="shared" si="408"/>
        <v>1</v>
      </c>
      <c r="U465" s="27" t="s">
        <v>193</v>
      </c>
      <c r="V465" s="19" t="s">
        <v>51</v>
      </c>
      <c r="W465" s="20">
        <v>45798</v>
      </c>
      <c r="X465" s="22"/>
      <c r="Y465" s="19" t="s">
        <v>52</v>
      </c>
      <c r="Z465" s="19" t="s">
        <v>52</v>
      </c>
      <c r="AA465" s="19" t="s">
        <v>52</v>
      </c>
      <c r="AB465" s="28"/>
    </row>
    <row r="466" spans="1:33" s="29" customFormat="1" ht="15" customHeight="1" x14ac:dyDescent="0.25">
      <c r="A466" s="14">
        <v>3</v>
      </c>
      <c r="B466" s="15">
        <v>45812</v>
      </c>
      <c r="C466" s="15">
        <f t="shared" si="404"/>
        <v>45820</v>
      </c>
      <c r="D466" s="14">
        <v>12973</v>
      </c>
      <c r="E466" s="16" t="s">
        <v>636</v>
      </c>
      <c r="F466" s="17" t="s">
        <v>637</v>
      </c>
      <c r="G466" s="17" t="s">
        <v>102</v>
      </c>
      <c r="H466" s="18" t="s">
        <v>542</v>
      </c>
      <c r="I466" s="19" t="s">
        <v>104</v>
      </c>
      <c r="J466" s="20">
        <v>45786</v>
      </c>
      <c r="K466" s="20">
        <v>45814</v>
      </c>
      <c r="L466" s="21">
        <v>100000</v>
      </c>
      <c r="M466" s="22">
        <f t="shared" si="405"/>
        <v>108000</v>
      </c>
      <c r="N466" s="23">
        <v>20000</v>
      </c>
      <c r="O466" s="23">
        <v>88000</v>
      </c>
      <c r="P466" s="24">
        <f t="shared" si="406"/>
        <v>80000</v>
      </c>
      <c r="Q466" s="25">
        <v>88000</v>
      </c>
      <c r="R466" s="26">
        <v>63000</v>
      </c>
      <c r="S466" s="91">
        <f t="shared" si="407"/>
        <v>1.2698412698412698</v>
      </c>
      <c r="T466" s="91">
        <f t="shared" si="408"/>
        <v>1.3968253968253967</v>
      </c>
      <c r="U466" s="27" t="s">
        <v>193</v>
      </c>
      <c r="V466" s="30" t="s">
        <v>59</v>
      </c>
      <c r="W466" s="31">
        <v>45805</v>
      </c>
      <c r="X466" s="22"/>
      <c r="Y466" s="19" t="s">
        <v>52</v>
      </c>
      <c r="Z466" s="19" t="s">
        <v>52</v>
      </c>
      <c r="AA466" s="19" t="s">
        <v>52</v>
      </c>
      <c r="AB466" s="28"/>
    </row>
    <row r="467" spans="1:33" s="29" customFormat="1" ht="15" customHeight="1" x14ac:dyDescent="0.25">
      <c r="A467" s="14">
        <v>4</v>
      </c>
      <c r="B467" s="15">
        <v>45812</v>
      </c>
      <c r="C467" s="15">
        <f t="shared" si="404"/>
        <v>45820</v>
      </c>
      <c r="D467" s="14">
        <v>12971</v>
      </c>
      <c r="E467" s="16" t="s">
        <v>312</v>
      </c>
      <c r="F467" s="17" t="s">
        <v>313</v>
      </c>
      <c r="G467" s="17" t="s">
        <v>102</v>
      </c>
      <c r="H467" s="18" t="s">
        <v>57</v>
      </c>
      <c r="I467" s="19" t="s">
        <v>94</v>
      </c>
      <c r="J467" s="20">
        <v>45790</v>
      </c>
      <c r="K467" s="20">
        <v>45814</v>
      </c>
      <c r="L467" s="21">
        <v>30000</v>
      </c>
      <c r="M467" s="22">
        <f t="shared" si="405"/>
        <v>24000</v>
      </c>
      <c r="N467" s="23">
        <v>0</v>
      </c>
      <c r="O467" s="23">
        <v>24000</v>
      </c>
      <c r="P467" s="24">
        <f t="shared" si="406"/>
        <v>30000</v>
      </c>
      <c r="Q467" s="25">
        <v>24000</v>
      </c>
      <c r="R467" s="26">
        <v>50000</v>
      </c>
      <c r="S467" s="91">
        <f t="shared" ref="S467:S471" si="409">IF(P467&gt;0,P467/$R467,0)</f>
        <v>0.6</v>
      </c>
      <c r="T467" s="91">
        <f t="shared" ref="T467:T471" si="410">IF(Q467&gt;0,Q467/$R467,0)</f>
        <v>0.48</v>
      </c>
      <c r="U467" s="27" t="s">
        <v>193</v>
      </c>
      <c r="V467" s="30" t="s">
        <v>59</v>
      </c>
      <c r="W467" s="31">
        <v>45807</v>
      </c>
      <c r="X467" s="22"/>
      <c r="Y467" s="19" t="s">
        <v>52</v>
      </c>
      <c r="Z467" s="19" t="s">
        <v>52</v>
      </c>
      <c r="AA467" s="19" t="s">
        <v>52</v>
      </c>
      <c r="AB467" s="28"/>
    </row>
    <row r="468" spans="1:33" s="29" customFormat="1" ht="15" customHeight="1" x14ac:dyDescent="0.25">
      <c r="A468" s="14">
        <v>10</v>
      </c>
      <c r="B468" s="15">
        <v>45812</v>
      </c>
      <c r="C468" s="15">
        <f t="shared" ref="C468" si="411">B468+8</f>
        <v>45820</v>
      </c>
      <c r="D468" s="14">
        <v>12999</v>
      </c>
      <c r="E468" s="16" t="s">
        <v>656</v>
      </c>
      <c r="F468" s="40" t="s">
        <v>657</v>
      </c>
      <c r="G468" s="17" t="s">
        <v>75</v>
      </c>
      <c r="H468" s="18" t="s">
        <v>57</v>
      </c>
      <c r="I468" s="19" t="s">
        <v>94</v>
      </c>
      <c r="J468" s="20">
        <v>45796</v>
      </c>
      <c r="K468" s="20">
        <v>45831</v>
      </c>
      <c r="L468" s="21">
        <v>250000</v>
      </c>
      <c r="M468" s="22">
        <f t="shared" si="405"/>
        <v>100000</v>
      </c>
      <c r="N468" s="23">
        <v>0</v>
      </c>
      <c r="O468" s="23">
        <v>100000</v>
      </c>
      <c r="P468" s="24">
        <f t="shared" si="406"/>
        <v>250000</v>
      </c>
      <c r="Q468" s="25">
        <v>100000</v>
      </c>
      <c r="R468" s="26">
        <v>50000</v>
      </c>
      <c r="S468" s="91">
        <f t="shared" si="409"/>
        <v>5</v>
      </c>
      <c r="T468" s="91">
        <f t="shared" si="410"/>
        <v>2</v>
      </c>
      <c r="U468" s="27" t="s">
        <v>193</v>
      </c>
      <c r="V468" s="30" t="s">
        <v>59</v>
      </c>
      <c r="W468" s="31">
        <v>45809</v>
      </c>
      <c r="X468" s="22"/>
      <c r="Y468" s="19" t="s">
        <v>52</v>
      </c>
      <c r="Z468" s="19" t="s">
        <v>52</v>
      </c>
      <c r="AA468" s="19" t="s">
        <v>52</v>
      </c>
      <c r="AB468" s="28"/>
    </row>
    <row r="469" spans="1:33" s="29" customFormat="1" ht="15" customHeight="1" x14ac:dyDescent="0.25">
      <c r="A469" s="14">
        <v>1</v>
      </c>
      <c r="B469" s="15">
        <v>45812</v>
      </c>
      <c r="C469" s="15">
        <f>B469+8</f>
        <v>45820</v>
      </c>
      <c r="D469" s="14">
        <v>12850</v>
      </c>
      <c r="E469" s="16" t="s">
        <v>403</v>
      </c>
      <c r="F469" s="17" t="s">
        <v>69</v>
      </c>
      <c r="G469" s="17" t="s">
        <v>47</v>
      </c>
      <c r="H469" s="18" t="s">
        <v>542</v>
      </c>
      <c r="I469" s="19" t="s">
        <v>70</v>
      </c>
      <c r="J469" s="20">
        <v>45769</v>
      </c>
      <c r="K469" s="20">
        <v>45805</v>
      </c>
      <c r="L469" s="21">
        <v>2000000</v>
      </c>
      <c r="M469" s="22">
        <f t="shared" si="405"/>
        <v>2130000</v>
      </c>
      <c r="N469" s="23">
        <v>2127000</v>
      </c>
      <c r="O469" s="23">
        <v>3000</v>
      </c>
      <c r="P469" s="24">
        <f t="shared" si="406"/>
        <v>-127000</v>
      </c>
      <c r="Q469" s="25">
        <v>3000</v>
      </c>
      <c r="R469" s="26">
        <v>50000</v>
      </c>
      <c r="S469" s="91">
        <f t="shared" si="409"/>
        <v>0</v>
      </c>
      <c r="T469" s="91">
        <f t="shared" si="410"/>
        <v>0.06</v>
      </c>
      <c r="U469" s="27" t="s">
        <v>193</v>
      </c>
      <c r="V469" s="19" t="s">
        <v>51</v>
      </c>
      <c r="W469" s="20">
        <v>45784</v>
      </c>
      <c r="X469" s="22"/>
      <c r="Y469" s="19" t="s">
        <v>52</v>
      </c>
      <c r="Z469" s="19" t="s">
        <v>52</v>
      </c>
      <c r="AA469" s="19" t="s">
        <v>52</v>
      </c>
      <c r="AB469" s="42"/>
    </row>
    <row r="470" spans="1:33" s="29" customFormat="1" ht="15" customHeight="1" x14ac:dyDescent="0.25">
      <c r="A470" s="14">
        <v>4</v>
      </c>
      <c r="B470" s="15">
        <v>45812</v>
      </c>
      <c r="C470" s="15">
        <f>B470+8</f>
        <v>45820</v>
      </c>
      <c r="D470" s="14">
        <v>12842</v>
      </c>
      <c r="E470" s="16" t="s">
        <v>468</v>
      </c>
      <c r="F470" s="17" t="s">
        <v>469</v>
      </c>
      <c r="G470" s="17" t="s">
        <v>47</v>
      </c>
      <c r="H470" s="18" t="s">
        <v>57</v>
      </c>
      <c r="I470" s="19" t="s">
        <v>58</v>
      </c>
      <c r="J470" s="20">
        <v>45765</v>
      </c>
      <c r="K470" s="20">
        <v>45820</v>
      </c>
      <c r="L470" s="21">
        <v>2000000</v>
      </c>
      <c r="M470" s="22">
        <f t="shared" ref="M470" si="412">SUM(N470:O470)</f>
        <v>2214000</v>
      </c>
      <c r="N470" s="23">
        <v>2158000</v>
      </c>
      <c r="O470" s="23">
        <v>56000</v>
      </c>
      <c r="P470" s="24">
        <f t="shared" si="406"/>
        <v>-158000</v>
      </c>
      <c r="Q470" s="25">
        <v>56000</v>
      </c>
      <c r="R470" s="26">
        <v>96000</v>
      </c>
      <c r="S470" s="91">
        <f t="shared" si="409"/>
        <v>0</v>
      </c>
      <c r="T470" s="91">
        <f t="shared" si="410"/>
        <v>0.58333333333333337</v>
      </c>
      <c r="U470" s="27" t="s">
        <v>193</v>
      </c>
      <c r="V470" s="19" t="s">
        <v>51</v>
      </c>
      <c r="W470" s="20">
        <v>45789</v>
      </c>
      <c r="X470" s="22"/>
      <c r="Y470" s="19" t="s">
        <v>52</v>
      </c>
      <c r="Z470" s="19" t="s">
        <v>52</v>
      </c>
      <c r="AA470" s="19" t="s">
        <v>52</v>
      </c>
      <c r="AB470" s="42"/>
    </row>
    <row r="471" spans="1:33" s="29" customFormat="1" ht="15" customHeight="1" x14ac:dyDescent="0.25">
      <c r="A471" s="14">
        <v>4</v>
      </c>
      <c r="B471" s="15">
        <v>45812</v>
      </c>
      <c r="C471" s="15">
        <f t="shared" ref="C471" si="413">B471+8</f>
        <v>45820</v>
      </c>
      <c r="D471" s="14">
        <v>12854</v>
      </c>
      <c r="E471" s="16" t="s">
        <v>596</v>
      </c>
      <c r="F471" s="40" t="s">
        <v>597</v>
      </c>
      <c r="G471" s="17" t="s">
        <v>75</v>
      </c>
      <c r="H471" s="18" t="s">
        <v>57</v>
      </c>
      <c r="I471" s="19" t="s">
        <v>94</v>
      </c>
      <c r="J471" s="20">
        <v>45769</v>
      </c>
      <c r="K471" s="20">
        <v>45804</v>
      </c>
      <c r="L471" s="21">
        <v>300000</v>
      </c>
      <c r="M471" s="22">
        <f t="shared" ref="M471" si="414">SUM(N471:O471)</f>
        <v>4000</v>
      </c>
      <c r="N471" s="23">
        <v>0</v>
      </c>
      <c r="O471" s="23">
        <v>4000</v>
      </c>
      <c r="P471" s="24">
        <f t="shared" ref="P471" si="415">L471-N471</f>
        <v>300000</v>
      </c>
      <c r="Q471" s="25">
        <v>4000</v>
      </c>
      <c r="R471" s="26">
        <v>150000</v>
      </c>
      <c r="S471" s="91">
        <f t="shared" si="409"/>
        <v>2</v>
      </c>
      <c r="T471" s="91">
        <f t="shared" si="410"/>
        <v>2.6666666666666668E-2</v>
      </c>
      <c r="U471" s="27" t="s">
        <v>193</v>
      </c>
      <c r="V471" s="30" t="s">
        <v>59</v>
      </c>
      <c r="W471" s="31">
        <v>45808</v>
      </c>
      <c r="X471" s="22"/>
      <c r="Y471" s="19" t="s">
        <v>52</v>
      </c>
      <c r="Z471" s="19" t="s">
        <v>52</v>
      </c>
      <c r="AA471" s="19" t="s">
        <v>52</v>
      </c>
      <c r="AB471" s="28"/>
    </row>
    <row r="472" spans="1:33" ht="15" customHeight="1" x14ac:dyDescent="0.25">
      <c r="A472" s="33" t="s">
        <v>71</v>
      </c>
      <c r="B472" s="34"/>
      <c r="C472" s="34"/>
      <c r="D472" s="34"/>
      <c r="E472" s="34"/>
      <c r="F472" s="35"/>
      <c r="G472" s="35"/>
      <c r="H472" s="34"/>
      <c r="I472" s="34"/>
      <c r="J472" s="34"/>
      <c r="K472" s="34"/>
      <c r="L472" s="36"/>
      <c r="M472" s="36"/>
      <c r="N472" s="36"/>
      <c r="O472" s="36"/>
      <c r="P472" s="36"/>
      <c r="Q472" s="36">
        <f>SUM(Q458:Q471)</f>
        <v>2219210</v>
      </c>
      <c r="R472" s="36"/>
      <c r="S472" s="92"/>
      <c r="T472" s="93">
        <f>SUM(T458:T471)</f>
        <v>20.092189662189661</v>
      </c>
      <c r="U472" s="37"/>
      <c r="V472" s="38"/>
      <c r="W472" s="38"/>
      <c r="X472" s="38"/>
      <c r="Y472" s="34"/>
      <c r="Z472" s="34"/>
      <c r="AA472" s="39"/>
      <c r="AB472" s="29" t="s">
        <v>682</v>
      </c>
      <c r="AC472" s="81" t="s">
        <v>686</v>
      </c>
      <c r="AD472" s="83">
        <v>5000</v>
      </c>
      <c r="AF472" s="83">
        <v>0</v>
      </c>
      <c r="AG472" s="83">
        <f>SUM(AD472,AF472)</f>
        <v>5000</v>
      </c>
    </row>
    <row r="473" spans="1:33" s="29" customFormat="1" ht="15" customHeight="1" x14ac:dyDescent="0.25">
      <c r="A473" s="14">
        <v>1</v>
      </c>
      <c r="B473" s="15">
        <v>45812</v>
      </c>
      <c r="C473" s="15">
        <f t="shared" ref="C473:C478" si="416">B473+8</f>
        <v>45820</v>
      </c>
      <c r="D473" s="14">
        <v>12719</v>
      </c>
      <c r="E473" s="16" t="s">
        <v>548</v>
      </c>
      <c r="F473" s="17" t="s">
        <v>549</v>
      </c>
      <c r="G473" s="17" t="s">
        <v>132</v>
      </c>
      <c r="H473" s="18" t="s">
        <v>78</v>
      </c>
      <c r="I473" s="19" t="s">
        <v>79</v>
      </c>
      <c r="J473" s="20">
        <v>45737</v>
      </c>
      <c r="K473" s="20">
        <v>45778</v>
      </c>
      <c r="L473" s="21">
        <v>270000</v>
      </c>
      <c r="M473" s="22">
        <f t="shared" ref="M473" si="417">SUM(N473:O473)</f>
        <v>0</v>
      </c>
      <c r="N473" s="23">
        <v>0</v>
      </c>
      <c r="O473" s="23">
        <v>0</v>
      </c>
      <c r="P473" s="24">
        <f t="shared" ref="P473:P479" si="418">L473-N473</f>
        <v>270000</v>
      </c>
      <c r="Q473" s="25">
        <v>60000</v>
      </c>
      <c r="R473" s="26">
        <v>270000</v>
      </c>
      <c r="S473" s="91">
        <f t="shared" ref="S473:S480" si="419">IF(P473&gt;0,P473/$R473,0)</f>
        <v>1</v>
      </c>
      <c r="T473" s="91">
        <f t="shared" ref="T473:T480" si="420">IF(Q473&gt;0,Q473/$R473,0)</f>
        <v>0.22222222222222221</v>
      </c>
      <c r="U473" s="27" t="s">
        <v>56</v>
      </c>
      <c r="V473" s="19" t="s">
        <v>51</v>
      </c>
      <c r="W473" s="20">
        <v>45809</v>
      </c>
      <c r="X473" s="22"/>
      <c r="Y473" s="19" t="s">
        <v>52</v>
      </c>
      <c r="Z473" s="19" t="s">
        <v>52</v>
      </c>
      <c r="AA473" s="19" t="s">
        <v>52</v>
      </c>
      <c r="AB473" s="28"/>
    </row>
    <row r="474" spans="1:33" s="29" customFormat="1" ht="15" customHeight="1" x14ac:dyDescent="0.25">
      <c r="A474" s="14">
        <v>4</v>
      </c>
      <c r="B474" s="15">
        <v>45812</v>
      </c>
      <c r="C474" s="15">
        <f t="shared" si="416"/>
        <v>45820</v>
      </c>
      <c r="D474" s="14">
        <v>12907</v>
      </c>
      <c r="E474" s="16" t="s">
        <v>333</v>
      </c>
      <c r="F474" s="17" t="s">
        <v>334</v>
      </c>
      <c r="G474" s="17" t="s">
        <v>132</v>
      </c>
      <c r="H474" s="18" t="s">
        <v>162</v>
      </c>
      <c r="I474" s="19" t="s">
        <v>198</v>
      </c>
      <c r="J474" s="20">
        <v>45776</v>
      </c>
      <c r="K474" s="20">
        <v>45817</v>
      </c>
      <c r="L474" s="21">
        <v>350000</v>
      </c>
      <c r="M474" s="22">
        <f t="shared" ref="M474:M479" si="421">SUM(N474:O474)</f>
        <v>31370</v>
      </c>
      <c r="N474" s="23">
        <v>0</v>
      </c>
      <c r="O474" s="23">
        <v>31370</v>
      </c>
      <c r="P474" s="24">
        <f t="shared" si="418"/>
        <v>350000</v>
      </c>
      <c r="Q474" s="25">
        <v>46045</v>
      </c>
      <c r="R474" s="26">
        <v>324000</v>
      </c>
      <c r="S474" s="91">
        <f t="shared" si="419"/>
        <v>1.0802469135802468</v>
      </c>
      <c r="T474" s="91">
        <f t="shared" si="420"/>
        <v>0.14211419753086421</v>
      </c>
      <c r="U474" s="27" t="s">
        <v>56</v>
      </c>
      <c r="V474" s="30" t="s">
        <v>59</v>
      </c>
      <c r="W474" s="31">
        <v>45814</v>
      </c>
      <c r="X474" s="22"/>
      <c r="Y474" s="19" t="s">
        <v>52</v>
      </c>
      <c r="Z474" s="19" t="s">
        <v>52</v>
      </c>
      <c r="AA474" s="19" t="s">
        <v>52</v>
      </c>
      <c r="AB474" s="28"/>
    </row>
    <row r="475" spans="1:33" s="29" customFormat="1" ht="15" customHeight="1" x14ac:dyDescent="0.25">
      <c r="A475" s="14">
        <v>5</v>
      </c>
      <c r="B475" s="15">
        <v>45812</v>
      </c>
      <c r="C475" s="15">
        <f t="shared" si="416"/>
        <v>45820</v>
      </c>
      <c r="D475" s="14">
        <v>12927</v>
      </c>
      <c r="E475" s="16" t="s">
        <v>114</v>
      </c>
      <c r="F475" s="17" t="s">
        <v>115</v>
      </c>
      <c r="G475" s="17" t="s">
        <v>102</v>
      </c>
      <c r="H475" s="18" t="s">
        <v>542</v>
      </c>
      <c r="I475" s="19" t="s">
        <v>104</v>
      </c>
      <c r="J475" s="20">
        <v>45779</v>
      </c>
      <c r="K475" s="20">
        <v>45817</v>
      </c>
      <c r="L475" s="21">
        <v>1500000</v>
      </c>
      <c r="M475" s="22">
        <f t="shared" si="421"/>
        <v>1536000</v>
      </c>
      <c r="N475" s="23">
        <v>630000</v>
      </c>
      <c r="O475" s="23">
        <v>906000</v>
      </c>
      <c r="P475" s="24">
        <f t="shared" si="418"/>
        <v>870000</v>
      </c>
      <c r="Q475" s="25">
        <v>906000</v>
      </c>
      <c r="R475" s="26">
        <v>63000</v>
      </c>
      <c r="S475" s="91">
        <f t="shared" si="419"/>
        <v>13.80952380952381</v>
      </c>
      <c r="T475" s="91">
        <f t="shared" si="420"/>
        <v>14.380952380952381</v>
      </c>
      <c r="U475" s="27" t="s">
        <v>56</v>
      </c>
      <c r="V475" s="19" t="s">
        <v>51</v>
      </c>
      <c r="W475" s="20">
        <v>45797</v>
      </c>
      <c r="X475" s="22"/>
      <c r="Y475" s="19" t="s">
        <v>52</v>
      </c>
      <c r="Z475" s="19" t="s">
        <v>52</v>
      </c>
      <c r="AA475" s="19" t="s">
        <v>52</v>
      </c>
      <c r="AB475" s="28"/>
    </row>
    <row r="476" spans="1:33" s="29" customFormat="1" ht="15" customHeight="1" x14ac:dyDescent="0.25">
      <c r="A476" s="14">
        <v>1</v>
      </c>
      <c r="B476" s="15">
        <v>45812</v>
      </c>
      <c r="C476" s="15">
        <f t="shared" si="416"/>
        <v>45820</v>
      </c>
      <c r="D476" s="14">
        <v>12943</v>
      </c>
      <c r="E476" s="16" t="s">
        <v>626</v>
      </c>
      <c r="F476" s="17" t="s">
        <v>627</v>
      </c>
      <c r="G476" s="17" t="s">
        <v>102</v>
      </c>
      <c r="H476" s="18" t="s">
        <v>57</v>
      </c>
      <c r="I476" s="19" t="s">
        <v>94</v>
      </c>
      <c r="J476" s="20">
        <v>45784</v>
      </c>
      <c r="K476" s="20">
        <v>45807</v>
      </c>
      <c r="L476" s="21">
        <v>200000</v>
      </c>
      <c r="M476" s="22">
        <f t="shared" si="421"/>
        <v>170000</v>
      </c>
      <c r="N476" s="23">
        <v>20000</v>
      </c>
      <c r="O476" s="23">
        <v>150000</v>
      </c>
      <c r="P476" s="24">
        <f t="shared" si="418"/>
        <v>180000</v>
      </c>
      <c r="Q476" s="25">
        <v>150000</v>
      </c>
      <c r="R476" s="26">
        <v>50000</v>
      </c>
      <c r="S476" s="91">
        <f t="shared" si="419"/>
        <v>3.6</v>
      </c>
      <c r="T476" s="91">
        <f t="shared" si="420"/>
        <v>3</v>
      </c>
      <c r="U476" s="27" t="s">
        <v>193</v>
      </c>
      <c r="V476" s="30" t="s">
        <v>59</v>
      </c>
      <c r="W476" s="31">
        <v>45805</v>
      </c>
      <c r="X476" s="22"/>
      <c r="Y476" s="19" t="s">
        <v>52</v>
      </c>
      <c r="Z476" s="19" t="s">
        <v>52</v>
      </c>
      <c r="AA476" s="19" t="s">
        <v>52</v>
      </c>
      <c r="AB476" s="28"/>
    </row>
    <row r="477" spans="1:33" s="29" customFormat="1" ht="15" customHeight="1" x14ac:dyDescent="0.25">
      <c r="A477" s="14">
        <v>23</v>
      </c>
      <c r="B477" s="15">
        <v>45812</v>
      </c>
      <c r="C477" s="15">
        <f t="shared" si="416"/>
        <v>45820</v>
      </c>
      <c r="D477" s="14">
        <v>12923</v>
      </c>
      <c r="E477" s="16" t="s">
        <v>456</v>
      </c>
      <c r="F477" s="40" t="s">
        <v>80</v>
      </c>
      <c r="G477" s="17" t="s">
        <v>75</v>
      </c>
      <c r="H477" s="18" t="s">
        <v>57</v>
      </c>
      <c r="I477" s="19" t="s">
        <v>58</v>
      </c>
      <c r="J477" s="20">
        <v>45782</v>
      </c>
      <c r="K477" s="20">
        <v>45835</v>
      </c>
      <c r="L477" s="21">
        <v>600000</v>
      </c>
      <c r="M477" s="22">
        <f t="shared" si="421"/>
        <v>300000</v>
      </c>
      <c r="N477" s="23">
        <v>0</v>
      </c>
      <c r="O477" s="23">
        <v>300000</v>
      </c>
      <c r="P477" s="24">
        <f t="shared" si="418"/>
        <v>600000</v>
      </c>
      <c r="Q477" s="25">
        <v>300000</v>
      </c>
      <c r="R477" s="26">
        <v>150000</v>
      </c>
      <c r="S477" s="91">
        <f t="shared" si="419"/>
        <v>4</v>
      </c>
      <c r="T477" s="91">
        <f t="shared" si="420"/>
        <v>2</v>
      </c>
      <c r="U477" s="27" t="s">
        <v>193</v>
      </c>
      <c r="V477" s="19" t="s">
        <v>51</v>
      </c>
      <c r="W477" s="20">
        <v>45798</v>
      </c>
      <c r="X477" s="22"/>
      <c r="Y477" s="19" t="s">
        <v>52</v>
      </c>
      <c r="Z477" s="19" t="s">
        <v>52</v>
      </c>
      <c r="AA477" s="19" t="s">
        <v>52</v>
      </c>
      <c r="AB477" s="28"/>
    </row>
    <row r="478" spans="1:33" s="29" customFormat="1" ht="15" customHeight="1" x14ac:dyDescent="0.25">
      <c r="A478" s="14">
        <v>3</v>
      </c>
      <c r="B478" s="15">
        <v>45812</v>
      </c>
      <c r="C478" s="15">
        <f t="shared" si="416"/>
        <v>45820</v>
      </c>
      <c r="D478" s="14">
        <v>12953</v>
      </c>
      <c r="E478" s="16" t="s">
        <v>394</v>
      </c>
      <c r="F478" s="17" t="s">
        <v>638</v>
      </c>
      <c r="G478" s="17" t="s">
        <v>47</v>
      </c>
      <c r="H478" s="18" t="s">
        <v>639</v>
      </c>
      <c r="I478" s="19" t="s">
        <v>395</v>
      </c>
      <c r="J478" s="20">
        <v>45786</v>
      </c>
      <c r="K478" s="20">
        <v>45818</v>
      </c>
      <c r="L478" s="21">
        <v>100000</v>
      </c>
      <c r="M478" s="22">
        <f t="shared" si="421"/>
        <v>115000</v>
      </c>
      <c r="N478" s="23">
        <v>50000</v>
      </c>
      <c r="O478" s="23">
        <v>65000</v>
      </c>
      <c r="P478" s="24">
        <f t="shared" si="418"/>
        <v>50000</v>
      </c>
      <c r="Q478" s="25">
        <v>65000</v>
      </c>
      <c r="R478" s="26">
        <v>50000</v>
      </c>
      <c r="S478" s="91">
        <f t="shared" si="419"/>
        <v>1</v>
      </c>
      <c r="T478" s="91">
        <f t="shared" si="420"/>
        <v>1.3</v>
      </c>
      <c r="U478" s="27" t="s">
        <v>193</v>
      </c>
      <c r="V478" s="30" t="s">
        <v>59</v>
      </c>
      <c r="W478" s="31">
        <v>45805</v>
      </c>
      <c r="X478" s="22"/>
      <c r="Y478" s="19" t="s">
        <v>52</v>
      </c>
      <c r="Z478" s="19" t="s">
        <v>52</v>
      </c>
      <c r="AA478" s="19" t="s">
        <v>52</v>
      </c>
      <c r="AB478" s="42"/>
    </row>
    <row r="479" spans="1:33" s="29" customFormat="1" ht="15" customHeight="1" x14ac:dyDescent="0.25">
      <c r="A479" s="14">
        <v>7</v>
      </c>
      <c r="B479" s="15">
        <v>45812</v>
      </c>
      <c r="C479" s="15">
        <f t="shared" ref="C479" si="422">B479+8</f>
        <v>45820</v>
      </c>
      <c r="D479" s="14">
        <v>12985</v>
      </c>
      <c r="E479" s="16" t="s">
        <v>389</v>
      </c>
      <c r="F479" s="17" t="s">
        <v>267</v>
      </c>
      <c r="G479" s="17" t="s">
        <v>102</v>
      </c>
      <c r="H479" s="18" t="s">
        <v>57</v>
      </c>
      <c r="I479" s="19" t="s">
        <v>94</v>
      </c>
      <c r="J479" s="20">
        <v>45792</v>
      </c>
      <c r="K479" s="20">
        <v>45820</v>
      </c>
      <c r="L479" s="21">
        <v>300000</v>
      </c>
      <c r="M479" s="22">
        <f t="shared" si="421"/>
        <v>100000</v>
      </c>
      <c r="N479" s="23">
        <v>0</v>
      </c>
      <c r="O479" s="23">
        <v>100000</v>
      </c>
      <c r="P479" s="24">
        <f t="shared" si="418"/>
        <v>300000</v>
      </c>
      <c r="Q479" s="25">
        <v>100000</v>
      </c>
      <c r="R479" s="26">
        <v>50000</v>
      </c>
      <c r="S479" s="91">
        <f t="shared" si="419"/>
        <v>6</v>
      </c>
      <c r="T479" s="91">
        <f t="shared" si="420"/>
        <v>2</v>
      </c>
      <c r="U479" s="27" t="s">
        <v>193</v>
      </c>
      <c r="V479" s="19" t="s">
        <v>51</v>
      </c>
      <c r="W479" s="20">
        <v>45803</v>
      </c>
      <c r="X479" s="22"/>
      <c r="Y479" s="19" t="s">
        <v>52</v>
      </c>
      <c r="Z479" s="19" t="s">
        <v>52</v>
      </c>
      <c r="AA479" s="19" t="s">
        <v>52</v>
      </c>
      <c r="AB479" s="28"/>
    </row>
    <row r="480" spans="1:33" s="29" customFormat="1" ht="15" customHeight="1" x14ac:dyDescent="0.25">
      <c r="A480" s="14">
        <v>8</v>
      </c>
      <c r="B480" s="15">
        <v>45812</v>
      </c>
      <c r="C480" s="15">
        <f t="shared" ref="C480" si="423">B480+8</f>
        <v>45820</v>
      </c>
      <c r="D480" s="14">
        <v>12997</v>
      </c>
      <c r="E480" s="16" t="s">
        <v>73</v>
      </c>
      <c r="F480" s="40" t="s">
        <v>74</v>
      </c>
      <c r="G480" s="17" t="s">
        <v>75</v>
      </c>
      <c r="H480" s="18" t="s">
        <v>542</v>
      </c>
      <c r="I480" s="19" t="s">
        <v>49</v>
      </c>
      <c r="J480" s="20">
        <v>45796</v>
      </c>
      <c r="K480" s="20">
        <v>45807</v>
      </c>
      <c r="L480" s="21">
        <v>350000</v>
      </c>
      <c r="M480" s="22">
        <f t="shared" ref="M480" si="424">SUM(N480:O480)</f>
        <v>100000</v>
      </c>
      <c r="N480" s="23">
        <v>0</v>
      </c>
      <c r="O480" s="23">
        <v>100000</v>
      </c>
      <c r="P480" s="24">
        <f t="shared" ref="P480" si="425">L480-N480</f>
        <v>350000</v>
      </c>
      <c r="Q480" s="25">
        <v>100000</v>
      </c>
      <c r="R480" s="26">
        <v>36000</v>
      </c>
      <c r="S480" s="91">
        <f t="shared" si="419"/>
        <v>9.7222222222222214</v>
      </c>
      <c r="T480" s="91">
        <f t="shared" si="420"/>
        <v>2.7777777777777777</v>
      </c>
      <c r="U480" s="27" t="s">
        <v>193</v>
      </c>
      <c r="V480" s="19" t="s">
        <v>51</v>
      </c>
      <c r="W480" s="20">
        <v>45803</v>
      </c>
      <c r="X480" s="22"/>
      <c r="Y480" s="19" t="s">
        <v>52</v>
      </c>
      <c r="Z480" s="19" t="s">
        <v>52</v>
      </c>
      <c r="AA480" s="19" t="s">
        <v>52</v>
      </c>
      <c r="AB480" s="28"/>
    </row>
    <row r="481" spans="1:33" ht="15" customHeight="1" x14ac:dyDescent="0.25">
      <c r="A481" s="33" t="s">
        <v>71</v>
      </c>
      <c r="B481" s="34"/>
      <c r="C481" s="34"/>
      <c r="D481" s="34"/>
      <c r="E481" s="34"/>
      <c r="F481" s="35"/>
      <c r="G481" s="35"/>
      <c r="H481" s="34"/>
      <c r="I481" s="34"/>
      <c r="J481" s="34"/>
      <c r="K481" s="34"/>
      <c r="L481" s="36"/>
      <c r="M481" s="36"/>
      <c r="N481" s="36"/>
      <c r="O481" s="36"/>
      <c r="P481" s="36"/>
      <c r="Q481" s="36">
        <f>SUM(Q473:Q480)</f>
        <v>1727045</v>
      </c>
      <c r="R481" s="36"/>
      <c r="S481" s="92"/>
      <c r="T481" s="93">
        <f>SUM(T473:T480)</f>
        <v>25.823066578483246</v>
      </c>
      <c r="U481" s="37"/>
      <c r="V481" s="38"/>
      <c r="W481" s="38"/>
      <c r="X481" s="38"/>
      <c r="Y481" s="34"/>
      <c r="Z481" s="34"/>
      <c r="AA481" s="39"/>
      <c r="AB481" s="29" t="s">
        <v>683</v>
      </c>
      <c r="AC481" s="81" t="s">
        <v>687</v>
      </c>
      <c r="AD481" s="83">
        <v>5000</v>
      </c>
      <c r="AF481" s="83">
        <v>0</v>
      </c>
      <c r="AG481" s="83">
        <f>SUM(AD481,AF481)</f>
        <v>5000</v>
      </c>
    </row>
    <row r="482" spans="1:33" s="29" customFormat="1" ht="15" customHeight="1" x14ac:dyDescent="0.25">
      <c r="A482" s="14">
        <v>13</v>
      </c>
      <c r="B482" s="15">
        <v>45818</v>
      </c>
      <c r="C482" s="15">
        <f>B482+8</f>
        <v>45826</v>
      </c>
      <c r="D482" s="14">
        <v>12957</v>
      </c>
      <c r="E482" s="16" t="s">
        <v>385</v>
      </c>
      <c r="F482" s="40" t="s">
        <v>386</v>
      </c>
      <c r="G482" s="17" t="s">
        <v>75</v>
      </c>
      <c r="H482" s="18" t="s">
        <v>542</v>
      </c>
      <c r="I482" s="19" t="s">
        <v>70</v>
      </c>
      <c r="J482" s="20">
        <v>45790</v>
      </c>
      <c r="K482" s="20">
        <v>45826</v>
      </c>
      <c r="L482" s="21">
        <v>2000000</v>
      </c>
      <c r="M482" s="22">
        <f>SUM(N482:O482)</f>
        <v>1554000</v>
      </c>
      <c r="N482" s="23">
        <v>450000</v>
      </c>
      <c r="O482" s="23">
        <v>1104000</v>
      </c>
      <c r="P482" s="24">
        <f>L482-N482</f>
        <v>1550000</v>
      </c>
      <c r="Q482" s="25">
        <v>1104000</v>
      </c>
      <c r="R482" s="26">
        <v>150000</v>
      </c>
      <c r="S482" s="91">
        <f t="shared" ref="S482:S489" si="426">IF(P482&gt;0,P482/$R482,0)</f>
        <v>10.333333333333334</v>
      </c>
      <c r="T482" s="91">
        <f t="shared" ref="T482:T489" si="427">IF(Q482&gt;0,Q482/$R482,0)</f>
        <v>7.36</v>
      </c>
      <c r="U482" s="27" t="s">
        <v>56</v>
      </c>
      <c r="V482" s="30" t="s">
        <v>59</v>
      </c>
      <c r="W482" s="31">
        <v>45809</v>
      </c>
      <c r="X482" s="22"/>
      <c r="Y482" s="19" t="s">
        <v>52</v>
      </c>
      <c r="Z482" s="19" t="s">
        <v>52</v>
      </c>
      <c r="AA482" s="19" t="s">
        <v>52</v>
      </c>
      <c r="AB482" s="28"/>
    </row>
    <row r="483" spans="1:33" s="29" customFormat="1" ht="15" customHeight="1" x14ac:dyDescent="0.25">
      <c r="A483" s="14">
        <v>5</v>
      </c>
      <c r="B483" s="15">
        <v>45818</v>
      </c>
      <c r="C483" s="15">
        <f>B483+8</f>
        <v>45826</v>
      </c>
      <c r="D483" s="14">
        <v>12927</v>
      </c>
      <c r="E483" s="16" t="s">
        <v>114</v>
      </c>
      <c r="F483" s="17" t="s">
        <v>115</v>
      </c>
      <c r="G483" s="17" t="s">
        <v>102</v>
      </c>
      <c r="H483" s="18" t="s">
        <v>542</v>
      </c>
      <c r="I483" s="19" t="s">
        <v>104</v>
      </c>
      <c r="J483" s="20">
        <v>45779</v>
      </c>
      <c r="K483" s="20">
        <v>45817</v>
      </c>
      <c r="L483" s="21">
        <v>1500000</v>
      </c>
      <c r="M483" s="22">
        <f>SUM(N483:O483)</f>
        <v>1554000</v>
      </c>
      <c r="N483" s="23">
        <v>1536000</v>
      </c>
      <c r="O483" s="23">
        <v>18000</v>
      </c>
      <c r="P483" s="24">
        <f>L483-N483</f>
        <v>-36000</v>
      </c>
      <c r="Q483" s="25">
        <v>18000</v>
      </c>
      <c r="R483" s="26">
        <v>63000</v>
      </c>
      <c r="S483" s="91">
        <f t="shared" si="426"/>
        <v>0</v>
      </c>
      <c r="T483" s="91">
        <f t="shared" si="427"/>
        <v>0.2857142857142857</v>
      </c>
      <c r="U483" s="27" t="s">
        <v>56</v>
      </c>
      <c r="V483" s="19" t="s">
        <v>51</v>
      </c>
      <c r="W483" s="20">
        <v>45797</v>
      </c>
      <c r="X483" s="22"/>
      <c r="Y483" s="19" t="s">
        <v>52</v>
      </c>
      <c r="Z483" s="19" t="s">
        <v>52</v>
      </c>
      <c r="AA483" s="19" t="s">
        <v>52</v>
      </c>
      <c r="AB483" s="28"/>
    </row>
    <row r="484" spans="1:33" s="29" customFormat="1" ht="15" customHeight="1" x14ac:dyDescent="0.25">
      <c r="A484" s="14">
        <v>7</v>
      </c>
      <c r="B484" s="15">
        <v>45818</v>
      </c>
      <c r="C484" s="15">
        <f t="shared" ref="C484" si="428">B484+8</f>
        <v>45826</v>
      </c>
      <c r="D484" s="14">
        <v>12880</v>
      </c>
      <c r="E484" s="16" t="s">
        <v>291</v>
      </c>
      <c r="F484" s="17" t="s">
        <v>292</v>
      </c>
      <c r="G484" s="17" t="s">
        <v>47</v>
      </c>
      <c r="H484" s="18" t="s">
        <v>542</v>
      </c>
      <c r="I484" s="19" t="s">
        <v>104</v>
      </c>
      <c r="J484" s="20">
        <v>45771</v>
      </c>
      <c r="K484" s="20">
        <v>45828</v>
      </c>
      <c r="L484" s="21">
        <v>350000</v>
      </c>
      <c r="M484" s="22">
        <f t="shared" ref="M484:M488" si="429">SUM(N484:O484)</f>
        <v>105000</v>
      </c>
      <c r="N484" s="23">
        <v>0</v>
      </c>
      <c r="O484" s="23">
        <v>105000</v>
      </c>
      <c r="P484" s="24">
        <f t="shared" ref="P484:P489" si="430">L484-N484</f>
        <v>350000</v>
      </c>
      <c r="Q484" s="25">
        <v>105000</v>
      </c>
      <c r="R484" s="26">
        <v>72000</v>
      </c>
      <c r="S484" s="91">
        <f t="shared" si="426"/>
        <v>4.8611111111111107</v>
      </c>
      <c r="T484" s="91">
        <f t="shared" si="427"/>
        <v>1.4583333333333333</v>
      </c>
      <c r="U484" s="27" t="s">
        <v>193</v>
      </c>
      <c r="V484" s="30" t="s">
        <v>59</v>
      </c>
      <c r="W484" s="31">
        <v>45812</v>
      </c>
      <c r="X484" s="22"/>
      <c r="Y484" s="19" t="s">
        <v>52</v>
      </c>
      <c r="Z484" s="19" t="s">
        <v>52</v>
      </c>
      <c r="AA484" s="19" t="s">
        <v>52</v>
      </c>
      <c r="AB484" s="42"/>
    </row>
    <row r="485" spans="1:33" s="29" customFormat="1" ht="15" customHeight="1" x14ac:dyDescent="0.25">
      <c r="A485" s="14">
        <v>3</v>
      </c>
      <c r="B485" s="15">
        <v>45818</v>
      </c>
      <c r="C485" s="15">
        <f>B485+8</f>
        <v>45826</v>
      </c>
      <c r="D485" s="14">
        <v>12854</v>
      </c>
      <c r="E485" s="16" t="s">
        <v>596</v>
      </c>
      <c r="F485" s="40" t="s">
        <v>597</v>
      </c>
      <c r="G485" s="17" t="s">
        <v>75</v>
      </c>
      <c r="H485" s="18" t="s">
        <v>57</v>
      </c>
      <c r="I485" s="19" t="s">
        <v>94</v>
      </c>
      <c r="J485" s="20">
        <v>45769</v>
      </c>
      <c r="K485" s="20">
        <v>45804</v>
      </c>
      <c r="L485" s="21">
        <v>300000</v>
      </c>
      <c r="M485" s="22">
        <f>SUM(N485:O485)</f>
        <v>168000</v>
      </c>
      <c r="N485" s="23">
        <v>18000</v>
      </c>
      <c r="O485" s="23">
        <v>150000</v>
      </c>
      <c r="P485" s="24">
        <f>L485-N485</f>
        <v>282000</v>
      </c>
      <c r="Q485" s="25">
        <v>150000</v>
      </c>
      <c r="R485" s="26">
        <v>150000</v>
      </c>
      <c r="S485" s="91">
        <f t="shared" si="426"/>
        <v>1.88</v>
      </c>
      <c r="T485" s="91">
        <f t="shared" si="427"/>
        <v>1</v>
      </c>
      <c r="U485" s="27" t="s">
        <v>193</v>
      </c>
      <c r="V485" s="30" t="s">
        <v>59</v>
      </c>
      <c r="W485" s="31">
        <v>45814</v>
      </c>
      <c r="X485" s="22"/>
      <c r="Y485" s="19" t="s">
        <v>52</v>
      </c>
      <c r="Z485" s="19" t="s">
        <v>52</v>
      </c>
      <c r="AA485" s="19" t="s">
        <v>52</v>
      </c>
      <c r="AB485" s="28"/>
    </row>
    <row r="486" spans="1:33" s="29" customFormat="1" ht="15" customHeight="1" x14ac:dyDescent="0.25">
      <c r="A486" s="14">
        <v>2</v>
      </c>
      <c r="B486" s="15">
        <v>45818</v>
      </c>
      <c r="C486" s="15">
        <f>B486+8</f>
        <v>45826</v>
      </c>
      <c r="D486" s="14">
        <v>12911</v>
      </c>
      <c r="E486" s="16" t="s">
        <v>287</v>
      </c>
      <c r="F486" s="17" t="s">
        <v>288</v>
      </c>
      <c r="G486" s="17" t="s">
        <v>102</v>
      </c>
      <c r="H486" s="18" t="s">
        <v>62</v>
      </c>
      <c r="I486" s="19" t="s">
        <v>63</v>
      </c>
      <c r="J486" s="20">
        <v>45777</v>
      </c>
      <c r="K486" s="20">
        <v>45812</v>
      </c>
      <c r="L486" s="21">
        <v>750000</v>
      </c>
      <c r="M486" s="22">
        <f>SUM(N486:O486)</f>
        <v>744000</v>
      </c>
      <c r="N486" s="23">
        <v>672000</v>
      </c>
      <c r="O486" s="23">
        <v>72000</v>
      </c>
      <c r="P486" s="24">
        <f>L486-N486</f>
        <v>78000</v>
      </c>
      <c r="Q486" s="25">
        <v>72000</v>
      </c>
      <c r="R486" s="26">
        <v>84000</v>
      </c>
      <c r="S486" s="91">
        <f t="shared" si="426"/>
        <v>0.9285714285714286</v>
      </c>
      <c r="T486" s="91">
        <f t="shared" si="427"/>
        <v>0.8571428571428571</v>
      </c>
      <c r="U486" s="27" t="s">
        <v>193</v>
      </c>
      <c r="V486" s="19" t="s">
        <v>51</v>
      </c>
      <c r="W486" s="20">
        <v>45800</v>
      </c>
      <c r="X486" s="22"/>
      <c r="Y486" s="19" t="s">
        <v>52</v>
      </c>
      <c r="Z486" s="19" t="s">
        <v>52</v>
      </c>
      <c r="AA486" s="19" t="s">
        <v>52</v>
      </c>
      <c r="AB486" s="28"/>
    </row>
    <row r="487" spans="1:33" s="29" customFormat="1" ht="15" customHeight="1" x14ac:dyDescent="0.25">
      <c r="A487" s="14">
        <v>7</v>
      </c>
      <c r="B487" s="15">
        <v>45818</v>
      </c>
      <c r="C487" s="15">
        <f>B487+8</f>
        <v>45826</v>
      </c>
      <c r="D487" s="14">
        <v>12985</v>
      </c>
      <c r="E487" s="16" t="s">
        <v>389</v>
      </c>
      <c r="F487" s="17" t="s">
        <v>267</v>
      </c>
      <c r="G487" s="17" t="s">
        <v>102</v>
      </c>
      <c r="H487" s="18" t="s">
        <v>57</v>
      </c>
      <c r="I487" s="19" t="s">
        <v>94</v>
      </c>
      <c r="J487" s="20">
        <v>45792</v>
      </c>
      <c r="K487" s="20">
        <v>45820</v>
      </c>
      <c r="L487" s="21">
        <v>300000</v>
      </c>
      <c r="M487" s="22">
        <f>SUM(N487:O487)</f>
        <v>250000</v>
      </c>
      <c r="N487" s="23">
        <v>100000</v>
      </c>
      <c r="O487" s="23">
        <v>150000</v>
      </c>
      <c r="P487" s="24">
        <f>L487-N487</f>
        <v>200000</v>
      </c>
      <c r="Q487" s="25">
        <v>150000</v>
      </c>
      <c r="R487" s="26">
        <v>50000</v>
      </c>
      <c r="S487" s="91">
        <f t="shared" si="426"/>
        <v>4</v>
      </c>
      <c r="T487" s="91">
        <f t="shared" si="427"/>
        <v>3</v>
      </c>
      <c r="U487" s="27" t="s">
        <v>193</v>
      </c>
      <c r="V487" s="19" t="s">
        <v>51</v>
      </c>
      <c r="W487" s="20">
        <v>45803</v>
      </c>
      <c r="X487" s="22"/>
      <c r="Y487" s="19" t="s">
        <v>52</v>
      </c>
      <c r="Z487" s="19" t="s">
        <v>52</v>
      </c>
      <c r="AA487" s="19" t="s">
        <v>52</v>
      </c>
      <c r="AB487" s="28"/>
    </row>
    <row r="488" spans="1:33" s="29" customFormat="1" ht="15" customHeight="1" x14ac:dyDescent="0.25">
      <c r="A488" s="14">
        <v>9</v>
      </c>
      <c r="B488" s="15">
        <v>45818</v>
      </c>
      <c r="C488" s="15">
        <f>B488+8</f>
        <v>45826</v>
      </c>
      <c r="D488" s="14">
        <v>13023</v>
      </c>
      <c r="E488" s="16" t="s">
        <v>400</v>
      </c>
      <c r="F488" s="17" t="s">
        <v>401</v>
      </c>
      <c r="G488" s="17" t="s">
        <v>47</v>
      </c>
      <c r="H488" s="18" t="s">
        <v>542</v>
      </c>
      <c r="I488" s="19" t="s">
        <v>49</v>
      </c>
      <c r="J488" s="20">
        <v>45799</v>
      </c>
      <c r="K488" s="20">
        <v>45838</v>
      </c>
      <c r="L488" s="21">
        <v>150000</v>
      </c>
      <c r="M488" s="22">
        <f t="shared" si="429"/>
        <v>153000</v>
      </c>
      <c r="N488" s="23">
        <v>0</v>
      </c>
      <c r="O488" s="23">
        <v>153000</v>
      </c>
      <c r="P488" s="24">
        <f t="shared" si="430"/>
        <v>150000</v>
      </c>
      <c r="Q488" s="25">
        <v>153000</v>
      </c>
      <c r="R488" s="26">
        <v>100000</v>
      </c>
      <c r="S488" s="91">
        <f t="shared" si="426"/>
        <v>1.5</v>
      </c>
      <c r="T488" s="91">
        <f t="shared" si="427"/>
        <v>1.53</v>
      </c>
      <c r="U488" s="27" t="s">
        <v>193</v>
      </c>
      <c r="V488" s="30" t="s">
        <v>59</v>
      </c>
      <c r="W488" s="31">
        <v>45821</v>
      </c>
      <c r="X488" s="22"/>
      <c r="Y488" s="19" t="s">
        <v>52</v>
      </c>
      <c r="Z488" s="19" t="s">
        <v>52</v>
      </c>
      <c r="AA488" s="19" t="s">
        <v>52</v>
      </c>
      <c r="AB488" s="42"/>
    </row>
    <row r="489" spans="1:33" s="29" customFormat="1" ht="15" customHeight="1" x14ac:dyDescent="0.25">
      <c r="A489" s="14">
        <v>6</v>
      </c>
      <c r="B489" s="15">
        <v>45818</v>
      </c>
      <c r="C489" s="15">
        <f t="shared" ref="C489" si="431">B489+8</f>
        <v>45826</v>
      </c>
      <c r="D489" s="14">
        <v>12997</v>
      </c>
      <c r="E489" s="16" t="s">
        <v>73</v>
      </c>
      <c r="F489" s="40" t="s">
        <v>74</v>
      </c>
      <c r="G489" s="17" t="s">
        <v>75</v>
      </c>
      <c r="H489" s="18" t="s">
        <v>542</v>
      </c>
      <c r="I489" s="19" t="s">
        <v>49</v>
      </c>
      <c r="J489" s="20">
        <v>45796</v>
      </c>
      <c r="K489" s="20">
        <v>45807</v>
      </c>
      <c r="L489" s="21">
        <v>350000</v>
      </c>
      <c r="M489" s="22">
        <f t="shared" ref="M489" si="432">SUM(N489:O489)</f>
        <v>250000</v>
      </c>
      <c r="N489" s="23">
        <v>100000</v>
      </c>
      <c r="O489" s="23">
        <v>150000</v>
      </c>
      <c r="P489" s="24">
        <f t="shared" si="430"/>
        <v>250000</v>
      </c>
      <c r="Q489" s="25">
        <v>150000</v>
      </c>
      <c r="R489" s="26">
        <v>36000</v>
      </c>
      <c r="S489" s="91">
        <f t="shared" si="426"/>
        <v>6.9444444444444446</v>
      </c>
      <c r="T489" s="91">
        <f t="shared" si="427"/>
        <v>4.166666666666667</v>
      </c>
      <c r="U489" s="27" t="s">
        <v>193</v>
      </c>
      <c r="V489" s="19" t="s">
        <v>51</v>
      </c>
      <c r="W489" s="20">
        <v>45803</v>
      </c>
      <c r="X489" s="22"/>
      <c r="Y489" s="19" t="s">
        <v>52</v>
      </c>
      <c r="Z489" s="19" t="s">
        <v>52</v>
      </c>
      <c r="AA489" s="19" t="s">
        <v>52</v>
      </c>
      <c r="AB489" s="28"/>
    </row>
    <row r="490" spans="1:33" ht="15" customHeight="1" x14ac:dyDescent="0.25">
      <c r="A490" s="33" t="s">
        <v>71</v>
      </c>
      <c r="B490" s="34"/>
      <c r="C490" s="34"/>
      <c r="D490" s="34"/>
      <c r="E490" s="34"/>
      <c r="F490" s="35"/>
      <c r="G490" s="35"/>
      <c r="H490" s="34"/>
      <c r="I490" s="34"/>
      <c r="J490" s="34"/>
      <c r="K490" s="34"/>
      <c r="L490" s="36"/>
      <c r="M490" s="36"/>
      <c r="N490" s="36"/>
      <c r="O490" s="36"/>
      <c r="P490" s="36"/>
      <c r="Q490" s="36">
        <f>SUM(Q482:Q489)</f>
        <v>1902000</v>
      </c>
      <c r="R490" s="36"/>
      <c r="S490" s="92"/>
      <c r="T490" s="93">
        <f>SUM(T482:T489)</f>
        <v>19.657857142857143</v>
      </c>
      <c r="U490" s="37"/>
      <c r="V490" s="38"/>
      <c r="W490" s="38"/>
      <c r="X490" s="38"/>
      <c r="Y490" s="34"/>
      <c r="Z490" s="34"/>
      <c r="AA490" s="39"/>
      <c r="AB490" s="29" t="s">
        <v>688</v>
      </c>
      <c r="AC490" s="81" t="s">
        <v>692</v>
      </c>
      <c r="AD490" s="83">
        <v>4791.67</v>
      </c>
      <c r="AF490" s="83">
        <v>0</v>
      </c>
      <c r="AG490" s="83">
        <f>SUM(AD490,AF490)</f>
        <v>4791.67</v>
      </c>
    </row>
    <row r="491" spans="1:33" s="29" customFormat="1" ht="15" customHeight="1" x14ac:dyDescent="0.25">
      <c r="A491" s="14">
        <v>11</v>
      </c>
      <c r="B491" s="15">
        <v>45819</v>
      </c>
      <c r="C491" s="15">
        <f t="shared" ref="C491:C492" si="433">B491+8</f>
        <v>45827</v>
      </c>
      <c r="D491" s="14">
        <v>12963</v>
      </c>
      <c r="E491" s="16" t="s">
        <v>372</v>
      </c>
      <c r="F491" s="17" t="s">
        <v>478</v>
      </c>
      <c r="G491" s="17" t="s">
        <v>102</v>
      </c>
      <c r="H491" s="18" t="s">
        <v>57</v>
      </c>
      <c r="I491" s="19" t="s">
        <v>58</v>
      </c>
      <c r="J491" s="20">
        <v>45786</v>
      </c>
      <c r="K491" s="20">
        <v>45839</v>
      </c>
      <c r="L491" s="21">
        <v>1000000</v>
      </c>
      <c r="M491" s="22">
        <f t="shared" ref="M491:M492" si="434">SUM(N491:O491)</f>
        <v>982000</v>
      </c>
      <c r="N491" s="23">
        <v>0</v>
      </c>
      <c r="O491" s="23">
        <v>982000</v>
      </c>
      <c r="P491" s="24">
        <f t="shared" ref="P491:P492" si="435">L491-N491</f>
        <v>1000000</v>
      </c>
      <c r="Q491" s="25">
        <v>982000</v>
      </c>
      <c r="R491" s="26">
        <v>48000</v>
      </c>
      <c r="S491" s="91">
        <f t="shared" ref="S491:S492" si="436">IF(P491&gt;0,P491/$R491,0)</f>
        <v>20.833333333333332</v>
      </c>
      <c r="T491" s="91">
        <f t="shared" ref="T491:T492" si="437">IF(Q491&gt;0,Q491/$R491,0)</f>
        <v>20.458333333333332</v>
      </c>
      <c r="U491" s="27" t="s">
        <v>193</v>
      </c>
      <c r="V491" s="30" t="s">
        <v>59</v>
      </c>
      <c r="W491" s="31">
        <v>45812</v>
      </c>
      <c r="X491" s="22"/>
      <c r="Y491" s="19" t="s">
        <v>52</v>
      </c>
      <c r="Z491" s="19" t="s">
        <v>52</v>
      </c>
      <c r="AA491" s="19" t="s">
        <v>52</v>
      </c>
      <c r="AB491" s="28"/>
    </row>
    <row r="492" spans="1:33" s="29" customFormat="1" ht="15" customHeight="1" x14ac:dyDescent="0.25">
      <c r="A492" s="14">
        <v>9</v>
      </c>
      <c r="B492" s="15">
        <v>45819</v>
      </c>
      <c r="C492" s="15">
        <f t="shared" si="433"/>
        <v>45827</v>
      </c>
      <c r="D492" s="14">
        <v>13003</v>
      </c>
      <c r="E492" s="16" t="s">
        <v>190</v>
      </c>
      <c r="F492" s="40" t="s">
        <v>191</v>
      </c>
      <c r="G492" s="17" t="s">
        <v>75</v>
      </c>
      <c r="H492" s="18" t="s">
        <v>542</v>
      </c>
      <c r="I492" s="19" t="s">
        <v>49</v>
      </c>
      <c r="J492" s="20">
        <v>45797</v>
      </c>
      <c r="K492" s="20">
        <v>45824</v>
      </c>
      <c r="L492" s="21">
        <v>250000</v>
      </c>
      <c r="M492" s="22">
        <f t="shared" si="434"/>
        <v>253000</v>
      </c>
      <c r="N492" s="23">
        <v>0</v>
      </c>
      <c r="O492" s="23">
        <v>253000</v>
      </c>
      <c r="P492" s="24">
        <f t="shared" si="435"/>
        <v>250000</v>
      </c>
      <c r="Q492" s="25">
        <v>253000</v>
      </c>
      <c r="R492" s="26">
        <v>50000</v>
      </c>
      <c r="S492" s="91">
        <f t="shared" si="436"/>
        <v>5</v>
      </c>
      <c r="T492" s="91">
        <f t="shared" si="437"/>
        <v>5.0599999999999996</v>
      </c>
      <c r="U492" s="27" t="s">
        <v>193</v>
      </c>
      <c r="V492" s="30" t="s">
        <v>59</v>
      </c>
      <c r="W492" s="31">
        <v>45809</v>
      </c>
      <c r="X492" s="22"/>
      <c r="Y492" s="19" t="s">
        <v>52</v>
      </c>
      <c r="Z492" s="19" t="s">
        <v>52</v>
      </c>
      <c r="AA492" s="19" t="s">
        <v>52</v>
      </c>
      <c r="AB492" s="28"/>
    </row>
    <row r="493" spans="1:33" ht="15" customHeight="1" x14ac:dyDescent="0.25">
      <c r="A493" s="33" t="s">
        <v>71</v>
      </c>
      <c r="B493" s="34"/>
      <c r="C493" s="34"/>
      <c r="D493" s="34"/>
      <c r="E493" s="34"/>
      <c r="F493" s="35"/>
      <c r="G493" s="35"/>
      <c r="H493" s="34"/>
      <c r="I493" s="34"/>
      <c r="J493" s="34"/>
      <c r="K493" s="34"/>
      <c r="L493" s="36"/>
      <c r="M493" s="36"/>
      <c r="N493" s="36"/>
      <c r="O493" s="36"/>
      <c r="P493" s="36"/>
      <c r="Q493" s="36">
        <f>SUM(Q491:Q492)</f>
        <v>1235000</v>
      </c>
      <c r="R493" s="36"/>
      <c r="S493" s="92"/>
      <c r="T493" s="93">
        <f>SUM(T491:T492)</f>
        <v>25.518333333333331</v>
      </c>
      <c r="U493" s="37"/>
      <c r="V493" s="38"/>
      <c r="W493" s="38"/>
      <c r="X493" s="38"/>
      <c r="Y493" s="34"/>
      <c r="Z493" s="34"/>
      <c r="AA493" s="39"/>
      <c r="AB493" s="29" t="s">
        <v>689</v>
      </c>
      <c r="AC493" s="81" t="s">
        <v>693</v>
      </c>
      <c r="AD493" s="83">
        <v>5000</v>
      </c>
      <c r="AF493" s="83">
        <v>0</v>
      </c>
      <c r="AG493" s="83">
        <f>SUM(AD493,AF493)</f>
        <v>5000</v>
      </c>
    </row>
    <row r="494" spans="1:33" s="29" customFormat="1" ht="15" customHeight="1" x14ac:dyDescent="0.25">
      <c r="A494" s="14">
        <v>3</v>
      </c>
      <c r="B494" s="15">
        <v>45822</v>
      </c>
      <c r="C494" s="15">
        <f t="shared" ref="C494:C503" si="438">B494+8</f>
        <v>45830</v>
      </c>
      <c r="D494" s="14">
        <v>12862</v>
      </c>
      <c r="E494" s="16" t="s">
        <v>158</v>
      </c>
      <c r="F494" s="17" t="s">
        <v>159</v>
      </c>
      <c r="G494" s="17" t="s">
        <v>132</v>
      </c>
      <c r="H494" s="18" t="s">
        <v>54</v>
      </c>
      <c r="I494" s="19" t="s">
        <v>135</v>
      </c>
      <c r="J494" s="20">
        <v>45771</v>
      </c>
      <c r="K494" s="20">
        <v>45814</v>
      </c>
      <c r="L494" s="21">
        <v>275000</v>
      </c>
      <c r="M494" s="22">
        <f t="shared" ref="M494:M503" si="439">SUM(N494:O494)</f>
        <v>114660</v>
      </c>
      <c r="N494" s="23">
        <v>0</v>
      </c>
      <c r="O494" s="23">
        <v>114660</v>
      </c>
      <c r="P494" s="24">
        <f t="shared" ref="P494:P503" si="440">L494-N494</f>
        <v>275000</v>
      </c>
      <c r="Q494" s="25">
        <v>114660</v>
      </c>
      <c r="R494" s="26">
        <v>57330</v>
      </c>
      <c r="S494" s="91">
        <f t="shared" ref="S494:S502" si="441">IF(P494&gt;0,P494/$R494,0)</f>
        <v>4.7967905110762254</v>
      </c>
      <c r="T494" s="91">
        <f t="shared" ref="T494:T502" si="442">IF(Q494&gt;0,Q494/$R494,0)</f>
        <v>2</v>
      </c>
      <c r="U494" s="27" t="s">
        <v>56</v>
      </c>
      <c r="V494" s="19" t="s">
        <v>51</v>
      </c>
      <c r="W494" s="20">
        <v>45812</v>
      </c>
      <c r="X494" s="22"/>
      <c r="Y494" s="19" t="s">
        <v>52</v>
      </c>
      <c r="Z494" s="19" t="s">
        <v>52</v>
      </c>
      <c r="AA494" s="19" t="s">
        <v>52</v>
      </c>
      <c r="AB494" s="28"/>
    </row>
    <row r="495" spans="1:33" s="29" customFormat="1" ht="15" customHeight="1" x14ac:dyDescent="0.25">
      <c r="A495" s="14">
        <v>2</v>
      </c>
      <c r="B495" s="15">
        <v>45822</v>
      </c>
      <c r="C495" s="15">
        <f t="shared" si="438"/>
        <v>45830</v>
      </c>
      <c r="D495" s="14">
        <v>12861</v>
      </c>
      <c r="E495" s="16" t="s">
        <v>152</v>
      </c>
      <c r="F495" s="17" t="s">
        <v>153</v>
      </c>
      <c r="G495" s="17" t="s">
        <v>132</v>
      </c>
      <c r="H495" s="18" t="s">
        <v>54</v>
      </c>
      <c r="I495" s="19" t="s">
        <v>135</v>
      </c>
      <c r="J495" s="20">
        <v>45771</v>
      </c>
      <c r="K495" s="20">
        <v>45814</v>
      </c>
      <c r="L495" s="21">
        <v>100000</v>
      </c>
      <c r="M495" s="22">
        <f t="shared" si="439"/>
        <v>104400</v>
      </c>
      <c r="N495" s="23">
        <v>0</v>
      </c>
      <c r="O495" s="23">
        <v>104400</v>
      </c>
      <c r="P495" s="24">
        <f t="shared" si="440"/>
        <v>100000</v>
      </c>
      <c r="Q495" s="25">
        <v>104400</v>
      </c>
      <c r="R495" s="26">
        <v>57330</v>
      </c>
      <c r="S495" s="91">
        <f t="shared" si="441"/>
        <v>1.7442874585731729</v>
      </c>
      <c r="T495" s="91">
        <f t="shared" si="442"/>
        <v>1.8210361067503924</v>
      </c>
      <c r="U495" s="27" t="s">
        <v>56</v>
      </c>
      <c r="V495" s="19" t="s">
        <v>51</v>
      </c>
      <c r="W495" s="20">
        <v>45804</v>
      </c>
      <c r="X495" s="22"/>
      <c r="Y495" s="19" t="s">
        <v>52</v>
      </c>
      <c r="Z495" s="19" t="s">
        <v>52</v>
      </c>
      <c r="AA495" s="19" t="s">
        <v>52</v>
      </c>
      <c r="AB495" s="28"/>
    </row>
    <row r="496" spans="1:33" s="29" customFormat="1" ht="15" customHeight="1" x14ac:dyDescent="0.25">
      <c r="A496" s="14">
        <v>25</v>
      </c>
      <c r="B496" s="15">
        <v>45822</v>
      </c>
      <c r="C496" s="15">
        <f t="shared" si="438"/>
        <v>45830</v>
      </c>
      <c r="D496" s="14">
        <v>12906</v>
      </c>
      <c r="E496" s="16" t="s">
        <v>289</v>
      </c>
      <c r="F496" s="40" t="s">
        <v>290</v>
      </c>
      <c r="G496" s="17" t="s">
        <v>75</v>
      </c>
      <c r="H496" s="18" t="s">
        <v>133</v>
      </c>
      <c r="I496" s="19" t="s">
        <v>198</v>
      </c>
      <c r="J496" s="20">
        <v>45778</v>
      </c>
      <c r="K496" s="20">
        <v>45840</v>
      </c>
      <c r="L496" s="21">
        <v>120000</v>
      </c>
      <c r="M496" s="22">
        <f t="shared" si="439"/>
        <v>122000</v>
      </c>
      <c r="N496" s="23">
        <v>0</v>
      </c>
      <c r="O496" s="23">
        <v>122000</v>
      </c>
      <c r="P496" s="24">
        <f t="shared" si="440"/>
        <v>120000</v>
      </c>
      <c r="Q496" s="25">
        <v>122000</v>
      </c>
      <c r="R496" s="26">
        <v>60000</v>
      </c>
      <c r="S496" s="91">
        <f t="shared" si="441"/>
        <v>2</v>
      </c>
      <c r="T496" s="91">
        <f t="shared" si="442"/>
        <v>2.0333333333333332</v>
      </c>
      <c r="U496" s="27" t="s">
        <v>56</v>
      </c>
      <c r="V496" s="19" t="s">
        <v>51</v>
      </c>
      <c r="W496" s="20">
        <v>45810</v>
      </c>
      <c r="X496" s="22"/>
      <c r="Y496" s="19" t="s">
        <v>52</v>
      </c>
      <c r="Z496" s="19" t="s">
        <v>52</v>
      </c>
      <c r="AA496" s="19" t="s">
        <v>52</v>
      </c>
      <c r="AB496" s="28"/>
    </row>
    <row r="497" spans="1:33" s="29" customFormat="1" ht="15" customHeight="1" x14ac:dyDescent="0.25">
      <c r="A497" s="14">
        <v>1</v>
      </c>
      <c r="B497" s="15">
        <v>45822</v>
      </c>
      <c r="C497" s="15">
        <f t="shared" si="438"/>
        <v>45830</v>
      </c>
      <c r="D497" s="14">
        <v>12943</v>
      </c>
      <c r="E497" s="16" t="s">
        <v>626</v>
      </c>
      <c r="F497" s="17" t="s">
        <v>627</v>
      </c>
      <c r="G497" s="17" t="s">
        <v>102</v>
      </c>
      <c r="H497" s="18" t="s">
        <v>57</v>
      </c>
      <c r="I497" s="19" t="s">
        <v>94</v>
      </c>
      <c r="J497" s="20">
        <v>45784</v>
      </c>
      <c r="K497" s="20">
        <v>45807</v>
      </c>
      <c r="L497" s="21">
        <v>200000</v>
      </c>
      <c r="M497" s="22">
        <f t="shared" si="439"/>
        <v>198000</v>
      </c>
      <c r="N497" s="23">
        <v>170000</v>
      </c>
      <c r="O497" s="23">
        <v>28000</v>
      </c>
      <c r="P497" s="24">
        <f t="shared" si="440"/>
        <v>30000</v>
      </c>
      <c r="Q497" s="25">
        <v>28000</v>
      </c>
      <c r="R497" s="26">
        <v>50000</v>
      </c>
      <c r="S497" s="91">
        <f t="shared" si="441"/>
        <v>0.6</v>
      </c>
      <c r="T497" s="91">
        <f t="shared" si="442"/>
        <v>0.56000000000000005</v>
      </c>
      <c r="U497" s="27" t="s">
        <v>193</v>
      </c>
      <c r="V497" s="19" t="s">
        <v>51</v>
      </c>
      <c r="W497" s="20">
        <v>45807</v>
      </c>
      <c r="X497" s="22"/>
      <c r="Y497" s="19" t="s">
        <v>52</v>
      </c>
      <c r="Z497" s="19" t="s">
        <v>52</v>
      </c>
      <c r="AA497" s="19" t="s">
        <v>52</v>
      </c>
      <c r="AB497" s="28"/>
    </row>
    <row r="498" spans="1:33" s="29" customFormat="1" ht="15" customHeight="1" x14ac:dyDescent="0.25">
      <c r="A498" s="14">
        <v>21</v>
      </c>
      <c r="B498" s="15">
        <v>45822</v>
      </c>
      <c r="C498" s="15">
        <f t="shared" si="438"/>
        <v>45830</v>
      </c>
      <c r="D498" s="14">
        <v>12922</v>
      </c>
      <c r="E498" s="16" t="s">
        <v>340</v>
      </c>
      <c r="F498" s="40" t="s">
        <v>201</v>
      </c>
      <c r="G498" s="17" t="s">
        <v>75</v>
      </c>
      <c r="H498" s="18" t="s">
        <v>57</v>
      </c>
      <c r="I498" s="19" t="s">
        <v>58</v>
      </c>
      <c r="J498" s="20">
        <v>45782</v>
      </c>
      <c r="K498" s="20">
        <v>45835</v>
      </c>
      <c r="L498" s="21">
        <v>1000000</v>
      </c>
      <c r="M498" s="22">
        <f t="shared" si="439"/>
        <v>714000</v>
      </c>
      <c r="N498" s="23">
        <v>615000</v>
      </c>
      <c r="O498" s="23">
        <v>99000</v>
      </c>
      <c r="P498" s="24">
        <f t="shared" si="440"/>
        <v>385000</v>
      </c>
      <c r="Q498" s="25">
        <v>99000</v>
      </c>
      <c r="R498" s="26">
        <v>150000</v>
      </c>
      <c r="S498" s="91">
        <f t="shared" si="441"/>
        <v>2.5666666666666669</v>
      </c>
      <c r="T498" s="91">
        <f t="shared" si="442"/>
        <v>0.66</v>
      </c>
      <c r="U498" s="27" t="s">
        <v>193</v>
      </c>
      <c r="V498" s="19" t="s">
        <v>51</v>
      </c>
      <c r="W498" s="20">
        <v>45798</v>
      </c>
      <c r="X498" s="22"/>
      <c r="Y498" s="19" t="s">
        <v>52</v>
      </c>
      <c r="Z498" s="19" t="s">
        <v>52</v>
      </c>
      <c r="AA498" s="19" t="s">
        <v>52</v>
      </c>
      <c r="AB498" s="28"/>
    </row>
    <row r="499" spans="1:33" s="29" customFormat="1" ht="15" customHeight="1" x14ac:dyDescent="0.25">
      <c r="A499" s="14">
        <v>8</v>
      </c>
      <c r="B499" s="15">
        <v>45822</v>
      </c>
      <c r="C499" s="15">
        <f t="shared" si="438"/>
        <v>45830</v>
      </c>
      <c r="D499" s="14">
        <v>12961</v>
      </c>
      <c r="E499" s="16" t="s">
        <v>407</v>
      </c>
      <c r="F499" s="17" t="s">
        <v>408</v>
      </c>
      <c r="G499" s="17" t="s">
        <v>47</v>
      </c>
      <c r="H499" s="18" t="s">
        <v>57</v>
      </c>
      <c r="I499" s="19" t="s">
        <v>58</v>
      </c>
      <c r="J499" s="20">
        <v>45785</v>
      </c>
      <c r="K499" s="20">
        <v>45839</v>
      </c>
      <c r="L499" s="21">
        <v>1000000</v>
      </c>
      <c r="M499" s="22">
        <f t="shared" si="439"/>
        <v>288000</v>
      </c>
      <c r="N499" s="23">
        <v>0</v>
      </c>
      <c r="O499" s="23">
        <v>288000</v>
      </c>
      <c r="P499" s="24">
        <f t="shared" si="440"/>
        <v>1000000</v>
      </c>
      <c r="Q499" s="25">
        <v>288000</v>
      </c>
      <c r="R499" s="26">
        <v>48000</v>
      </c>
      <c r="S499" s="91">
        <f t="shared" si="441"/>
        <v>20.833333333333332</v>
      </c>
      <c r="T499" s="91">
        <f t="shared" si="442"/>
        <v>6</v>
      </c>
      <c r="U499" s="27" t="s">
        <v>193</v>
      </c>
      <c r="V499" s="30" t="s">
        <v>59</v>
      </c>
      <c r="W499" s="31">
        <v>45812</v>
      </c>
      <c r="X499" s="22"/>
      <c r="Y499" s="19" t="s">
        <v>52</v>
      </c>
      <c r="Z499" s="19" t="s">
        <v>52</v>
      </c>
      <c r="AA499" s="19" t="s">
        <v>52</v>
      </c>
      <c r="AB499" s="42"/>
    </row>
    <row r="500" spans="1:33" s="29" customFormat="1" ht="15" customHeight="1" x14ac:dyDescent="0.25">
      <c r="A500" s="14">
        <v>3</v>
      </c>
      <c r="B500" s="15">
        <v>45822</v>
      </c>
      <c r="C500" s="15">
        <f t="shared" si="438"/>
        <v>45830</v>
      </c>
      <c r="D500" s="14">
        <v>12985</v>
      </c>
      <c r="E500" s="16" t="s">
        <v>389</v>
      </c>
      <c r="F500" s="17" t="s">
        <v>267</v>
      </c>
      <c r="G500" s="17" t="s">
        <v>102</v>
      </c>
      <c r="H500" s="18" t="s">
        <v>57</v>
      </c>
      <c r="I500" s="19" t="s">
        <v>94</v>
      </c>
      <c r="J500" s="20">
        <v>45792</v>
      </c>
      <c r="K500" s="20">
        <v>45820</v>
      </c>
      <c r="L500" s="21">
        <v>300000</v>
      </c>
      <c r="M500" s="22">
        <f t="shared" si="439"/>
        <v>333000</v>
      </c>
      <c r="N500" s="23">
        <v>250000</v>
      </c>
      <c r="O500" s="23">
        <v>83000</v>
      </c>
      <c r="P500" s="24">
        <f t="shared" si="440"/>
        <v>50000</v>
      </c>
      <c r="Q500" s="25">
        <v>83000</v>
      </c>
      <c r="R500" s="26">
        <v>50000</v>
      </c>
      <c r="S500" s="91">
        <f t="shared" si="441"/>
        <v>1</v>
      </c>
      <c r="T500" s="91">
        <f t="shared" si="442"/>
        <v>1.66</v>
      </c>
      <c r="U500" s="27" t="s">
        <v>193</v>
      </c>
      <c r="V500" s="19" t="s">
        <v>51</v>
      </c>
      <c r="W500" s="20">
        <v>45803</v>
      </c>
      <c r="X500" s="22"/>
      <c r="Y500" s="19" t="s">
        <v>52</v>
      </c>
      <c r="Z500" s="19" t="s">
        <v>52</v>
      </c>
      <c r="AA500" s="19" t="s">
        <v>52</v>
      </c>
      <c r="AB500" s="28"/>
    </row>
    <row r="501" spans="1:33" s="29" customFormat="1" ht="15" customHeight="1" x14ac:dyDescent="0.25">
      <c r="A501" s="14">
        <v>6</v>
      </c>
      <c r="B501" s="15">
        <v>45822</v>
      </c>
      <c r="C501" s="15">
        <f t="shared" si="438"/>
        <v>45830</v>
      </c>
      <c r="D501" s="14">
        <v>12997</v>
      </c>
      <c r="E501" s="16" t="s">
        <v>73</v>
      </c>
      <c r="F501" s="40" t="s">
        <v>74</v>
      </c>
      <c r="G501" s="17" t="s">
        <v>75</v>
      </c>
      <c r="H501" s="18" t="s">
        <v>542</v>
      </c>
      <c r="I501" s="19" t="s">
        <v>49</v>
      </c>
      <c r="J501" s="20">
        <v>45796</v>
      </c>
      <c r="K501" s="20">
        <v>45807</v>
      </c>
      <c r="L501" s="21">
        <v>350000</v>
      </c>
      <c r="M501" s="22">
        <f t="shared" si="439"/>
        <v>304000</v>
      </c>
      <c r="N501" s="23">
        <v>250000</v>
      </c>
      <c r="O501" s="23">
        <v>54000</v>
      </c>
      <c r="P501" s="24">
        <f t="shared" si="440"/>
        <v>100000</v>
      </c>
      <c r="Q501" s="25">
        <v>54000</v>
      </c>
      <c r="R501" s="26">
        <v>36000</v>
      </c>
      <c r="S501" s="91">
        <f t="shared" si="441"/>
        <v>2.7777777777777777</v>
      </c>
      <c r="T501" s="91">
        <f t="shared" si="442"/>
        <v>1.5</v>
      </c>
      <c r="U501" s="27" t="s">
        <v>193</v>
      </c>
      <c r="V501" s="19" t="s">
        <v>51</v>
      </c>
      <c r="W501" s="20">
        <v>45803</v>
      </c>
      <c r="X501" s="22"/>
      <c r="Y501" s="19" t="s">
        <v>52</v>
      </c>
      <c r="Z501" s="19" t="s">
        <v>52</v>
      </c>
      <c r="AA501" s="19" t="s">
        <v>52</v>
      </c>
      <c r="AB501" s="28"/>
    </row>
    <row r="502" spans="1:33" s="29" customFormat="1" ht="15" customHeight="1" x14ac:dyDescent="0.25">
      <c r="A502" s="14">
        <v>11</v>
      </c>
      <c r="B502" s="15">
        <v>45822</v>
      </c>
      <c r="C502" s="15">
        <f t="shared" si="438"/>
        <v>45830</v>
      </c>
      <c r="D502" s="14">
        <v>13055</v>
      </c>
      <c r="E502" s="16" t="s">
        <v>116</v>
      </c>
      <c r="F502" s="17" t="s">
        <v>117</v>
      </c>
      <c r="G502" s="17" t="s">
        <v>102</v>
      </c>
      <c r="H502" s="18" t="s">
        <v>113</v>
      </c>
      <c r="I502" s="19" t="s">
        <v>118</v>
      </c>
      <c r="J502" s="20">
        <v>45805</v>
      </c>
      <c r="K502" s="20">
        <v>45845</v>
      </c>
      <c r="L502" s="21">
        <v>350000</v>
      </c>
      <c r="M502" s="22">
        <f t="shared" si="439"/>
        <v>200000</v>
      </c>
      <c r="N502" s="23">
        <v>0</v>
      </c>
      <c r="O502" s="23">
        <v>200000</v>
      </c>
      <c r="P502" s="24">
        <f t="shared" si="440"/>
        <v>350000</v>
      </c>
      <c r="Q502" s="25">
        <v>200000</v>
      </c>
      <c r="R502" s="26">
        <v>100000</v>
      </c>
      <c r="S502" s="91">
        <f t="shared" si="441"/>
        <v>3.5</v>
      </c>
      <c r="T502" s="91">
        <f t="shared" si="442"/>
        <v>2</v>
      </c>
      <c r="U502" s="27" t="s">
        <v>193</v>
      </c>
      <c r="V502" s="30" t="s">
        <v>59</v>
      </c>
      <c r="W502" s="31">
        <v>45822</v>
      </c>
      <c r="X502" s="22"/>
      <c r="Y502" s="19" t="s">
        <v>52</v>
      </c>
      <c r="Z502" s="19" t="s">
        <v>52</v>
      </c>
      <c r="AA502" s="19" t="s">
        <v>52</v>
      </c>
      <c r="AB502" s="28"/>
    </row>
    <row r="503" spans="1:33" s="29" customFormat="1" ht="15" customHeight="1" x14ac:dyDescent="0.25">
      <c r="A503" s="14">
        <v>5</v>
      </c>
      <c r="B503" s="15">
        <v>45822</v>
      </c>
      <c r="C503" s="15">
        <f t="shared" si="438"/>
        <v>45830</v>
      </c>
      <c r="D503" s="14">
        <v>13070</v>
      </c>
      <c r="E503" s="16" t="s">
        <v>369</v>
      </c>
      <c r="F503" s="17" t="s">
        <v>598</v>
      </c>
      <c r="G503" s="17" t="s">
        <v>102</v>
      </c>
      <c r="H503" s="18" t="s">
        <v>57</v>
      </c>
      <c r="I503" s="19" t="s">
        <v>58</v>
      </c>
      <c r="J503" s="20">
        <v>45806</v>
      </c>
      <c r="K503" s="20">
        <v>45834</v>
      </c>
      <c r="L503" s="21">
        <v>1000000</v>
      </c>
      <c r="M503" s="22">
        <f t="shared" si="439"/>
        <v>100000</v>
      </c>
      <c r="N503" s="23">
        <v>0</v>
      </c>
      <c r="O503" s="23">
        <v>100000</v>
      </c>
      <c r="P503" s="24">
        <f t="shared" si="440"/>
        <v>1000000</v>
      </c>
      <c r="Q503" s="25">
        <v>100000</v>
      </c>
      <c r="R503" s="26">
        <v>50000</v>
      </c>
      <c r="S503" s="91">
        <f t="shared" ref="S503" si="443">IF(P503&gt;0,P503/$R503,0)</f>
        <v>20</v>
      </c>
      <c r="T503" s="91">
        <f t="shared" ref="T503" si="444">IF(Q503&gt;0,Q503/$R503,0)</f>
        <v>2</v>
      </c>
      <c r="U503" s="27" t="s">
        <v>193</v>
      </c>
      <c r="V503" s="30" t="s">
        <v>59</v>
      </c>
      <c r="W503" s="31">
        <v>45822</v>
      </c>
      <c r="X503" s="22"/>
      <c r="Y503" s="19" t="s">
        <v>52</v>
      </c>
      <c r="Z503" s="19" t="s">
        <v>52</v>
      </c>
      <c r="AA503" s="19" t="s">
        <v>52</v>
      </c>
      <c r="AB503" s="28"/>
    </row>
    <row r="504" spans="1:33" ht="15" customHeight="1" x14ac:dyDescent="0.25">
      <c r="A504" s="33" t="s">
        <v>71</v>
      </c>
      <c r="B504" s="34"/>
      <c r="C504" s="34"/>
      <c r="D504" s="34"/>
      <c r="E504" s="34"/>
      <c r="F504" s="35"/>
      <c r="G504" s="35"/>
      <c r="H504" s="34"/>
      <c r="I504" s="34"/>
      <c r="J504" s="34"/>
      <c r="K504" s="34"/>
      <c r="L504" s="36"/>
      <c r="M504" s="36"/>
      <c r="N504" s="36"/>
      <c r="O504" s="36"/>
      <c r="P504" s="36"/>
      <c r="Q504" s="36">
        <f>SUM(Q494:Q503)</f>
        <v>1193060</v>
      </c>
      <c r="R504" s="36"/>
      <c r="S504" s="92"/>
      <c r="T504" s="93">
        <f>SUM(T494:T503)</f>
        <v>20.234369440083725</v>
      </c>
      <c r="U504" s="37"/>
      <c r="V504" s="38"/>
      <c r="W504" s="38"/>
      <c r="X504" s="38"/>
      <c r="Y504" s="34"/>
      <c r="Z504" s="34"/>
      <c r="AA504" s="39"/>
      <c r="AB504" s="29" t="s">
        <v>690</v>
      </c>
      <c r="AC504" s="81" t="s">
        <v>695</v>
      </c>
      <c r="AD504" s="83">
        <v>4791.67</v>
      </c>
      <c r="AF504" s="83">
        <v>0</v>
      </c>
      <c r="AG504" s="83">
        <f>SUM(AD504,AF504)</f>
        <v>4791.67</v>
      </c>
    </row>
    <row r="505" spans="1:33" s="29" customFormat="1" ht="15" customHeight="1" x14ac:dyDescent="0.25">
      <c r="A505" s="14">
        <v>3</v>
      </c>
      <c r="B505" s="15">
        <v>45822</v>
      </c>
      <c r="C505" s="15">
        <f t="shared" ref="C505:C511" si="445">B505+8</f>
        <v>45830</v>
      </c>
      <c r="D505" s="14">
        <v>12854</v>
      </c>
      <c r="E505" s="16" t="s">
        <v>596</v>
      </c>
      <c r="F505" s="40" t="s">
        <v>597</v>
      </c>
      <c r="G505" s="17" t="s">
        <v>75</v>
      </c>
      <c r="H505" s="18" t="s">
        <v>57</v>
      </c>
      <c r="I505" s="19" t="s">
        <v>94</v>
      </c>
      <c r="J505" s="20">
        <v>45769</v>
      </c>
      <c r="K505" s="20">
        <v>45804</v>
      </c>
      <c r="L505" s="21">
        <v>300000</v>
      </c>
      <c r="M505" s="22">
        <f t="shared" ref="M505:M510" si="446">SUM(N505:O505)</f>
        <v>150000</v>
      </c>
      <c r="N505" s="23">
        <v>0</v>
      </c>
      <c r="O505" s="23">
        <v>150000</v>
      </c>
      <c r="P505" s="24">
        <f t="shared" ref="P505:P511" si="447">L505-N505</f>
        <v>300000</v>
      </c>
      <c r="Q505" s="25">
        <v>150000</v>
      </c>
      <c r="R505" s="26">
        <v>150000</v>
      </c>
      <c r="S505" s="91">
        <f t="shared" ref="S505:S511" si="448">IF(P505&gt;0,P505/$R505,0)</f>
        <v>2</v>
      </c>
      <c r="T505" s="91">
        <f t="shared" ref="T505:T511" si="449">IF(Q505&gt;0,Q505/$R505,0)</f>
        <v>1</v>
      </c>
      <c r="U505" s="27" t="s">
        <v>193</v>
      </c>
      <c r="V505" s="19" t="s">
        <v>51</v>
      </c>
      <c r="W505" s="20">
        <v>45814</v>
      </c>
      <c r="X505" s="22"/>
      <c r="Y505" s="19" t="s">
        <v>52</v>
      </c>
      <c r="Z505" s="19" t="s">
        <v>52</v>
      </c>
      <c r="AA505" s="19" t="s">
        <v>52</v>
      </c>
      <c r="AB505" s="28"/>
    </row>
    <row r="506" spans="1:33" s="29" customFormat="1" ht="15" customHeight="1" x14ac:dyDescent="0.25">
      <c r="A506" s="14">
        <v>20</v>
      </c>
      <c r="B506" s="15">
        <v>45822</v>
      </c>
      <c r="C506" s="15">
        <f>B506+8</f>
        <v>45830</v>
      </c>
      <c r="D506" s="14">
        <v>12923</v>
      </c>
      <c r="E506" s="16" t="s">
        <v>456</v>
      </c>
      <c r="F506" s="40" t="s">
        <v>80</v>
      </c>
      <c r="G506" s="17" t="s">
        <v>75</v>
      </c>
      <c r="H506" s="18" t="s">
        <v>57</v>
      </c>
      <c r="I506" s="19" t="s">
        <v>58</v>
      </c>
      <c r="J506" s="20">
        <v>45782</v>
      </c>
      <c r="K506" s="20">
        <v>45835</v>
      </c>
      <c r="L506" s="21">
        <v>600000</v>
      </c>
      <c r="M506" s="22">
        <f>SUM(N506:O506)</f>
        <v>549000</v>
      </c>
      <c r="N506" s="23">
        <v>300000</v>
      </c>
      <c r="O506" s="23">
        <v>249000</v>
      </c>
      <c r="P506" s="24">
        <f>L506-N506</f>
        <v>300000</v>
      </c>
      <c r="Q506" s="25">
        <v>249000</v>
      </c>
      <c r="R506" s="26">
        <v>150000</v>
      </c>
      <c r="S506" s="91">
        <f t="shared" si="448"/>
        <v>2</v>
      </c>
      <c r="T506" s="91">
        <f t="shared" si="449"/>
        <v>1.66</v>
      </c>
      <c r="U506" s="27" t="s">
        <v>193</v>
      </c>
      <c r="V506" s="19" t="s">
        <v>51</v>
      </c>
      <c r="W506" s="20">
        <v>45798</v>
      </c>
      <c r="X506" s="22"/>
      <c r="Y506" s="19" t="s">
        <v>52</v>
      </c>
      <c r="Z506" s="19" t="s">
        <v>52</v>
      </c>
      <c r="AA506" s="19" t="s">
        <v>52</v>
      </c>
      <c r="AB506" s="28"/>
    </row>
    <row r="507" spans="1:33" s="29" customFormat="1" ht="15" customHeight="1" x14ac:dyDescent="0.25">
      <c r="A507" s="14">
        <v>13</v>
      </c>
      <c r="B507" s="15">
        <v>45822</v>
      </c>
      <c r="C507" s="15">
        <f t="shared" ref="C507" si="450">B507+8</f>
        <v>45830</v>
      </c>
      <c r="D507" s="14">
        <v>12956</v>
      </c>
      <c r="E507" s="16" t="s">
        <v>341</v>
      </c>
      <c r="F507" s="40" t="s">
        <v>348</v>
      </c>
      <c r="G507" s="17" t="s">
        <v>75</v>
      </c>
      <c r="H507" s="18" t="s">
        <v>542</v>
      </c>
      <c r="I507" s="19" t="s">
        <v>70</v>
      </c>
      <c r="J507" s="20">
        <v>45790</v>
      </c>
      <c r="K507" s="20">
        <v>45826</v>
      </c>
      <c r="L507" s="21">
        <v>3000000</v>
      </c>
      <c r="M507" s="22">
        <f t="shared" ref="M507" si="451">SUM(N507:O507)</f>
        <v>450000</v>
      </c>
      <c r="N507" s="23">
        <v>0</v>
      </c>
      <c r="O507" s="23">
        <v>450000</v>
      </c>
      <c r="P507" s="24">
        <f t="shared" ref="P507" si="452">L507-N507</f>
        <v>3000000</v>
      </c>
      <c r="Q507" s="25">
        <v>450000</v>
      </c>
      <c r="R507" s="26">
        <v>150000</v>
      </c>
      <c r="S507" s="91">
        <f t="shared" si="448"/>
        <v>20</v>
      </c>
      <c r="T507" s="91">
        <f t="shared" si="449"/>
        <v>3</v>
      </c>
      <c r="U507" s="27" t="s">
        <v>193</v>
      </c>
      <c r="V507" s="19" t="s">
        <v>51</v>
      </c>
      <c r="W507" s="20">
        <v>45800</v>
      </c>
      <c r="X507" s="22"/>
      <c r="Y507" s="19" t="s">
        <v>52</v>
      </c>
      <c r="Z507" s="19" t="s">
        <v>52</v>
      </c>
      <c r="AA507" s="19" t="s">
        <v>52</v>
      </c>
      <c r="AB507" s="28"/>
    </row>
    <row r="508" spans="1:33" s="29" customFormat="1" ht="15" customHeight="1" x14ac:dyDescent="0.25">
      <c r="A508" s="14">
        <v>27</v>
      </c>
      <c r="B508" s="15">
        <v>45822</v>
      </c>
      <c r="C508" s="15">
        <f t="shared" si="445"/>
        <v>45830</v>
      </c>
      <c r="D508" s="14">
        <v>13042</v>
      </c>
      <c r="E508" s="16" t="s">
        <v>432</v>
      </c>
      <c r="F508" s="40" t="s">
        <v>433</v>
      </c>
      <c r="G508" s="17" t="s">
        <v>75</v>
      </c>
      <c r="H508" s="18" t="s">
        <v>113</v>
      </c>
      <c r="I508" s="19" t="s">
        <v>362</v>
      </c>
      <c r="J508" s="20">
        <v>45800</v>
      </c>
      <c r="K508" s="20">
        <v>45840</v>
      </c>
      <c r="L508" s="21">
        <v>200000</v>
      </c>
      <c r="M508" s="22">
        <f t="shared" si="446"/>
        <v>144000</v>
      </c>
      <c r="N508" s="23">
        <v>0</v>
      </c>
      <c r="O508" s="23">
        <v>144000</v>
      </c>
      <c r="P508" s="24">
        <f t="shared" si="447"/>
        <v>200000</v>
      </c>
      <c r="Q508" s="25">
        <v>126000</v>
      </c>
      <c r="R508" s="26">
        <v>144000</v>
      </c>
      <c r="S508" s="91">
        <f t="shared" si="448"/>
        <v>1.3888888888888888</v>
      </c>
      <c r="T508" s="91">
        <f t="shared" si="449"/>
        <v>0.875</v>
      </c>
      <c r="U508" s="27" t="s">
        <v>193</v>
      </c>
      <c r="V508" s="30" t="s">
        <v>59</v>
      </c>
      <c r="W508" s="31">
        <v>45819</v>
      </c>
      <c r="X508" s="22"/>
      <c r="Y508" s="19" t="s">
        <v>52</v>
      </c>
      <c r="Z508" s="19" t="s">
        <v>52</v>
      </c>
      <c r="AA508" s="19" t="s">
        <v>52</v>
      </c>
      <c r="AB508" s="28"/>
    </row>
    <row r="509" spans="1:33" s="29" customFormat="1" ht="15" customHeight="1" x14ac:dyDescent="0.25">
      <c r="A509" s="14">
        <v>19</v>
      </c>
      <c r="B509" s="15">
        <v>45822</v>
      </c>
      <c r="C509" s="15">
        <f t="shared" si="445"/>
        <v>45830</v>
      </c>
      <c r="D509" s="14">
        <v>13072</v>
      </c>
      <c r="E509" s="16" t="s">
        <v>678</v>
      </c>
      <c r="F509" s="40" t="s">
        <v>657</v>
      </c>
      <c r="G509" s="17" t="s">
        <v>75</v>
      </c>
      <c r="H509" s="18" t="s">
        <v>57</v>
      </c>
      <c r="I509" s="19" t="s">
        <v>94</v>
      </c>
      <c r="J509" s="20">
        <v>45806</v>
      </c>
      <c r="K509" s="20">
        <v>45834</v>
      </c>
      <c r="L509" s="21">
        <v>1250000</v>
      </c>
      <c r="M509" s="22">
        <f t="shared" si="446"/>
        <v>600000</v>
      </c>
      <c r="N509" s="23">
        <v>0</v>
      </c>
      <c r="O509" s="23">
        <v>600000</v>
      </c>
      <c r="P509" s="24">
        <f t="shared" si="447"/>
        <v>1250000</v>
      </c>
      <c r="Q509" s="25">
        <v>600000</v>
      </c>
      <c r="R509" s="26">
        <v>50000</v>
      </c>
      <c r="S509" s="91">
        <f t="shared" si="448"/>
        <v>25</v>
      </c>
      <c r="T509" s="91">
        <f t="shared" si="449"/>
        <v>12</v>
      </c>
      <c r="U509" s="27" t="s">
        <v>193</v>
      </c>
      <c r="V509" s="30" t="s">
        <v>59</v>
      </c>
      <c r="W509" s="31">
        <v>45819</v>
      </c>
      <c r="X509" s="22"/>
      <c r="Y509" s="19" t="s">
        <v>52</v>
      </c>
      <c r="Z509" s="19" t="s">
        <v>52</v>
      </c>
      <c r="AA509" s="19" t="s">
        <v>52</v>
      </c>
      <c r="AB509" s="28"/>
    </row>
    <row r="510" spans="1:33" s="29" customFormat="1" ht="15" customHeight="1" x14ac:dyDescent="0.25">
      <c r="A510" s="14">
        <v>26</v>
      </c>
      <c r="B510" s="15">
        <v>45822</v>
      </c>
      <c r="C510" s="15">
        <f t="shared" si="445"/>
        <v>45830</v>
      </c>
      <c r="D510" s="14">
        <v>13015</v>
      </c>
      <c r="E510" s="16" t="s">
        <v>419</v>
      </c>
      <c r="F510" s="40" t="s">
        <v>420</v>
      </c>
      <c r="G510" s="17" t="s">
        <v>75</v>
      </c>
      <c r="H510" s="18" t="s">
        <v>54</v>
      </c>
      <c r="I510" s="19" t="s">
        <v>421</v>
      </c>
      <c r="J510" s="20">
        <v>45798</v>
      </c>
      <c r="K510" s="20">
        <v>45840</v>
      </c>
      <c r="L510" s="21">
        <v>500000</v>
      </c>
      <c r="M510" s="22">
        <f t="shared" si="446"/>
        <v>517000</v>
      </c>
      <c r="N510" s="23">
        <v>0</v>
      </c>
      <c r="O510" s="23">
        <v>517000</v>
      </c>
      <c r="P510" s="24">
        <f t="shared" si="447"/>
        <v>500000</v>
      </c>
      <c r="Q510" s="25">
        <v>517000</v>
      </c>
      <c r="R510" s="26">
        <v>84000</v>
      </c>
      <c r="S510" s="91">
        <f t="shared" si="448"/>
        <v>5.9523809523809526</v>
      </c>
      <c r="T510" s="91">
        <f t="shared" si="449"/>
        <v>6.1547619047619051</v>
      </c>
      <c r="U510" s="27" t="s">
        <v>56</v>
      </c>
      <c r="V510" s="30" t="s">
        <v>59</v>
      </c>
      <c r="W510" s="31">
        <v>45819</v>
      </c>
      <c r="X510" s="22"/>
      <c r="Y510" s="19" t="s">
        <v>52</v>
      </c>
      <c r="Z510" s="19" t="s">
        <v>52</v>
      </c>
      <c r="AA510" s="19" t="s">
        <v>52</v>
      </c>
      <c r="AB510" s="28"/>
    </row>
    <row r="511" spans="1:33" s="29" customFormat="1" ht="15" customHeight="1" x14ac:dyDescent="0.25">
      <c r="A511" s="14">
        <v>2</v>
      </c>
      <c r="B511" s="15">
        <v>45822</v>
      </c>
      <c r="C511" s="15">
        <f t="shared" si="445"/>
        <v>45830</v>
      </c>
      <c r="D511" s="14">
        <v>12949</v>
      </c>
      <c r="E511" s="16" t="s">
        <v>660</v>
      </c>
      <c r="F511" s="17" t="s">
        <v>629</v>
      </c>
      <c r="G511" s="17" t="s">
        <v>47</v>
      </c>
      <c r="H511" s="18" t="s">
        <v>54</v>
      </c>
      <c r="I511" s="19" t="s">
        <v>55</v>
      </c>
      <c r="J511" s="20">
        <v>45784</v>
      </c>
      <c r="K511" s="20">
        <v>45824</v>
      </c>
      <c r="L511" s="21">
        <v>300000</v>
      </c>
      <c r="M511" s="22">
        <f t="shared" ref="M511" si="453">SUM(N511:O511)</f>
        <v>200000</v>
      </c>
      <c r="N511" s="23">
        <v>100000</v>
      </c>
      <c r="O511" s="23">
        <v>100000</v>
      </c>
      <c r="P511" s="24">
        <f t="shared" si="447"/>
        <v>200000</v>
      </c>
      <c r="Q511" s="25">
        <v>100000</v>
      </c>
      <c r="R511" s="26">
        <v>50000</v>
      </c>
      <c r="S511" s="91">
        <f t="shared" si="448"/>
        <v>4</v>
      </c>
      <c r="T511" s="91">
        <f t="shared" si="449"/>
        <v>2</v>
      </c>
      <c r="U511" s="27" t="s">
        <v>56</v>
      </c>
      <c r="V511" s="19" t="s">
        <v>51</v>
      </c>
      <c r="W511" s="20">
        <v>45807</v>
      </c>
      <c r="X511" s="22"/>
      <c r="Y511" s="19" t="s">
        <v>52</v>
      </c>
      <c r="Z511" s="19" t="s">
        <v>52</v>
      </c>
      <c r="AA511" s="19" t="s">
        <v>52</v>
      </c>
      <c r="AB511" s="42"/>
    </row>
    <row r="512" spans="1:33" ht="15" customHeight="1" x14ac:dyDescent="0.25">
      <c r="A512" s="33" t="s">
        <v>71</v>
      </c>
      <c r="B512" s="34"/>
      <c r="C512" s="34"/>
      <c r="D512" s="34"/>
      <c r="E512" s="34"/>
      <c r="F512" s="35"/>
      <c r="G512" s="35"/>
      <c r="H512" s="34"/>
      <c r="I512" s="34"/>
      <c r="J512" s="34"/>
      <c r="K512" s="34"/>
      <c r="L512" s="36"/>
      <c r="M512" s="36"/>
      <c r="N512" s="36"/>
      <c r="O512" s="36"/>
      <c r="P512" s="36"/>
      <c r="Q512" s="36">
        <f>SUM(Q505:Q511)</f>
        <v>2192000</v>
      </c>
      <c r="R512" s="36"/>
      <c r="S512" s="92"/>
      <c r="T512" s="93">
        <f>SUM(T505:T511)</f>
        <v>26.689761904761905</v>
      </c>
      <c r="U512" s="37"/>
      <c r="V512" s="38"/>
      <c r="W512" s="38"/>
      <c r="X512" s="38"/>
      <c r="Y512" s="34"/>
      <c r="Z512" s="34"/>
      <c r="AA512" s="39"/>
      <c r="AB512" s="29" t="s">
        <v>691</v>
      </c>
      <c r="AC512" s="81" t="s">
        <v>694</v>
      </c>
      <c r="AD512" s="83">
        <v>5000</v>
      </c>
      <c r="AF512" s="83">
        <v>0</v>
      </c>
      <c r="AG512" s="83">
        <f>SUM(AD512,AF512)</f>
        <v>5000</v>
      </c>
    </row>
    <row r="513" spans="1:33" s="29" customFormat="1" ht="15" customHeight="1" x14ac:dyDescent="0.25">
      <c r="A513" s="14">
        <v>8</v>
      </c>
      <c r="B513" s="15">
        <v>45827</v>
      </c>
      <c r="C513" s="15">
        <f>B513+8</f>
        <v>45835</v>
      </c>
      <c r="D513" s="14">
        <v>12961</v>
      </c>
      <c r="E513" s="16" t="s">
        <v>407</v>
      </c>
      <c r="F513" s="17" t="s">
        <v>408</v>
      </c>
      <c r="G513" s="17" t="s">
        <v>47</v>
      </c>
      <c r="H513" s="18" t="s">
        <v>57</v>
      </c>
      <c r="I513" s="19" t="s">
        <v>58</v>
      </c>
      <c r="J513" s="20">
        <v>45785</v>
      </c>
      <c r="K513" s="20">
        <v>45839</v>
      </c>
      <c r="L513" s="21">
        <v>1000000</v>
      </c>
      <c r="M513" s="22">
        <f t="shared" ref="M513:M519" si="454">SUM(N513:O513)</f>
        <v>849000</v>
      </c>
      <c r="N513" s="23">
        <v>288000</v>
      </c>
      <c r="O513" s="23">
        <v>561000</v>
      </c>
      <c r="P513" s="24">
        <f>L513-N513</f>
        <v>712000</v>
      </c>
      <c r="Q513" s="25">
        <v>96000</v>
      </c>
      <c r="R513" s="26">
        <v>48000</v>
      </c>
      <c r="S513" s="91">
        <f t="shared" ref="S513:S521" si="455">IF(P513&gt;0,P513/$R513,0)</f>
        <v>14.833333333333334</v>
      </c>
      <c r="T513" s="91">
        <f t="shared" ref="T513:T521" si="456">IF(Q513&gt;0,Q513/$R513,0)</f>
        <v>2</v>
      </c>
      <c r="U513" s="27" t="s">
        <v>193</v>
      </c>
      <c r="V513" s="30" t="s">
        <v>59</v>
      </c>
      <c r="W513" s="31">
        <v>45812</v>
      </c>
      <c r="X513" s="22"/>
      <c r="Y513" s="19" t="s">
        <v>52</v>
      </c>
      <c r="Z513" s="19" t="s">
        <v>52</v>
      </c>
      <c r="AA513" s="19" t="s">
        <v>52</v>
      </c>
      <c r="AB513" s="42"/>
    </row>
    <row r="514" spans="1:33" s="29" customFormat="1" ht="15" customHeight="1" x14ac:dyDescent="0.25">
      <c r="A514" s="14">
        <v>4</v>
      </c>
      <c r="B514" s="15">
        <v>45827</v>
      </c>
      <c r="C514" s="15">
        <f>B514+8</f>
        <v>45835</v>
      </c>
      <c r="D514" s="14">
        <v>13017</v>
      </c>
      <c r="E514" s="16" t="s">
        <v>111</v>
      </c>
      <c r="F514" s="17" t="s">
        <v>481</v>
      </c>
      <c r="G514" s="17" t="s">
        <v>102</v>
      </c>
      <c r="H514" s="18" t="s">
        <v>57</v>
      </c>
      <c r="I514" s="19" t="s">
        <v>94</v>
      </c>
      <c r="J514" s="20">
        <v>45798</v>
      </c>
      <c r="K514" s="20">
        <v>45826</v>
      </c>
      <c r="L514" s="21">
        <v>120000</v>
      </c>
      <c r="M514" s="22">
        <f t="shared" si="454"/>
        <v>142000</v>
      </c>
      <c r="N514" s="23">
        <v>0</v>
      </c>
      <c r="O514" s="23">
        <v>142000</v>
      </c>
      <c r="P514" s="24">
        <f>L514-N514</f>
        <v>120000</v>
      </c>
      <c r="Q514" s="25">
        <v>142000</v>
      </c>
      <c r="R514" s="26">
        <v>42000</v>
      </c>
      <c r="S514" s="91">
        <f t="shared" si="455"/>
        <v>2.8571428571428572</v>
      </c>
      <c r="T514" s="91">
        <f t="shared" si="456"/>
        <v>3.3809523809523809</v>
      </c>
      <c r="U514" s="27" t="s">
        <v>193</v>
      </c>
      <c r="V514" s="19" t="s">
        <v>51</v>
      </c>
      <c r="W514" s="20">
        <v>45817</v>
      </c>
      <c r="X514" s="22"/>
      <c r="Y514" s="19" t="s">
        <v>52</v>
      </c>
      <c r="Z514" s="19" t="s">
        <v>52</v>
      </c>
      <c r="AA514" s="19" t="s">
        <v>52</v>
      </c>
      <c r="AB514" s="28"/>
    </row>
    <row r="515" spans="1:33" s="29" customFormat="1" ht="15" customHeight="1" x14ac:dyDescent="0.25">
      <c r="A515" s="14">
        <v>17</v>
      </c>
      <c r="B515" s="15">
        <v>45827</v>
      </c>
      <c r="C515" s="15">
        <f>B515+8</f>
        <v>45835</v>
      </c>
      <c r="D515" s="14">
        <v>13019</v>
      </c>
      <c r="E515" s="16" t="s">
        <v>87</v>
      </c>
      <c r="F515" s="40" t="s">
        <v>88</v>
      </c>
      <c r="G515" s="17" t="s">
        <v>75</v>
      </c>
      <c r="H515" s="18" t="s">
        <v>542</v>
      </c>
      <c r="I515" s="19" t="s">
        <v>49</v>
      </c>
      <c r="J515" s="20">
        <v>45799</v>
      </c>
      <c r="K515" s="20">
        <v>45831</v>
      </c>
      <c r="L515" s="21">
        <v>1300000</v>
      </c>
      <c r="M515" s="22">
        <f t="shared" si="454"/>
        <v>900000</v>
      </c>
      <c r="N515" s="23">
        <v>0</v>
      </c>
      <c r="O515" s="23">
        <v>900000</v>
      </c>
      <c r="P515" s="24">
        <f>L515-N515</f>
        <v>1300000</v>
      </c>
      <c r="Q515" s="25">
        <v>150000</v>
      </c>
      <c r="R515" s="26">
        <v>150000</v>
      </c>
      <c r="S515" s="91">
        <f t="shared" si="455"/>
        <v>8.6666666666666661</v>
      </c>
      <c r="T515" s="91">
        <f t="shared" si="456"/>
        <v>1</v>
      </c>
      <c r="U515" s="27" t="s">
        <v>193</v>
      </c>
      <c r="V515" s="30" t="s">
        <v>59</v>
      </c>
      <c r="W515" s="31">
        <v>45819</v>
      </c>
      <c r="X515" s="22"/>
      <c r="Y515" s="19" t="s">
        <v>52</v>
      </c>
      <c r="Z515" s="19" t="s">
        <v>52</v>
      </c>
      <c r="AA515" s="19" t="s">
        <v>52</v>
      </c>
      <c r="AB515" s="28"/>
    </row>
    <row r="516" spans="1:33" s="29" customFormat="1" ht="15" customHeight="1" x14ac:dyDescent="0.25">
      <c r="A516" s="14">
        <v>7</v>
      </c>
      <c r="B516" s="15">
        <v>45827</v>
      </c>
      <c r="C516" s="15">
        <f>B516+8</f>
        <v>45835</v>
      </c>
      <c r="D516" s="14">
        <v>13024</v>
      </c>
      <c r="E516" s="16" t="s">
        <v>45</v>
      </c>
      <c r="F516" s="17" t="s">
        <v>46</v>
      </c>
      <c r="G516" s="17" t="s">
        <v>47</v>
      </c>
      <c r="H516" s="18" t="s">
        <v>542</v>
      </c>
      <c r="I516" s="19" t="s">
        <v>49</v>
      </c>
      <c r="J516" s="20">
        <v>45799</v>
      </c>
      <c r="K516" s="20">
        <v>45838</v>
      </c>
      <c r="L516" s="21">
        <v>240000</v>
      </c>
      <c r="M516" s="22">
        <f t="shared" si="454"/>
        <v>220000</v>
      </c>
      <c r="N516" s="23">
        <v>0</v>
      </c>
      <c r="O516" s="23">
        <v>220000</v>
      </c>
      <c r="P516" s="24">
        <f>L516-N516</f>
        <v>240000</v>
      </c>
      <c r="Q516" s="25">
        <v>180000</v>
      </c>
      <c r="R516" s="26">
        <v>60000</v>
      </c>
      <c r="S516" s="91">
        <f t="shared" si="455"/>
        <v>4</v>
      </c>
      <c r="T516" s="91">
        <f t="shared" si="456"/>
        <v>3</v>
      </c>
      <c r="U516" s="27" t="s">
        <v>193</v>
      </c>
      <c r="V516" s="30" t="s">
        <v>59</v>
      </c>
      <c r="W516" s="31">
        <v>45821</v>
      </c>
      <c r="X516" s="22"/>
      <c r="Y516" s="19" t="s">
        <v>52</v>
      </c>
      <c r="Z516" s="19" t="s">
        <v>52</v>
      </c>
      <c r="AA516" s="19" t="s">
        <v>52</v>
      </c>
      <c r="AB516" s="42"/>
    </row>
    <row r="517" spans="1:33" s="29" customFormat="1" ht="15" customHeight="1" x14ac:dyDescent="0.25">
      <c r="A517" s="14">
        <v>12</v>
      </c>
      <c r="B517" s="15">
        <v>45827</v>
      </c>
      <c r="C517" s="15">
        <f>B517+8</f>
        <v>45835</v>
      </c>
      <c r="D517" s="14">
        <v>13055</v>
      </c>
      <c r="E517" s="16" t="s">
        <v>116</v>
      </c>
      <c r="F517" s="17" t="s">
        <v>117</v>
      </c>
      <c r="G517" s="17" t="s">
        <v>102</v>
      </c>
      <c r="H517" s="18" t="s">
        <v>113</v>
      </c>
      <c r="I517" s="19" t="s">
        <v>118</v>
      </c>
      <c r="J517" s="20">
        <v>45805</v>
      </c>
      <c r="K517" s="20">
        <v>45845</v>
      </c>
      <c r="L517" s="21">
        <v>350000</v>
      </c>
      <c r="M517" s="22">
        <f t="shared" si="454"/>
        <v>352000</v>
      </c>
      <c r="N517" s="23">
        <v>200000</v>
      </c>
      <c r="O517" s="23">
        <v>152000</v>
      </c>
      <c r="P517" s="24">
        <f>L517-N517</f>
        <v>150000</v>
      </c>
      <c r="Q517" s="25">
        <v>152000</v>
      </c>
      <c r="R517" s="26">
        <v>100000</v>
      </c>
      <c r="S517" s="91">
        <f t="shared" si="455"/>
        <v>1.5</v>
      </c>
      <c r="T517" s="91">
        <f t="shared" si="456"/>
        <v>1.52</v>
      </c>
      <c r="U517" s="27" t="s">
        <v>193</v>
      </c>
      <c r="V517" s="30" t="s">
        <v>59</v>
      </c>
      <c r="W517" s="31">
        <v>45822</v>
      </c>
      <c r="X517" s="22"/>
      <c r="Y517" s="19" t="s">
        <v>52</v>
      </c>
      <c r="Z517" s="19" t="s">
        <v>52</v>
      </c>
      <c r="AA517" s="19" t="s">
        <v>52</v>
      </c>
      <c r="AB517" s="28"/>
    </row>
    <row r="518" spans="1:33" s="29" customFormat="1" ht="15" customHeight="1" x14ac:dyDescent="0.25">
      <c r="A518" s="14">
        <v>2</v>
      </c>
      <c r="B518" s="15">
        <v>45827</v>
      </c>
      <c r="C518" s="15">
        <f t="shared" ref="C518" si="457">B518+8</f>
        <v>45835</v>
      </c>
      <c r="D518" s="14">
        <v>13117</v>
      </c>
      <c r="E518" s="16" t="s">
        <v>609</v>
      </c>
      <c r="F518" s="17" t="s">
        <v>610</v>
      </c>
      <c r="G518" s="17" t="s">
        <v>102</v>
      </c>
      <c r="H518" s="18" t="s">
        <v>133</v>
      </c>
      <c r="I518" s="19" t="s">
        <v>611</v>
      </c>
      <c r="J518" s="20">
        <v>45820</v>
      </c>
      <c r="K518" s="20">
        <v>45833</v>
      </c>
      <c r="L518" s="21">
        <v>25000</v>
      </c>
      <c r="M518" s="22">
        <f t="shared" si="454"/>
        <v>26200</v>
      </c>
      <c r="N518" s="23">
        <v>21400</v>
      </c>
      <c r="O518" s="23">
        <v>4800</v>
      </c>
      <c r="P518" s="24">
        <f t="shared" ref="P518" si="458">L518-N518</f>
        <v>3600</v>
      </c>
      <c r="Q518" s="25">
        <v>4800</v>
      </c>
      <c r="R518" s="26">
        <v>15000</v>
      </c>
      <c r="S518" s="91">
        <f t="shared" si="455"/>
        <v>0.24</v>
      </c>
      <c r="T518" s="91">
        <f t="shared" si="456"/>
        <v>0.32</v>
      </c>
      <c r="U518" s="27" t="s">
        <v>56</v>
      </c>
      <c r="V518" s="30" t="s">
        <v>68</v>
      </c>
      <c r="W518" s="31" t="s">
        <v>68</v>
      </c>
      <c r="X518" s="22"/>
      <c r="Y518" s="19" t="s">
        <v>52</v>
      </c>
      <c r="Z518" s="19" t="s">
        <v>52</v>
      </c>
      <c r="AA518" s="19" t="s">
        <v>52</v>
      </c>
      <c r="AB518" s="28"/>
    </row>
    <row r="519" spans="1:33" s="29" customFormat="1" ht="15" customHeight="1" x14ac:dyDescent="0.25">
      <c r="A519" s="14">
        <v>19</v>
      </c>
      <c r="B519" s="15">
        <v>45827</v>
      </c>
      <c r="C519" s="15">
        <f>B519+8</f>
        <v>45835</v>
      </c>
      <c r="D519" s="14">
        <v>13072</v>
      </c>
      <c r="E519" s="16" t="s">
        <v>678</v>
      </c>
      <c r="F519" s="40" t="s">
        <v>657</v>
      </c>
      <c r="G519" s="17" t="s">
        <v>75</v>
      </c>
      <c r="H519" s="18" t="s">
        <v>57</v>
      </c>
      <c r="I519" s="19" t="s">
        <v>94</v>
      </c>
      <c r="J519" s="20">
        <v>45806</v>
      </c>
      <c r="K519" s="20">
        <v>45834</v>
      </c>
      <c r="L519" s="21">
        <v>1250000</v>
      </c>
      <c r="M519" s="22">
        <f t="shared" si="454"/>
        <v>800000</v>
      </c>
      <c r="N519" s="23">
        <v>600000</v>
      </c>
      <c r="O519" s="23">
        <v>200000</v>
      </c>
      <c r="P519" s="24">
        <f>L519-N519</f>
        <v>650000</v>
      </c>
      <c r="Q519" s="25">
        <v>100000</v>
      </c>
      <c r="R519" s="26">
        <v>50000</v>
      </c>
      <c r="S519" s="91">
        <f t="shared" si="455"/>
        <v>13</v>
      </c>
      <c r="T519" s="91">
        <f t="shared" si="456"/>
        <v>2</v>
      </c>
      <c r="U519" s="27" t="s">
        <v>193</v>
      </c>
      <c r="V519" s="30" t="s">
        <v>59</v>
      </c>
      <c r="W519" s="31">
        <v>45819</v>
      </c>
      <c r="X519" s="22"/>
      <c r="Y519" s="19" t="s">
        <v>52</v>
      </c>
      <c r="Z519" s="19" t="s">
        <v>52</v>
      </c>
      <c r="AA519" s="19" t="s">
        <v>52</v>
      </c>
      <c r="AB519" s="28"/>
    </row>
    <row r="520" spans="1:33" s="29" customFormat="1" ht="15" customHeight="1" x14ac:dyDescent="0.25">
      <c r="A520" s="14">
        <v>6</v>
      </c>
      <c r="B520" s="15">
        <v>45827</v>
      </c>
      <c r="C520" s="15">
        <f t="shared" ref="C520" si="459">B520+8</f>
        <v>45835</v>
      </c>
      <c r="D520" s="14">
        <v>13070</v>
      </c>
      <c r="E520" s="16" t="s">
        <v>369</v>
      </c>
      <c r="F520" s="17" t="s">
        <v>598</v>
      </c>
      <c r="G520" s="17" t="s">
        <v>102</v>
      </c>
      <c r="H520" s="18" t="s">
        <v>57</v>
      </c>
      <c r="I520" s="19" t="s">
        <v>58</v>
      </c>
      <c r="J520" s="20">
        <v>45806</v>
      </c>
      <c r="K520" s="20">
        <v>45834</v>
      </c>
      <c r="L520" s="21">
        <v>1000000</v>
      </c>
      <c r="M520" s="22">
        <f t="shared" ref="M520:M521" si="460">SUM(N520:O520)</f>
        <v>897000</v>
      </c>
      <c r="N520" s="23">
        <v>100000</v>
      </c>
      <c r="O520" s="23">
        <v>797000</v>
      </c>
      <c r="P520" s="24">
        <f t="shared" ref="P520" si="461">L520-N520</f>
        <v>900000</v>
      </c>
      <c r="Q520" s="25">
        <v>500000</v>
      </c>
      <c r="R520" s="26">
        <v>50000</v>
      </c>
      <c r="S520" s="91">
        <f t="shared" si="455"/>
        <v>18</v>
      </c>
      <c r="T520" s="91">
        <f t="shared" si="456"/>
        <v>10</v>
      </c>
      <c r="U520" s="27" t="s">
        <v>193</v>
      </c>
      <c r="V520" s="30" t="s">
        <v>59</v>
      </c>
      <c r="W520" s="31">
        <v>45822</v>
      </c>
      <c r="X520" s="22"/>
      <c r="Y520" s="19" t="s">
        <v>52</v>
      </c>
      <c r="Z520" s="19" t="s">
        <v>52</v>
      </c>
      <c r="AA520" s="19" t="s">
        <v>52</v>
      </c>
      <c r="AB520" s="28"/>
    </row>
    <row r="521" spans="1:33" s="29" customFormat="1" ht="15" customHeight="1" x14ac:dyDescent="0.25">
      <c r="A521" s="14">
        <v>3</v>
      </c>
      <c r="B521" s="15">
        <v>45827</v>
      </c>
      <c r="C521" s="15">
        <f t="shared" ref="C521" si="462">B521+8</f>
        <v>45835</v>
      </c>
      <c r="D521" s="14">
        <v>13011</v>
      </c>
      <c r="E521" s="16" t="s">
        <v>482</v>
      </c>
      <c r="F521" s="17" t="s">
        <v>483</v>
      </c>
      <c r="G521" s="17" t="s">
        <v>47</v>
      </c>
      <c r="H521" s="18" t="s">
        <v>57</v>
      </c>
      <c r="I521" s="19" t="s">
        <v>58</v>
      </c>
      <c r="J521" s="20">
        <v>45797</v>
      </c>
      <c r="K521" s="20">
        <v>45825</v>
      </c>
      <c r="L521" s="21">
        <v>1200000</v>
      </c>
      <c r="M521" s="22">
        <f t="shared" si="460"/>
        <v>50000</v>
      </c>
      <c r="N521" s="23">
        <v>0</v>
      </c>
      <c r="O521" s="23">
        <v>50000</v>
      </c>
      <c r="P521" s="24">
        <f t="shared" ref="P521" si="463">L521-N521</f>
        <v>1200000</v>
      </c>
      <c r="Q521" s="25">
        <v>50000</v>
      </c>
      <c r="R521" s="26">
        <v>50000</v>
      </c>
      <c r="S521" s="91">
        <f t="shared" si="455"/>
        <v>24</v>
      </c>
      <c r="T521" s="91">
        <f t="shared" si="456"/>
        <v>1</v>
      </c>
      <c r="U521" s="27" t="s">
        <v>56</v>
      </c>
      <c r="V521" s="30" t="s">
        <v>59</v>
      </c>
      <c r="W521" s="31">
        <v>45826</v>
      </c>
      <c r="X521" s="22"/>
      <c r="Y521" s="19" t="s">
        <v>52</v>
      </c>
      <c r="Z521" s="19" t="s">
        <v>52</v>
      </c>
      <c r="AA521" s="19" t="s">
        <v>52</v>
      </c>
      <c r="AB521" s="28"/>
    </row>
    <row r="522" spans="1:33" ht="15" customHeight="1" x14ac:dyDescent="0.25">
      <c r="A522" s="33" t="s">
        <v>71</v>
      </c>
      <c r="B522" s="34"/>
      <c r="C522" s="34"/>
      <c r="D522" s="34"/>
      <c r="E522" s="34"/>
      <c r="F522" s="35"/>
      <c r="G522" s="35"/>
      <c r="H522" s="34"/>
      <c r="I522" s="34"/>
      <c r="J522" s="34"/>
      <c r="K522" s="34"/>
      <c r="L522" s="36"/>
      <c r="M522" s="36"/>
      <c r="N522" s="36"/>
      <c r="O522" s="36"/>
      <c r="P522" s="36"/>
      <c r="Q522" s="36">
        <f>SUM(Q513:Q521)</f>
        <v>1374800</v>
      </c>
      <c r="R522" s="36"/>
      <c r="S522" s="92"/>
      <c r="T522" s="93">
        <f>SUM(T513:T521)</f>
        <v>24.220952380952383</v>
      </c>
      <c r="U522" s="37"/>
      <c r="V522" s="38"/>
      <c r="W522" s="38"/>
      <c r="X522" s="38"/>
      <c r="Y522" s="34"/>
      <c r="Z522" s="34"/>
      <c r="AA522" s="39"/>
      <c r="AB522" s="29" t="s">
        <v>696</v>
      </c>
      <c r="AC522" s="81" t="s">
        <v>746</v>
      </c>
      <c r="AD522" s="83">
        <v>5000</v>
      </c>
      <c r="AF522" s="83">
        <v>0</v>
      </c>
      <c r="AG522" s="83">
        <f>SUM(AD522,AF522)</f>
        <v>5000</v>
      </c>
    </row>
    <row r="523" spans="1:33" s="29" customFormat="1" ht="15" customHeight="1" x14ac:dyDescent="0.25">
      <c r="A523" s="14">
        <v>10</v>
      </c>
      <c r="B523" s="15">
        <v>45829</v>
      </c>
      <c r="C523" s="15">
        <f>B523+8</f>
        <v>45837</v>
      </c>
      <c r="D523" s="14">
        <v>13016</v>
      </c>
      <c r="E523" s="16" t="s">
        <v>436</v>
      </c>
      <c r="F523" s="40" t="s">
        <v>437</v>
      </c>
      <c r="G523" s="17" t="s">
        <v>75</v>
      </c>
      <c r="H523" s="18" t="s">
        <v>57</v>
      </c>
      <c r="I523" s="19" t="s">
        <v>94</v>
      </c>
      <c r="J523" s="20">
        <v>45799</v>
      </c>
      <c r="K523" s="20">
        <v>45826</v>
      </c>
      <c r="L523" s="21">
        <v>600000</v>
      </c>
      <c r="M523" s="22">
        <f>SUM(N523:O523)</f>
        <v>300000</v>
      </c>
      <c r="N523" s="23">
        <v>0</v>
      </c>
      <c r="O523" s="23">
        <v>300000</v>
      </c>
      <c r="P523" s="24">
        <f>L523-N523</f>
        <v>600000</v>
      </c>
      <c r="Q523" s="25">
        <v>300000</v>
      </c>
      <c r="R523" s="26">
        <v>150000</v>
      </c>
      <c r="S523" s="91">
        <f t="shared" ref="S523:S528" si="464">IF(P523&gt;0,P523/$R523,0)</f>
        <v>4</v>
      </c>
      <c r="T523" s="91">
        <f t="shared" ref="T523:T528" si="465">IF(Q523&gt;0,Q523/$R523,0)</f>
        <v>2</v>
      </c>
      <c r="U523" s="27" t="s">
        <v>56</v>
      </c>
      <c r="V523" s="30" t="s">
        <v>59</v>
      </c>
      <c r="W523" s="31">
        <v>45809</v>
      </c>
      <c r="X523" s="22"/>
      <c r="Y523" s="19" t="s">
        <v>52</v>
      </c>
      <c r="Z523" s="19" t="s">
        <v>52</v>
      </c>
      <c r="AA523" s="19" t="s">
        <v>52</v>
      </c>
      <c r="AB523" s="28"/>
    </row>
    <row r="524" spans="1:33" s="29" customFormat="1" ht="15" customHeight="1" x14ac:dyDescent="0.25">
      <c r="A524" s="14">
        <v>6</v>
      </c>
      <c r="B524" s="15">
        <v>45829</v>
      </c>
      <c r="C524" s="15">
        <f>B524+8</f>
        <v>45837</v>
      </c>
      <c r="D524" s="14">
        <v>12952</v>
      </c>
      <c r="E524" s="16" t="s">
        <v>212</v>
      </c>
      <c r="F524" s="40" t="s">
        <v>213</v>
      </c>
      <c r="G524" s="17" t="s">
        <v>75</v>
      </c>
      <c r="H524" s="18" t="s">
        <v>542</v>
      </c>
      <c r="I524" s="19" t="s">
        <v>104</v>
      </c>
      <c r="J524" s="20">
        <v>45785</v>
      </c>
      <c r="K524" s="20">
        <v>45825</v>
      </c>
      <c r="L524" s="21">
        <v>750000</v>
      </c>
      <c r="M524" s="22">
        <f>SUM(N524:O524)</f>
        <v>300000</v>
      </c>
      <c r="N524" s="23">
        <v>0</v>
      </c>
      <c r="O524" s="23">
        <v>300000</v>
      </c>
      <c r="P524" s="24">
        <f>L524-N524</f>
        <v>750000</v>
      </c>
      <c r="Q524" s="25">
        <v>300000</v>
      </c>
      <c r="R524" s="26">
        <v>150000</v>
      </c>
      <c r="S524" s="91">
        <f t="shared" si="464"/>
        <v>5</v>
      </c>
      <c r="T524" s="91">
        <f t="shared" si="465"/>
        <v>2</v>
      </c>
      <c r="U524" s="27" t="s">
        <v>193</v>
      </c>
      <c r="V524" s="30" t="s">
        <v>59</v>
      </c>
      <c r="W524" s="31">
        <v>45826</v>
      </c>
      <c r="X524" s="22"/>
      <c r="Y524" s="19" t="s">
        <v>52</v>
      </c>
      <c r="Z524" s="19" t="s">
        <v>52</v>
      </c>
      <c r="AA524" s="19" t="s">
        <v>52</v>
      </c>
      <c r="AB524" s="28"/>
    </row>
    <row r="525" spans="1:33" s="29" customFormat="1" ht="15" customHeight="1" x14ac:dyDescent="0.25">
      <c r="A525" s="14">
        <v>8</v>
      </c>
      <c r="B525" s="15">
        <v>45829</v>
      </c>
      <c r="C525" s="15">
        <f>B525+8</f>
        <v>45837</v>
      </c>
      <c r="D525" s="14">
        <v>12961</v>
      </c>
      <c r="E525" s="16" t="s">
        <v>407</v>
      </c>
      <c r="F525" s="17" t="s">
        <v>408</v>
      </c>
      <c r="G525" s="17" t="s">
        <v>47</v>
      </c>
      <c r="H525" s="18" t="s">
        <v>57</v>
      </c>
      <c r="I525" s="19" t="s">
        <v>58</v>
      </c>
      <c r="J525" s="20">
        <v>45785</v>
      </c>
      <c r="K525" s="20">
        <v>45839</v>
      </c>
      <c r="L525" s="21">
        <v>1000000</v>
      </c>
      <c r="M525" s="22">
        <f>SUM(N525:O525)</f>
        <v>672000</v>
      </c>
      <c r="N525" s="23">
        <v>384000</v>
      </c>
      <c r="O525" s="23">
        <v>288000</v>
      </c>
      <c r="P525" s="24">
        <f>L525-N525</f>
        <v>616000</v>
      </c>
      <c r="Q525" s="25">
        <v>288000</v>
      </c>
      <c r="R525" s="26">
        <v>48000</v>
      </c>
      <c r="S525" s="91">
        <f t="shared" si="464"/>
        <v>12.833333333333334</v>
      </c>
      <c r="T525" s="91">
        <f t="shared" si="465"/>
        <v>6</v>
      </c>
      <c r="U525" s="27" t="s">
        <v>193</v>
      </c>
      <c r="V525" s="19" t="s">
        <v>51</v>
      </c>
      <c r="W525" s="20">
        <v>45817</v>
      </c>
      <c r="X525" s="22"/>
      <c r="Y525" s="19" t="s">
        <v>52</v>
      </c>
      <c r="Z525" s="19" t="s">
        <v>52</v>
      </c>
      <c r="AA525" s="19" t="s">
        <v>52</v>
      </c>
      <c r="AB525" s="42"/>
    </row>
    <row r="526" spans="1:33" s="29" customFormat="1" ht="15" customHeight="1" x14ac:dyDescent="0.25">
      <c r="A526" s="14">
        <v>13</v>
      </c>
      <c r="B526" s="15">
        <v>45829</v>
      </c>
      <c r="C526" s="15">
        <f>B526+8</f>
        <v>45837</v>
      </c>
      <c r="D526" s="14">
        <v>13019</v>
      </c>
      <c r="E526" s="16" t="s">
        <v>87</v>
      </c>
      <c r="F526" s="40" t="s">
        <v>88</v>
      </c>
      <c r="G526" s="17" t="s">
        <v>75</v>
      </c>
      <c r="H526" s="18" t="s">
        <v>542</v>
      </c>
      <c r="I526" s="19" t="s">
        <v>49</v>
      </c>
      <c r="J526" s="20">
        <v>45799</v>
      </c>
      <c r="K526" s="20">
        <v>45831</v>
      </c>
      <c r="L526" s="21">
        <v>1300000</v>
      </c>
      <c r="M526" s="22">
        <f>SUM(N526:O526)</f>
        <v>450000</v>
      </c>
      <c r="N526" s="23">
        <v>150000</v>
      </c>
      <c r="O526" s="23">
        <v>300000</v>
      </c>
      <c r="P526" s="24">
        <f t="shared" ref="P526" si="466">L526-N526</f>
        <v>1150000</v>
      </c>
      <c r="Q526" s="25">
        <v>300000</v>
      </c>
      <c r="R526" s="26">
        <v>150000</v>
      </c>
      <c r="S526" s="91">
        <f t="shared" si="464"/>
        <v>7.666666666666667</v>
      </c>
      <c r="T526" s="91">
        <f t="shared" si="465"/>
        <v>2</v>
      </c>
      <c r="U526" s="27" t="s">
        <v>193</v>
      </c>
      <c r="V526" s="19" t="s">
        <v>51</v>
      </c>
      <c r="W526" s="20">
        <v>45821</v>
      </c>
      <c r="X526" s="22"/>
      <c r="Y526" s="19" t="s">
        <v>52</v>
      </c>
      <c r="Z526" s="19" t="s">
        <v>52</v>
      </c>
      <c r="AA526" s="19" t="s">
        <v>52</v>
      </c>
      <c r="AB526" s="28"/>
    </row>
    <row r="527" spans="1:33" s="29" customFormat="1" ht="15" customHeight="1" x14ac:dyDescent="0.25">
      <c r="A527" s="14">
        <v>3</v>
      </c>
      <c r="B527" s="15">
        <v>45829</v>
      </c>
      <c r="C527" s="15">
        <f t="shared" ref="C527:C528" si="467">B527+8</f>
        <v>45837</v>
      </c>
      <c r="D527" s="14">
        <v>13011</v>
      </c>
      <c r="E527" s="16" t="s">
        <v>482</v>
      </c>
      <c r="F527" s="17" t="s">
        <v>483</v>
      </c>
      <c r="G527" s="17" t="s">
        <v>47</v>
      </c>
      <c r="H527" s="18" t="s">
        <v>57</v>
      </c>
      <c r="I527" s="19" t="s">
        <v>58</v>
      </c>
      <c r="J527" s="20">
        <v>45797</v>
      </c>
      <c r="K527" s="20">
        <v>45825</v>
      </c>
      <c r="L527" s="21">
        <v>1200000</v>
      </c>
      <c r="M527" s="22">
        <f t="shared" ref="M527" si="468">SUM(N527:O527)</f>
        <v>600000</v>
      </c>
      <c r="N527" s="23">
        <v>50000</v>
      </c>
      <c r="O527" s="23">
        <v>550000</v>
      </c>
      <c r="P527" s="24">
        <f t="shared" ref="P527" si="469">L527-N527</f>
        <v>1150000</v>
      </c>
      <c r="Q527" s="25">
        <v>550000</v>
      </c>
      <c r="R527" s="26">
        <v>50000</v>
      </c>
      <c r="S527" s="91">
        <f t="shared" si="464"/>
        <v>23</v>
      </c>
      <c r="T527" s="91">
        <f t="shared" si="465"/>
        <v>11</v>
      </c>
      <c r="U527" s="27" t="s">
        <v>193</v>
      </c>
      <c r="V527" s="30" t="s">
        <v>59</v>
      </c>
      <c r="W527" s="31">
        <v>45826</v>
      </c>
      <c r="X527" s="22"/>
      <c r="Y527" s="19" t="s">
        <v>52</v>
      </c>
      <c r="Z527" s="19" t="s">
        <v>52</v>
      </c>
      <c r="AA527" s="19" t="s">
        <v>52</v>
      </c>
      <c r="AB527" s="42"/>
    </row>
    <row r="528" spans="1:33" s="29" customFormat="1" ht="15" customHeight="1" x14ac:dyDescent="0.25">
      <c r="A528" s="14">
        <v>3</v>
      </c>
      <c r="B528" s="15">
        <v>45829</v>
      </c>
      <c r="C528" s="15">
        <f t="shared" si="467"/>
        <v>45837</v>
      </c>
      <c r="D528" s="14">
        <v>13070</v>
      </c>
      <c r="E528" s="16" t="s">
        <v>369</v>
      </c>
      <c r="F528" s="17" t="s">
        <v>598</v>
      </c>
      <c r="G528" s="17" t="s">
        <v>102</v>
      </c>
      <c r="H528" s="18" t="s">
        <v>57</v>
      </c>
      <c r="I528" s="19" t="s">
        <v>58</v>
      </c>
      <c r="J528" s="20">
        <v>45806</v>
      </c>
      <c r="K528" s="20">
        <v>45834</v>
      </c>
      <c r="L528" s="21">
        <v>1000000</v>
      </c>
      <c r="M528" s="22">
        <f t="shared" ref="M528" si="470">SUM(N528:O528)</f>
        <v>797000</v>
      </c>
      <c r="N528" s="23">
        <v>600000</v>
      </c>
      <c r="O528" s="23">
        <v>197000</v>
      </c>
      <c r="P528" s="24">
        <f>L528-N528</f>
        <v>400000</v>
      </c>
      <c r="Q528" s="25">
        <v>197000</v>
      </c>
      <c r="R528" s="26">
        <v>50000</v>
      </c>
      <c r="S528" s="91">
        <f t="shared" si="464"/>
        <v>8</v>
      </c>
      <c r="T528" s="91">
        <f t="shared" si="465"/>
        <v>3.94</v>
      </c>
      <c r="U528" s="27" t="s">
        <v>193</v>
      </c>
      <c r="V528" s="19" t="s">
        <v>51</v>
      </c>
      <c r="W528" s="20">
        <v>45822</v>
      </c>
      <c r="X528" s="22"/>
      <c r="Y528" s="19" t="s">
        <v>52</v>
      </c>
      <c r="Z528" s="19" t="s">
        <v>52</v>
      </c>
      <c r="AA528" s="19" t="s">
        <v>52</v>
      </c>
      <c r="AB528" s="28"/>
    </row>
    <row r="529" spans="1:33" ht="15" customHeight="1" x14ac:dyDescent="0.25">
      <c r="A529" s="33" t="s">
        <v>71</v>
      </c>
      <c r="B529" s="34"/>
      <c r="C529" s="34"/>
      <c r="D529" s="34"/>
      <c r="E529" s="34"/>
      <c r="F529" s="35"/>
      <c r="G529" s="35"/>
      <c r="H529" s="34"/>
      <c r="I529" s="34"/>
      <c r="J529" s="34"/>
      <c r="K529" s="34"/>
      <c r="L529" s="36"/>
      <c r="M529" s="36"/>
      <c r="N529" s="36"/>
      <c r="O529" s="36"/>
      <c r="P529" s="36"/>
      <c r="Q529" s="36">
        <f>SUM(Q523:Q528)</f>
        <v>1935000</v>
      </c>
      <c r="R529" s="36"/>
      <c r="S529" s="92"/>
      <c r="T529" s="93">
        <f>SUM(T523:T528)</f>
        <v>26.94</v>
      </c>
      <c r="U529" s="37"/>
      <c r="V529" s="38"/>
      <c r="W529" s="38"/>
      <c r="X529" s="38"/>
      <c r="Y529" s="34"/>
      <c r="Z529" s="34"/>
      <c r="AA529" s="39"/>
      <c r="AB529" s="29" t="s">
        <v>697</v>
      </c>
      <c r="AC529" s="81" t="s">
        <v>747</v>
      </c>
      <c r="AD529" s="83">
        <v>5000</v>
      </c>
      <c r="AF529" s="83">
        <v>0</v>
      </c>
      <c r="AG529" s="83">
        <f>SUM(AD529,AF529)</f>
        <v>5000</v>
      </c>
    </row>
    <row r="530" spans="1:33" s="29" customFormat="1" ht="15" customHeight="1" x14ac:dyDescent="0.25">
      <c r="A530" s="14">
        <v>6</v>
      </c>
      <c r="B530" s="15">
        <v>45832</v>
      </c>
      <c r="C530" s="15">
        <f t="shared" ref="C530:C536" si="471">B530+8</f>
        <v>45840</v>
      </c>
      <c r="D530" s="14">
        <v>13064</v>
      </c>
      <c r="E530" s="16" t="s">
        <v>66</v>
      </c>
      <c r="F530" s="17" t="s">
        <v>67</v>
      </c>
      <c r="G530" s="17" t="s">
        <v>47</v>
      </c>
      <c r="H530" s="18" t="s">
        <v>62</v>
      </c>
      <c r="I530" s="19" t="s">
        <v>63</v>
      </c>
      <c r="J530" s="20">
        <v>45810</v>
      </c>
      <c r="K530" s="20">
        <v>45828</v>
      </c>
      <c r="L530" s="21">
        <v>10000</v>
      </c>
      <c r="M530" s="22">
        <f t="shared" ref="M530:M536" si="472">SUM(N530:O530)</f>
        <v>10000</v>
      </c>
      <c r="N530" s="23">
        <v>0</v>
      </c>
      <c r="O530" s="23">
        <v>10000</v>
      </c>
      <c r="P530" s="24">
        <f t="shared" ref="P530:P536" si="473">L530-N530</f>
        <v>10000</v>
      </c>
      <c r="Q530" s="25">
        <v>2800</v>
      </c>
      <c r="R530" s="26">
        <v>12000</v>
      </c>
      <c r="S530" s="91">
        <f t="shared" ref="S530:S536" si="474">IF(P530&gt;0,P530/$R530,0)</f>
        <v>0.83333333333333337</v>
      </c>
      <c r="T530" s="91">
        <f t="shared" ref="T530:T536" si="475">IF(Q530&gt;0,Q530/$R530,0)</f>
        <v>0.23333333333333334</v>
      </c>
      <c r="U530" s="27" t="s">
        <v>193</v>
      </c>
      <c r="V530" s="30" t="s">
        <v>59</v>
      </c>
      <c r="W530" s="31">
        <v>45826</v>
      </c>
      <c r="X530" s="22"/>
      <c r="Y530" s="19" t="s">
        <v>52</v>
      </c>
      <c r="Z530" s="19" t="s">
        <v>52</v>
      </c>
      <c r="AA530" s="19" t="s">
        <v>52</v>
      </c>
      <c r="AB530" s="42"/>
    </row>
    <row r="531" spans="1:33" s="29" customFormat="1" ht="15" customHeight="1" x14ac:dyDescent="0.25">
      <c r="A531" s="14">
        <v>9</v>
      </c>
      <c r="B531" s="15">
        <v>45832</v>
      </c>
      <c r="C531" s="15">
        <f>B531+8</f>
        <v>45840</v>
      </c>
      <c r="D531" s="14">
        <v>12956</v>
      </c>
      <c r="E531" s="16" t="s">
        <v>341</v>
      </c>
      <c r="F531" s="40" t="s">
        <v>348</v>
      </c>
      <c r="G531" s="17" t="s">
        <v>75</v>
      </c>
      <c r="H531" s="18" t="s">
        <v>542</v>
      </c>
      <c r="I531" s="19" t="s">
        <v>70</v>
      </c>
      <c r="J531" s="20">
        <v>45790</v>
      </c>
      <c r="K531" s="20">
        <v>45826</v>
      </c>
      <c r="L531" s="21">
        <v>3000000</v>
      </c>
      <c r="M531" s="22">
        <f t="shared" si="472"/>
        <v>1050000</v>
      </c>
      <c r="N531" s="23">
        <v>450000</v>
      </c>
      <c r="O531" s="23">
        <v>600000</v>
      </c>
      <c r="P531" s="24">
        <f>L531-N531</f>
        <v>2550000</v>
      </c>
      <c r="Q531" s="25">
        <v>600000</v>
      </c>
      <c r="R531" s="26">
        <v>150000</v>
      </c>
      <c r="S531" s="91">
        <f t="shared" si="474"/>
        <v>17</v>
      </c>
      <c r="T531" s="91">
        <f t="shared" si="475"/>
        <v>4</v>
      </c>
      <c r="U531" s="27" t="s">
        <v>193</v>
      </c>
      <c r="V531" s="19" t="s">
        <v>51</v>
      </c>
      <c r="W531" s="20">
        <v>45800</v>
      </c>
      <c r="X531" s="22"/>
      <c r="Y531" s="19" t="s">
        <v>52</v>
      </c>
      <c r="Z531" s="19" t="s">
        <v>52</v>
      </c>
      <c r="AA531" s="19" t="s">
        <v>52</v>
      </c>
      <c r="AB531" s="28"/>
    </row>
    <row r="532" spans="1:33" s="29" customFormat="1" ht="15" customHeight="1" x14ac:dyDescent="0.25">
      <c r="A532" s="14">
        <v>4</v>
      </c>
      <c r="B532" s="15">
        <v>45832</v>
      </c>
      <c r="C532" s="15">
        <f>B532+8</f>
        <v>45840</v>
      </c>
      <c r="D532" s="14">
        <v>13018</v>
      </c>
      <c r="E532" s="16" t="s">
        <v>671</v>
      </c>
      <c r="F532" s="17" t="s">
        <v>672</v>
      </c>
      <c r="G532" s="17" t="s">
        <v>47</v>
      </c>
      <c r="H532" s="18" t="s">
        <v>57</v>
      </c>
      <c r="I532" s="19" t="s">
        <v>58</v>
      </c>
      <c r="J532" s="20">
        <v>45798</v>
      </c>
      <c r="K532" s="20">
        <v>45826</v>
      </c>
      <c r="L532" s="21">
        <v>252000</v>
      </c>
      <c r="M532" s="22">
        <f t="shared" si="472"/>
        <v>168000</v>
      </c>
      <c r="N532" s="23">
        <v>0</v>
      </c>
      <c r="O532" s="23">
        <v>168000</v>
      </c>
      <c r="P532" s="24">
        <f>L532-N532</f>
        <v>252000</v>
      </c>
      <c r="Q532" s="25">
        <v>168000</v>
      </c>
      <c r="R532" s="26">
        <v>42000</v>
      </c>
      <c r="S532" s="91">
        <f t="shared" si="474"/>
        <v>6</v>
      </c>
      <c r="T532" s="91">
        <f t="shared" si="475"/>
        <v>4</v>
      </c>
      <c r="U532" s="27" t="s">
        <v>193</v>
      </c>
      <c r="V532" s="30" t="s">
        <v>59</v>
      </c>
      <c r="W532" s="31">
        <v>45826</v>
      </c>
      <c r="X532" s="22"/>
      <c r="Y532" s="19" t="s">
        <v>52</v>
      </c>
      <c r="Z532" s="19" t="s">
        <v>52</v>
      </c>
      <c r="AA532" s="19" t="s">
        <v>52</v>
      </c>
      <c r="AB532" s="42"/>
    </row>
    <row r="533" spans="1:33" s="29" customFormat="1" ht="15" customHeight="1" x14ac:dyDescent="0.25">
      <c r="A533" s="14">
        <v>3</v>
      </c>
      <c r="B533" s="15">
        <v>45832</v>
      </c>
      <c r="C533" s="15">
        <f>B533+8</f>
        <v>45840</v>
      </c>
      <c r="D533" s="14">
        <v>13011</v>
      </c>
      <c r="E533" s="16" t="s">
        <v>482</v>
      </c>
      <c r="F533" s="17" t="s">
        <v>483</v>
      </c>
      <c r="G533" s="17" t="s">
        <v>47</v>
      </c>
      <c r="H533" s="18" t="s">
        <v>57</v>
      </c>
      <c r="I533" s="19" t="s">
        <v>58</v>
      </c>
      <c r="J533" s="20">
        <v>45797</v>
      </c>
      <c r="K533" s="20">
        <v>45825</v>
      </c>
      <c r="L533" s="21">
        <v>1200000</v>
      </c>
      <c r="M533" s="22">
        <f t="shared" si="472"/>
        <v>1250000</v>
      </c>
      <c r="N533" s="23">
        <v>600000</v>
      </c>
      <c r="O533" s="23">
        <v>650000</v>
      </c>
      <c r="P533" s="24">
        <f>L533-N533</f>
        <v>600000</v>
      </c>
      <c r="Q533" s="25">
        <v>650000</v>
      </c>
      <c r="R533" s="26">
        <v>50000</v>
      </c>
      <c r="S533" s="91">
        <f t="shared" si="474"/>
        <v>12</v>
      </c>
      <c r="T533" s="91">
        <f t="shared" si="475"/>
        <v>13</v>
      </c>
      <c r="U533" s="27" t="s">
        <v>193</v>
      </c>
      <c r="V533" s="30" t="s">
        <v>59</v>
      </c>
      <c r="W533" s="31">
        <v>45826</v>
      </c>
      <c r="X533" s="22"/>
      <c r="Y533" s="19" t="s">
        <v>52</v>
      </c>
      <c r="Z533" s="19" t="s">
        <v>52</v>
      </c>
      <c r="AA533" s="19" t="s">
        <v>52</v>
      </c>
      <c r="AB533" s="42"/>
    </row>
    <row r="534" spans="1:33" s="29" customFormat="1" ht="15" customHeight="1" x14ac:dyDescent="0.25">
      <c r="A534" s="14">
        <v>7</v>
      </c>
      <c r="B534" s="15">
        <v>45832</v>
      </c>
      <c r="C534" s="15">
        <f t="shared" si="471"/>
        <v>45840</v>
      </c>
      <c r="D534" s="14">
        <v>13000</v>
      </c>
      <c r="E534" s="16" t="s">
        <v>358</v>
      </c>
      <c r="F534" s="17" t="s">
        <v>359</v>
      </c>
      <c r="G534" s="17" t="s">
        <v>132</v>
      </c>
      <c r="H534" s="18" t="s">
        <v>162</v>
      </c>
      <c r="I534" s="19" t="s">
        <v>198</v>
      </c>
      <c r="J534" s="20">
        <v>45793</v>
      </c>
      <c r="K534" s="20">
        <v>45824</v>
      </c>
      <c r="L534" s="21">
        <v>350000</v>
      </c>
      <c r="M534" s="22">
        <f t="shared" si="472"/>
        <v>324000</v>
      </c>
      <c r="N534" s="23">
        <v>0</v>
      </c>
      <c r="O534" s="23">
        <v>324000</v>
      </c>
      <c r="P534" s="24">
        <f t="shared" si="473"/>
        <v>350000</v>
      </c>
      <c r="Q534" s="25">
        <v>196572</v>
      </c>
      <c r="R534" s="26">
        <v>324000</v>
      </c>
      <c r="S534" s="91">
        <f t="shared" si="474"/>
        <v>1.0802469135802468</v>
      </c>
      <c r="T534" s="91">
        <f t="shared" si="475"/>
        <v>0.60670370370370375</v>
      </c>
      <c r="U534" s="27" t="s">
        <v>56</v>
      </c>
      <c r="V534" s="30" t="s">
        <v>59</v>
      </c>
      <c r="W534" s="31">
        <v>45827</v>
      </c>
      <c r="X534" s="22"/>
      <c r="Y534" s="19" t="s">
        <v>52</v>
      </c>
      <c r="Z534" s="19" t="s">
        <v>52</v>
      </c>
      <c r="AA534" s="19" t="s">
        <v>52</v>
      </c>
      <c r="AB534" s="28"/>
    </row>
    <row r="535" spans="1:33" s="29" customFormat="1" ht="15" customHeight="1" x14ac:dyDescent="0.25">
      <c r="A535" s="14">
        <v>2</v>
      </c>
      <c r="B535" s="15">
        <v>45832</v>
      </c>
      <c r="C535" s="15">
        <f t="shared" si="471"/>
        <v>45840</v>
      </c>
      <c r="D535" s="14">
        <v>12949</v>
      </c>
      <c r="E535" s="16" t="s">
        <v>660</v>
      </c>
      <c r="F535" s="17" t="s">
        <v>629</v>
      </c>
      <c r="G535" s="17" t="s">
        <v>47</v>
      </c>
      <c r="H535" s="18" t="s">
        <v>54</v>
      </c>
      <c r="I535" s="19" t="s">
        <v>55</v>
      </c>
      <c r="J535" s="20">
        <v>45784</v>
      </c>
      <c r="K535" s="20">
        <v>45824</v>
      </c>
      <c r="L535" s="21">
        <v>300000</v>
      </c>
      <c r="M535" s="22">
        <f t="shared" si="472"/>
        <v>325000</v>
      </c>
      <c r="N535" s="23">
        <v>200000</v>
      </c>
      <c r="O535" s="23">
        <v>125000</v>
      </c>
      <c r="P535" s="24">
        <f t="shared" si="473"/>
        <v>100000</v>
      </c>
      <c r="Q535" s="25">
        <v>115000</v>
      </c>
      <c r="R535" s="26">
        <v>50000</v>
      </c>
      <c r="S535" s="91">
        <f t="shared" si="474"/>
        <v>2</v>
      </c>
      <c r="T535" s="91">
        <f t="shared" si="475"/>
        <v>2.2999999999999998</v>
      </c>
      <c r="U535" s="27" t="s">
        <v>56</v>
      </c>
      <c r="V535" s="19" t="s">
        <v>51</v>
      </c>
      <c r="W535" s="20">
        <v>45807</v>
      </c>
      <c r="X535" s="22"/>
      <c r="Y535" s="19" t="s">
        <v>52</v>
      </c>
      <c r="Z535" s="19" t="s">
        <v>52</v>
      </c>
      <c r="AA535" s="19" t="s">
        <v>52</v>
      </c>
      <c r="AB535" s="42"/>
    </row>
    <row r="536" spans="1:33" s="29" customFormat="1" ht="15" customHeight="1" x14ac:dyDescent="0.25">
      <c r="A536" s="14">
        <v>28</v>
      </c>
      <c r="B536" s="15">
        <v>45832</v>
      </c>
      <c r="C536" s="15">
        <f t="shared" si="471"/>
        <v>45840</v>
      </c>
      <c r="D536" s="14">
        <v>13067</v>
      </c>
      <c r="E536" s="16" t="s">
        <v>413</v>
      </c>
      <c r="F536" s="40" t="s">
        <v>414</v>
      </c>
      <c r="G536" s="17" t="s">
        <v>75</v>
      </c>
      <c r="H536" s="18" t="s">
        <v>542</v>
      </c>
      <c r="I536" s="19" t="s">
        <v>104</v>
      </c>
      <c r="J536" s="20">
        <v>45806</v>
      </c>
      <c r="K536" s="20">
        <v>45866</v>
      </c>
      <c r="L536" s="21">
        <v>2000000</v>
      </c>
      <c r="M536" s="22">
        <f t="shared" si="472"/>
        <v>600000</v>
      </c>
      <c r="N536" s="23">
        <v>0</v>
      </c>
      <c r="O536" s="23">
        <v>600000</v>
      </c>
      <c r="P536" s="24">
        <f t="shared" si="473"/>
        <v>2000000</v>
      </c>
      <c r="Q536" s="25">
        <v>600000</v>
      </c>
      <c r="R536" s="26">
        <v>150000</v>
      </c>
      <c r="S536" s="91">
        <f t="shared" si="474"/>
        <v>13.333333333333334</v>
      </c>
      <c r="T536" s="91">
        <f t="shared" si="475"/>
        <v>4</v>
      </c>
      <c r="U536" s="27" t="s">
        <v>56</v>
      </c>
      <c r="V536" s="30" t="s">
        <v>59</v>
      </c>
      <c r="W536" s="31">
        <v>45828</v>
      </c>
      <c r="X536" s="22"/>
      <c r="Y536" s="19" t="s">
        <v>52</v>
      </c>
      <c r="Z536" s="19" t="s">
        <v>52</v>
      </c>
      <c r="AA536" s="19" t="s">
        <v>52</v>
      </c>
      <c r="AB536" s="28"/>
    </row>
    <row r="537" spans="1:33" ht="15" customHeight="1" x14ac:dyDescent="0.25">
      <c r="A537" s="33" t="s">
        <v>71</v>
      </c>
      <c r="B537" s="34"/>
      <c r="C537" s="34"/>
      <c r="D537" s="34"/>
      <c r="E537" s="34"/>
      <c r="F537" s="35"/>
      <c r="G537" s="35"/>
      <c r="H537" s="34"/>
      <c r="I537" s="34"/>
      <c r="J537" s="34"/>
      <c r="K537" s="34"/>
      <c r="L537" s="36"/>
      <c r="M537" s="36"/>
      <c r="N537" s="36"/>
      <c r="O537" s="36"/>
      <c r="P537" s="36"/>
      <c r="Q537" s="36">
        <f>SUM(Q530:Q536)</f>
        <v>2332372</v>
      </c>
      <c r="R537" s="36"/>
      <c r="S537" s="92"/>
      <c r="T537" s="93">
        <f>SUM(T530:T536)</f>
        <v>28.14003703703704</v>
      </c>
      <c r="U537" s="37"/>
      <c r="V537" s="38"/>
      <c r="W537" s="38"/>
      <c r="X537" s="38"/>
      <c r="Y537" s="34"/>
      <c r="Z537" s="34"/>
      <c r="AA537" s="39"/>
      <c r="AB537" s="29" t="s">
        <v>699</v>
      </c>
      <c r="AC537" s="81" t="s">
        <v>743</v>
      </c>
      <c r="AD537" s="83">
        <v>5000</v>
      </c>
      <c r="AF537" s="83">
        <v>0</v>
      </c>
      <c r="AG537" s="83">
        <f>SUM(AD537,AF537)</f>
        <v>5000</v>
      </c>
    </row>
    <row r="538" spans="1:33" s="29" customFormat="1" ht="15" customHeight="1" x14ac:dyDescent="0.25">
      <c r="A538" s="14">
        <v>22</v>
      </c>
      <c r="B538" s="15">
        <v>45832</v>
      </c>
      <c r="C538" s="15">
        <f t="shared" ref="C538:C543" si="476">B538+8</f>
        <v>45840</v>
      </c>
      <c r="D538" s="14">
        <v>13049</v>
      </c>
      <c r="E538" s="16" t="s">
        <v>376</v>
      </c>
      <c r="F538" s="40" t="s">
        <v>371</v>
      </c>
      <c r="G538" s="17" t="s">
        <v>75</v>
      </c>
      <c r="H538" s="18" t="s">
        <v>78</v>
      </c>
      <c r="I538" s="19" t="s">
        <v>79</v>
      </c>
      <c r="J538" s="20">
        <v>45804</v>
      </c>
      <c r="K538" s="20">
        <v>45842</v>
      </c>
      <c r="L538" s="21">
        <v>700000</v>
      </c>
      <c r="M538" s="22">
        <f t="shared" ref="M538:M543" si="477">SUM(N538:O538)</f>
        <v>696000</v>
      </c>
      <c r="N538" s="23">
        <v>0</v>
      </c>
      <c r="O538" s="23">
        <v>696000</v>
      </c>
      <c r="P538" s="24">
        <f t="shared" ref="P538:P543" si="478">L538-N538</f>
        <v>700000</v>
      </c>
      <c r="Q538" s="25">
        <v>480000</v>
      </c>
      <c r="R538" s="26">
        <v>96000</v>
      </c>
      <c r="S538" s="91">
        <f t="shared" ref="S538:S546" si="479">IF(P538&gt;0,P538/$R538,0)</f>
        <v>7.291666666666667</v>
      </c>
      <c r="T538" s="91">
        <f t="shared" ref="T538:T546" si="480">IF(Q538&gt;0,Q538/$R538,0)</f>
        <v>5</v>
      </c>
      <c r="U538" s="27" t="s">
        <v>56</v>
      </c>
      <c r="V538" s="19" t="s">
        <v>51</v>
      </c>
      <c r="W538" s="20">
        <v>45821</v>
      </c>
      <c r="X538" s="22"/>
      <c r="Y538" s="19" t="s">
        <v>52</v>
      </c>
      <c r="Z538" s="19" t="s">
        <v>52</v>
      </c>
      <c r="AA538" s="19" t="s">
        <v>52</v>
      </c>
      <c r="AB538" s="28"/>
    </row>
    <row r="539" spans="1:33" s="29" customFormat="1" ht="15" customHeight="1" x14ac:dyDescent="0.25">
      <c r="A539" s="14">
        <v>7</v>
      </c>
      <c r="B539" s="15">
        <v>45832</v>
      </c>
      <c r="C539" s="15">
        <f t="shared" si="476"/>
        <v>45840</v>
      </c>
      <c r="D539" s="14">
        <v>12944</v>
      </c>
      <c r="E539" s="16" t="s">
        <v>632</v>
      </c>
      <c r="F539" s="40" t="s">
        <v>633</v>
      </c>
      <c r="G539" s="17" t="s">
        <v>75</v>
      </c>
      <c r="H539" s="18" t="s">
        <v>78</v>
      </c>
      <c r="I539" s="19" t="s">
        <v>79</v>
      </c>
      <c r="J539" s="20">
        <v>45785</v>
      </c>
      <c r="K539" s="20">
        <v>45826</v>
      </c>
      <c r="L539" s="21">
        <v>840000</v>
      </c>
      <c r="M539" s="22">
        <f t="shared" si="477"/>
        <v>817500</v>
      </c>
      <c r="N539" s="23">
        <v>0</v>
      </c>
      <c r="O539" s="23">
        <v>817500</v>
      </c>
      <c r="P539" s="24">
        <f t="shared" si="478"/>
        <v>840000</v>
      </c>
      <c r="Q539" s="25">
        <v>630000</v>
      </c>
      <c r="R539" s="26">
        <v>105000</v>
      </c>
      <c r="S539" s="91">
        <f t="shared" si="479"/>
        <v>8</v>
      </c>
      <c r="T539" s="91">
        <f t="shared" si="480"/>
        <v>6</v>
      </c>
      <c r="U539" s="27" t="s">
        <v>56</v>
      </c>
      <c r="V539" s="30" t="s">
        <v>59</v>
      </c>
      <c r="W539" s="31">
        <v>45826</v>
      </c>
      <c r="X539" s="22"/>
      <c r="Y539" s="19" t="s">
        <v>52</v>
      </c>
      <c r="Z539" s="19" t="s">
        <v>52</v>
      </c>
      <c r="AA539" s="19" t="s">
        <v>52</v>
      </c>
      <c r="AB539" s="28"/>
    </row>
    <row r="540" spans="1:33" s="29" customFormat="1" ht="15" customHeight="1" x14ac:dyDescent="0.25">
      <c r="A540" s="14">
        <v>3</v>
      </c>
      <c r="B540" s="15">
        <v>45832</v>
      </c>
      <c r="C540" s="15">
        <f t="shared" si="476"/>
        <v>45840</v>
      </c>
      <c r="D540" s="14">
        <v>12862</v>
      </c>
      <c r="E540" s="16" t="s">
        <v>158</v>
      </c>
      <c r="F540" s="17" t="s">
        <v>159</v>
      </c>
      <c r="G540" s="17" t="s">
        <v>132</v>
      </c>
      <c r="H540" s="18" t="s">
        <v>54</v>
      </c>
      <c r="I540" s="19" t="s">
        <v>135</v>
      </c>
      <c r="J540" s="20">
        <v>45771</v>
      </c>
      <c r="K540" s="20">
        <v>45814</v>
      </c>
      <c r="L540" s="21">
        <v>275000</v>
      </c>
      <c r="M540" s="22">
        <f t="shared" si="477"/>
        <v>283470</v>
      </c>
      <c r="N540" s="23">
        <v>114660</v>
      </c>
      <c r="O540" s="23">
        <v>168810</v>
      </c>
      <c r="P540" s="24">
        <f t="shared" si="478"/>
        <v>160340</v>
      </c>
      <c r="Q540" s="25">
        <v>168810</v>
      </c>
      <c r="R540" s="26">
        <v>57330</v>
      </c>
      <c r="S540" s="91">
        <f t="shared" si="479"/>
        <v>2.7967905110762254</v>
      </c>
      <c r="T540" s="91">
        <f t="shared" si="480"/>
        <v>2.9445316588173731</v>
      </c>
      <c r="U540" s="27" t="s">
        <v>56</v>
      </c>
      <c r="V540" s="19" t="s">
        <v>51</v>
      </c>
      <c r="W540" s="20">
        <v>45812</v>
      </c>
      <c r="X540" s="22"/>
      <c r="Y540" s="19" t="s">
        <v>52</v>
      </c>
      <c r="Z540" s="19" t="s">
        <v>52</v>
      </c>
      <c r="AA540" s="19" t="s">
        <v>52</v>
      </c>
      <c r="AB540" s="28"/>
    </row>
    <row r="541" spans="1:33" s="29" customFormat="1" ht="15" customHeight="1" x14ac:dyDescent="0.25">
      <c r="A541" s="14">
        <v>6</v>
      </c>
      <c r="B541" s="15">
        <v>45832</v>
      </c>
      <c r="C541" s="15">
        <f>B541+8</f>
        <v>45840</v>
      </c>
      <c r="D541" s="14">
        <v>12893</v>
      </c>
      <c r="E541" s="16" t="s">
        <v>240</v>
      </c>
      <c r="F541" s="17" t="s">
        <v>241</v>
      </c>
      <c r="G541" s="17" t="s">
        <v>132</v>
      </c>
      <c r="H541" s="18" t="s">
        <v>54</v>
      </c>
      <c r="I541" s="19" t="s">
        <v>104</v>
      </c>
      <c r="J541" s="20">
        <v>45783</v>
      </c>
      <c r="K541" s="20">
        <v>45820</v>
      </c>
      <c r="L541" s="21">
        <v>335000</v>
      </c>
      <c r="M541" s="22">
        <f>SUM(N541:O541)</f>
        <v>377000</v>
      </c>
      <c r="N541" s="23">
        <v>0</v>
      </c>
      <c r="O541" s="23">
        <v>377000</v>
      </c>
      <c r="P541" s="24">
        <f>L541-N541</f>
        <v>335000</v>
      </c>
      <c r="Q541" s="25">
        <v>377000</v>
      </c>
      <c r="R541" s="26">
        <v>175500</v>
      </c>
      <c r="S541" s="91">
        <f t="shared" si="479"/>
        <v>1.9088319088319088</v>
      </c>
      <c r="T541" s="91">
        <f t="shared" si="480"/>
        <v>2.1481481481481484</v>
      </c>
      <c r="U541" s="27" t="s">
        <v>56</v>
      </c>
      <c r="V541" s="19" t="s">
        <v>51</v>
      </c>
      <c r="W541" s="20">
        <v>45821</v>
      </c>
      <c r="X541" s="22"/>
      <c r="Y541" s="19" t="s">
        <v>52</v>
      </c>
      <c r="Z541" s="19" t="s">
        <v>52</v>
      </c>
      <c r="AA541" s="19" t="s">
        <v>52</v>
      </c>
      <c r="AB541" s="28"/>
    </row>
    <row r="542" spans="1:33" s="29" customFormat="1" ht="15" customHeight="1" x14ac:dyDescent="0.25">
      <c r="A542" s="14">
        <v>30</v>
      </c>
      <c r="B542" s="15">
        <v>45832</v>
      </c>
      <c r="C542" s="15">
        <f t="shared" si="476"/>
        <v>45840</v>
      </c>
      <c r="D542" s="14">
        <v>12877</v>
      </c>
      <c r="E542" s="16" t="s">
        <v>232</v>
      </c>
      <c r="F542" s="40" t="s">
        <v>233</v>
      </c>
      <c r="G542" s="17" t="s">
        <v>75</v>
      </c>
      <c r="H542" s="18" t="s">
        <v>542</v>
      </c>
      <c r="I542" s="19" t="s">
        <v>104</v>
      </c>
      <c r="J542" s="20">
        <v>45771</v>
      </c>
      <c r="K542" s="20">
        <v>45806</v>
      </c>
      <c r="L542" s="21">
        <v>3000000</v>
      </c>
      <c r="M542" s="22">
        <f t="shared" si="477"/>
        <v>3297000</v>
      </c>
      <c r="N542" s="23">
        <v>2850000</v>
      </c>
      <c r="O542" s="23">
        <v>447000</v>
      </c>
      <c r="P542" s="24">
        <f t="shared" si="478"/>
        <v>150000</v>
      </c>
      <c r="Q542" s="25">
        <v>447000</v>
      </c>
      <c r="R542" s="26">
        <v>150000</v>
      </c>
      <c r="S542" s="91">
        <f t="shared" si="479"/>
        <v>1</v>
      </c>
      <c r="T542" s="91">
        <f t="shared" si="480"/>
        <v>2.98</v>
      </c>
      <c r="U542" s="27" t="s">
        <v>193</v>
      </c>
      <c r="V542" s="19" t="s">
        <v>51</v>
      </c>
      <c r="W542" s="20">
        <v>45796</v>
      </c>
      <c r="X542" s="22"/>
      <c r="Y542" s="19" t="s">
        <v>52</v>
      </c>
      <c r="Z542" s="19" t="s">
        <v>52</v>
      </c>
      <c r="AA542" s="19" t="s">
        <v>52</v>
      </c>
      <c r="AB542" s="28"/>
    </row>
    <row r="543" spans="1:33" s="29" customFormat="1" ht="15" customHeight="1" x14ac:dyDescent="0.25">
      <c r="A543" s="14">
        <v>5</v>
      </c>
      <c r="B543" s="15">
        <v>45832</v>
      </c>
      <c r="C543" s="15">
        <f t="shared" si="476"/>
        <v>45840</v>
      </c>
      <c r="D543" s="14">
        <v>12880</v>
      </c>
      <c r="E543" s="16" t="s">
        <v>291</v>
      </c>
      <c r="F543" s="17" t="s">
        <v>292</v>
      </c>
      <c r="G543" s="17" t="s">
        <v>47</v>
      </c>
      <c r="H543" s="18" t="s">
        <v>542</v>
      </c>
      <c r="I543" s="19" t="s">
        <v>104</v>
      </c>
      <c r="J543" s="20">
        <v>45771</v>
      </c>
      <c r="K543" s="20">
        <v>45828</v>
      </c>
      <c r="L543" s="21">
        <v>350000</v>
      </c>
      <c r="M543" s="22">
        <f t="shared" si="477"/>
        <v>210000</v>
      </c>
      <c r="N543" s="23">
        <v>105000</v>
      </c>
      <c r="O543" s="23">
        <v>105000</v>
      </c>
      <c r="P543" s="24">
        <f t="shared" si="478"/>
        <v>245000</v>
      </c>
      <c r="Q543" s="25">
        <v>105000</v>
      </c>
      <c r="R543" s="26">
        <v>72000</v>
      </c>
      <c r="S543" s="91">
        <f t="shared" si="479"/>
        <v>3.4027777777777777</v>
      </c>
      <c r="T543" s="91">
        <f t="shared" si="480"/>
        <v>1.4583333333333333</v>
      </c>
      <c r="U543" s="27" t="s">
        <v>193</v>
      </c>
      <c r="V543" s="19" t="s">
        <v>51</v>
      </c>
      <c r="W543" s="20">
        <v>45819</v>
      </c>
      <c r="X543" s="22"/>
      <c r="Y543" s="19" t="s">
        <v>52</v>
      </c>
      <c r="Z543" s="19" t="s">
        <v>52</v>
      </c>
      <c r="AA543" s="19" t="s">
        <v>52</v>
      </c>
      <c r="AB543" s="42"/>
    </row>
    <row r="544" spans="1:33" s="29" customFormat="1" ht="15" customHeight="1" x14ac:dyDescent="0.25">
      <c r="A544" s="14">
        <v>6</v>
      </c>
      <c r="B544" s="15">
        <v>45832</v>
      </c>
      <c r="C544" s="15">
        <f>B544+8</f>
        <v>45840</v>
      </c>
      <c r="D544" s="14">
        <v>12952</v>
      </c>
      <c r="E544" s="16" t="s">
        <v>212</v>
      </c>
      <c r="F544" s="40" t="s">
        <v>213</v>
      </c>
      <c r="G544" s="17" t="s">
        <v>75</v>
      </c>
      <c r="H544" s="18" t="s">
        <v>542</v>
      </c>
      <c r="I544" s="19" t="s">
        <v>104</v>
      </c>
      <c r="J544" s="20">
        <v>45785</v>
      </c>
      <c r="K544" s="20">
        <v>45825</v>
      </c>
      <c r="L544" s="21">
        <v>750000</v>
      </c>
      <c r="M544" s="22">
        <f>SUM(N544:O544)</f>
        <v>600000</v>
      </c>
      <c r="N544" s="23">
        <v>300000</v>
      </c>
      <c r="O544" s="23">
        <v>300000</v>
      </c>
      <c r="P544" s="24">
        <f>L544-N544</f>
        <v>450000</v>
      </c>
      <c r="Q544" s="25">
        <v>300000</v>
      </c>
      <c r="R544" s="26">
        <v>150000</v>
      </c>
      <c r="S544" s="91">
        <f t="shared" si="479"/>
        <v>3</v>
      </c>
      <c r="T544" s="91">
        <f t="shared" si="480"/>
        <v>2</v>
      </c>
      <c r="U544" s="27" t="s">
        <v>193</v>
      </c>
      <c r="V544" s="30" t="s">
        <v>59</v>
      </c>
      <c r="W544" s="31">
        <v>45826</v>
      </c>
      <c r="X544" s="22"/>
      <c r="Y544" s="19" t="s">
        <v>52</v>
      </c>
      <c r="Z544" s="19" t="s">
        <v>52</v>
      </c>
      <c r="AA544" s="19" t="s">
        <v>52</v>
      </c>
      <c r="AB544" s="28"/>
    </row>
    <row r="545" spans="1:33" s="29" customFormat="1" ht="15" customHeight="1" x14ac:dyDescent="0.25">
      <c r="A545" s="14">
        <v>14</v>
      </c>
      <c r="B545" s="15">
        <v>45832</v>
      </c>
      <c r="C545" s="15">
        <f t="shared" ref="C545:C546" si="481">B545+8</f>
        <v>45840</v>
      </c>
      <c r="D545" s="14">
        <v>13043</v>
      </c>
      <c r="E545" s="16" t="s">
        <v>344</v>
      </c>
      <c r="F545" s="40" t="s">
        <v>345</v>
      </c>
      <c r="G545" s="17" t="s">
        <v>75</v>
      </c>
      <c r="H545" s="18" t="s">
        <v>542</v>
      </c>
      <c r="I545" s="19" t="s">
        <v>302</v>
      </c>
      <c r="J545" s="20">
        <v>45804</v>
      </c>
      <c r="K545" s="20">
        <v>45833</v>
      </c>
      <c r="L545" s="21">
        <v>600000</v>
      </c>
      <c r="M545" s="22">
        <f t="shared" ref="M545:M546" si="482">SUM(N545:O545)</f>
        <v>150000</v>
      </c>
      <c r="N545" s="23">
        <v>0</v>
      </c>
      <c r="O545" s="23">
        <v>150000</v>
      </c>
      <c r="P545" s="24">
        <f t="shared" ref="P545" si="483">L545-N545</f>
        <v>600000</v>
      </c>
      <c r="Q545" s="25">
        <v>150000</v>
      </c>
      <c r="R545" s="26">
        <v>150000</v>
      </c>
      <c r="S545" s="91">
        <f t="shared" si="479"/>
        <v>4</v>
      </c>
      <c r="T545" s="91">
        <f t="shared" si="480"/>
        <v>1</v>
      </c>
      <c r="U545" s="27" t="s">
        <v>193</v>
      </c>
      <c r="V545" s="30" t="s">
        <v>59</v>
      </c>
      <c r="W545" s="31">
        <v>45828</v>
      </c>
      <c r="X545" s="22"/>
      <c r="Y545" s="19" t="s">
        <v>52</v>
      </c>
      <c r="Z545" s="19" t="s">
        <v>52</v>
      </c>
      <c r="AA545" s="19" t="s">
        <v>52</v>
      </c>
      <c r="AB545" s="28"/>
    </row>
    <row r="546" spans="1:33" s="29" customFormat="1" ht="15" customHeight="1" x14ac:dyDescent="0.25">
      <c r="A546" s="14">
        <v>4</v>
      </c>
      <c r="B546" s="15">
        <v>45832</v>
      </c>
      <c r="C546" s="15">
        <f t="shared" si="481"/>
        <v>45840</v>
      </c>
      <c r="D546" s="14">
        <v>13062</v>
      </c>
      <c r="E546" s="16" t="s">
        <v>674</v>
      </c>
      <c r="F546" s="17" t="s">
        <v>675</v>
      </c>
      <c r="G546" s="17" t="s">
        <v>102</v>
      </c>
      <c r="H546" s="18" t="s">
        <v>542</v>
      </c>
      <c r="I546" s="19" t="s">
        <v>104</v>
      </c>
      <c r="J546" s="20">
        <v>45805</v>
      </c>
      <c r="K546" s="20">
        <v>45838</v>
      </c>
      <c r="L546" s="21">
        <v>200000</v>
      </c>
      <c r="M546" s="22">
        <f t="shared" si="482"/>
        <v>100000</v>
      </c>
      <c r="N546" s="23">
        <v>0</v>
      </c>
      <c r="O546" s="23">
        <v>100000</v>
      </c>
      <c r="P546" s="24">
        <f>L546-N546</f>
        <v>200000</v>
      </c>
      <c r="Q546" s="25">
        <v>100000</v>
      </c>
      <c r="R546" s="26">
        <v>70000</v>
      </c>
      <c r="S546" s="91">
        <f t="shared" si="479"/>
        <v>2.8571428571428572</v>
      </c>
      <c r="T546" s="91">
        <f t="shared" si="480"/>
        <v>1.4285714285714286</v>
      </c>
      <c r="U546" s="27" t="s">
        <v>193</v>
      </c>
      <c r="V546" s="30" t="s">
        <v>59</v>
      </c>
      <c r="W546" s="31">
        <v>45826</v>
      </c>
      <c r="X546" s="22"/>
      <c r="Y546" s="19" t="s">
        <v>52</v>
      </c>
      <c r="Z546" s="19" t="s">
        <v>52</v>
      </c>
      <c r="AA546" s="19" t="s">
        <v>52</v>
      </c>
      <c r="AB546" s="28"/>
    </row>
    <row r="547" spans="1:33" ht="15" customHeight="1" x14ac:dyDescent="0.25">
      <c r="A547" s="33" t="s">
        <v>71</v>
      </c>
      <c r="B547" s="34"/>
      <c r="C547" s="34"/>
      <c r="D547" s="34"/>
      <c r="E547" s="34"/>
      <c r="F547" s="35"/>
      <c r="G547" s="35"/>
      <c r="H547" s="34"/>
      <c r="I547" s="34"/>
      <c r="J547" s="34"/>
      <c r="K547" s="34"/>
      <c r="L547" s="36"/>
      <c r="M547" s="36"/>
      <c r="N547" s="36"/>
      <c r="O547" s="36"/>
      <c r="P547" s="36"/>
      <c r="Q547" s="36">
        <f>SUM(Q538:Q546)</f>
        <v>2757810</v>
      </c>
      <c r="R547" s="36"/>
      <c r="S547" s="92"/>
      <c r="T547" s="93">
        <f>SUM(T538:T546)</f>
        <v>24.95958456887028</v>
      </c>
      <c r="U547" s="37"/>
      <c r="V547" s="38"/>
      <c r="W547" s="38"/>
      <c r="X547" s="38"/>
      <c r="Y547" s="34"/>
      <c r="Z547" s="34"/>
      <c r="AA547" s="39"/>
      <c r="AB547" s="29" t="s">
        <v>700</v>
      </c>
      <c r="AC547" s="81" t="s">
        <v>714</v>
      </c>
      <c r="AD547" s="83">
        <v>5000</v>
      </c>
      <c r="AF547" s="83">
        <v>0</v>
      </c>
      <c r="AG547" s="83">
        <f>SUM(AD547,AF547)</f>
        <v>5000</v>
      </c>
    </row>
    <row r="548" spans="1:33" s="29" customFormat="1" ht="15" customHeight="1" x14ac:dyDescent="0.25">
      <c r="A548" s="14">
        <v>3</v>
      </c>
      <c r="B548" s="15">
        <v>45836</v>
      </c>
      <c r="C548" s="15">
        <f t="shared" ref="C548:C556" si="484">B548+8</f>
        <v>45844</v>
      </c>
      <c r="D548" s="14">
        <v>12857</v>
      </c>
      <c r="E548" s="16" t="s">
        <v>335</v>
      </c>
      <c r="F548" s="17" t="s">
        <v>336</v>
      </c>
      <c r="G548" s="17" t="s">
        <v>132</v>
      </c>
      <c r="H548" s="18" t="s">
        <v>162</v>
      </c>
      <c r="I548" s="19" t="s">
        <v>198</v>
      </c>
      <c r="J548" s="20">
        <v>45772</v>
      </c>
      <c r="K548" s="20">
        <v>45820</v>
      </c>
      <c r="L548" s="21">
        <v>300000</v>
      </c>
      <c r="M548" s="22">
        <f>SUM(N548:O548)</f>
        <v>216000</v>
      </c>
      <c r="N548" s="23">
        <v>0</v>
      </c>
      <c r="O548" s="23">
        <v>216000</v>
      </c>
      <c r="P548" s="24">
        <f>L548-N548</f>
        <v>300000</v>
      </c>
      <c r="Q548" s="25">
        <v>216000</v>
      </c>
      <c r="R548" s="26">
        <v>270000</v>
      </c>
      <c r="S548" s="91">
        <f t="shared" ref="S548:S557" si="485">IF(P548&gt;0,P548/$R548,0)</f>
        <v>1.1111111111111112</v>
      </c>
      <c r="T548" s="91">
        <f t="shared" ref="T548:T557" si="486">IF(Q548&gt;0,Q548/$R548,0)</f>
        <v>0.8</v>
      </c>
      <c r="U548" s="27" t="s">
        <v>56</v>
      </c>
      <c r="V548" s="30" t="s">
        <v>59</v>
      </c>
      <c r="W548" s="31">
        <v>45833</v>
      </c>
      <c r="X548" s="22"/>
      <c r="Y548" s="19" t="s">
        <v>52</v>
      </c>
      <c r="Z548" s="19" t="s">
        <v>52</v>
      </c>
      <c r="AA548" s="19" t="s">
        <v>52</v>
      </c>
      <c r="AB548" s="28"/>
    </row>
    <row r="549" spans="1:33" s="29" customFormat="1" ht="15" customHeight="1" x14ac:dyDescent="0.25">
      <c r="A549" s="14">
        <v>2</v>
      </c>
      <c r="B549" s="15">
        <v>45836</v>
      </c>
      <c r="C549" s="15">
        <f t="shared" si="484"/>
        <v>45844</v>
      </c>
      <c r="D549" s="14">
        <v>12907</v>
      </c>
      <c r="E549" s="16" t="s">
        <v>333</v>
      </c>
      <c r="F549" s="17" t="s">
        <v>334</v>
      </c>
      <c r="G549" s="17" t="s">
        <v>132</v>
      </c>
      <c r="H549" s="18" t="s">
        <v>162</v>
      </c>
      <c r="I549" s="19" t="s">
        <v>198</v>
      </c>
      <c r="J549" s="20">
        <v>45776</v>
      </c>
      <c r="K549" s="20">
        <v>45817</v>
      </c>
      <c r="L549" s="21">
        <v>350000</v>
      </c>
      <c r="M549" s="22">
        <f>SUM(N549:O549)</f>
        <v>260410</v>
      </c>
      <c r="N549" s="23">
        <v>46040</v>
      </c>
      <c r="O549" s="23">
        <v>214370</v>
      </c>
      <c r="P549" s="24">
        <f>L549-N549</f>
        <v>303960</v>
      </c>
      <c r="Q549" s="25">
        <v>214370</v>
      </c>
      <c r="R549" s="26">
        <v>324000</v>
      </c>
      <c r="S549" s="91">
        <f t="shared" si="485"/>
        <v>0.93814814814814818</v>
      </c>
      <c r="T549" s="91">
        <f t="shared" si="486"/>
        <v>0.66163580246913578</v>
      </c>
      <c r="U549" s="27" t="s">
        <v>56</v>
      </c>
      <c r="V549" s="19" t="s">
        <v>51</v>
      </c>
      <c r="W549" s="20">
        <v>45812</v>
      </c>
      <c r="X549" s="22"/>
      <c r="Y549" s="19" t="s">
        <v>52</v>
      </c>
      <c r="Z549" s="19" t="s">
        <v>52</v>
      </c>
      <c r="AA549" s="19" t="s">
        <v>52</v>
      </c>
      <c r="AB549" s="28"/>
    </row>
    <row r="550" spans="1:33" s="29" customFormat="1" ht="15" customHeight="1" x14ac:dyDescent="0.25">
      <c r="A550" s="14">
        <v>7</v>
      </c>
      <c r="B550" s="15">
        <v>45838</v>
      </c>
      <c r="C550" s="15">
        <f t="shared" si="484"/>
        <v>45846</v>
      </c>
      <c r="D550" s="14">
        <v>13012</v>
      </c>
      <c r="E550" s="16" t="s">
        <v>451</v>
      </c>
      <c r="F550" s="17" t="s">
        <v>326</v>
      </c>
      <c r="G550" s="17" t="s">
        <v>132</v>
      </c>
      <c r="H550" s="18" t="s">
        <v>162</v>
      </c>
      <c r="I550" s="19" t="s">
        <v>198</v>
      </c>
      <c r="J550" s="20">
        <v>45797</v>
      </c>
      <c r="K550" s="20">
        <v>45839</v>
      </c>
      <c r="L550" s="21">
        <v>350000</v>
      </c>
      <c r="M550" s="22">
        <f>SUM(N550:O550)</f>
        <v>528850</v>
      </c>
      <c r="N550" s="23">
        <v>0</v>
      </c>
      <c r="O550" s="23">
        <v>528850</v>
      </c>
      <c r="P550" s="24">
        <f>L550-N550</f>
        <v>350000</v>
      </c>
      <c r="Q550" s="25">
        <v>396480</v>
      </c>
      <c r="R550" s="26">
        <v>324000</v>
      </c>
      <c r="S550" s="91">
        <f t="shared" si="485"/>
        <v>1.0802469135802468</v>
      </c>
      <c r="T550" s="91">
        <f t="shared" si="486"/>
        <v>1.2237037037037037</v>
      </c>
      <c r="U550" s="27" t="s">
        <v>56</v>
      </c>
      <c r="V550" s="30" t="s">
        <v>59</v>
      </c>
      <c r="W550" s="31">
        <v>45833</v>
      </c>
      <c r="X550" s="22"/>
      <c r="Y550" s="19" t="s">
        <v>52</v>
      </c>
      <c r="Z550" s="19" t="s">
        <v>52</v>
      </c>
      <c r="AA550" s="19" t="s">
        <v>52</v>
      </c>
      <c r="AB550" s="28"/>
    </row>
    <row r="551" spans="1:33" s="29" customFormat="1" ht="15" customHeight="1" x14ac:dyDescent="0.25">
      <c r="A551" s="14">
        <v>11</v>
      </c>
      <c r="B551" s="15">
        <v>45836</v>
      </c>
      <c r="C551" s="15">
        <f t="shared" si="484"/>
        <v>45844</v>
      </c>
      <c r="D551" s="14">
        <v>13014</v>
      </c>
      <c r="E551" s="16" t="s">
        <v>663</v>
      </c>
      <c r="F551" s="40" t="s">
        <v>664</v>
      </c>
      <c r="G551" s="17" t="s">
        <v>75</v>
      </c>
      <c r="H551" s="18" t="s">
        <v>133</v>
      </c>
      <c r="I551" s="19" t="s">
        <v>198</v>
      </c>
      <c r="J551" s="20">
        <v>45800</v>
      </c>
      <c r="K551" s="20">
        <v>45826</v>
      </c>
      <c r="L551" s="21">
        <v>200000</v>
      </c>
      <c r="M551" s="22">
        <f t="shared" ref="M551" si="487">SUM(N551:O551)</f>
        <v>150000</v>
      </c>
      <c r="N551" s="23">
        <v>0</v>
      </c>
      <c r="O551" s="23">
        <v>150000</v>
      </c>
      <c r="P551" s="24">
        <f t="shared" ref="P551" si="488">L551-N551</f>
        <v>200000</v>
      </c>
      <c r="Q551" s="25">
        <v>150000</v>
      </c>
      <c r="R551" s="26">
        <v>150000</v>
      </c>
      <c r="S551" s="91">
        <f t="shared" si="485"/>
        <v>1.3333333333333333</v>
      </c>
      <c r="T551" s="91">
        <f t="shared" si="486"/>
        <v>1</v>
      </c>
      <c r="U551" s="27" t="s">
        <v>56</v>
      </c>
      <c r="V551" s="30" t="s">
        <v>59</v>
      </c>
      <c r="W551" s="31">
        <v>45833</v>
      </c>
      <c r="X551" s="22"/>
      <c r="Y551" s="19" t="s">
        <v>52</v>
      </c>
      <c r="Z551" s="19" t="s">
        <v>52</v>
      </c>
      <c r="AA551" s="19" t="s">
        <v>52</v>
      </c>
      <c r="AB551" s="28"/>
    </row>
    <row r="552" spans="1:33" s="29" customFormat="1" ht="15" customHeight="1" x14ac:dyDescent="0.25">
      <c r="A552" s="14">
        <v>1</v>
      </c>
      <c r="B552" s="15">
        <v>45836</v>
      </c>
      <c r="C552" s="15">
        <f t="shared" si="484"/>
        <v>45844</v>
      </c>
      <c r="D552" s="14">
        <v>13117</v>
      </c>
      <c r="E552" s="16" t="s">
        <v>609</v>
      </c>
      <c r="F552" s="17" t="s">
        <v>610</v>
      </c>
      <c r="G552" s="17" t="s">
        <v>102</v>
      </c>
      <c r="H552" s="18" t="s">
        <v>133</v>
      </c>
      <c r="I552" s="19" t="s">
        <v>611</v>
      </c>
      <c r="J552" s="20">
        <v>45820</v>
      </c>
      <c r="K552" s="20">
        <v>45833</v>
      </c>
      <c r="L552" s="21">
        <v>25000</v>
      </c>
      <c r="M552" s="22">
        <f>SUM(N552:O552)</f>
        <v>13800</v>
      </c>
      <c r="N552" s="23">
        <v>4800</v>
      </c>
      <c r="O552" s="23">
        <v>9000</v>
      </c>
      <c r="P552" s="24">
        <f>L552-N552</f>
        <v>20200</v>
      </c>
      <c r="Q552" s="25">
        <v>9000</v>
      </c>
      <c r="R552" s="26">
        <v>15000</v>
      </c>
      <c r="S552" s="91">
        <f t="shared" si="485"/>
        <v>1.3466666666666667</v>
      </c>
      <c r="T552" s="91">
        <f t="shared" si="486"/>
        <v>0.6</v>
      </c>
      <c r="U552" s="27" t="s">
        <v>56</v>
      </c>
      <c r="V552" s="30" t="s">
        <v>68</v>
      </c>
      <c r="W552" s="31" t="s">
        <v>68</v>
      </c>
      <c r="X552" s="22"/>
      <c r="Y552" s="19" t="s">
        <v>52</v>
      </c>
      <c r="Z552" s="19" t="s">
        <v>52</v>
      </c>
      <c r="AA552" s="19" t="s">
        <v>52</v>
      </c>
      <c r="AB552" s="28"/>
    </row>
    <row r="553" spans="1:33" s="29" customFormat="1" ht="15" customHeight="1" x14ac:dyDescent="0.25">
      <c r="A553" s="14">
        <v>4</v>
      </c>
      <c r="B553" s="15">
        <v>45836</v>
      </c>
      <c r="C553" s="15">
        <f t="shared" si="484"/>
        <v>45844</v>
      </c>
      <c r="D553" s="14">
        <v>12832</v>
      </c>
      <c r="E553" s="16" t="s">
        <v>556</v>
      </c>
      <c r="F553" s="40" t="s">
        <v>474</v>
      </c>
      <c r="G553" s="17" t="s">
        <v>75</v>
      </c>
      <c r="H553" s="18" t="s">
        <v>57</v>
      </c>
      <c r="I553" s="19" t="s">
        <v>58</v>
      </c>
      <c r="J553" s="20">
        <v>45770</v>
      </c>
      <c r="K553" s="20">
        <v>45804</v>
      </c>
      <c r="L553" s="21">
        <v>100000</v>
      </c>
      <c r="M553" s="22">
        <f>SUM(N553:O553)</f>
        <v>100000</v>
      </c>
      <c r="N553" s="23">
        <v>0</v>
      </c>
      <c r="O553" s="23">
        <v>100000</v>
      </c>
      <c r="P553" s="24">
        <f>L553-N553</f>
        <v>100000</v>
      </c>
      <c r="Q553" s="25">
        <v>72000</v>
      </c>
      <c r="R553" s="26">
        <v>150000</v>
      </c>
      <c r="S553" s="91">
        <f t="shared" si="485"/>
        <v>0.66666666666666663</v>
      </c>
      <c r="T553" s="91">
        <f t="shared" si="486"/>
        <v>0.48</v>
      </c>
      <c r="U553" s="27" t="s">
        <v>56</v>
      </c>
      <c r="V553" s="30" t="s">
        <v>59</v>
      </c>
      <c r="W553" s="31">
        <v>45833</v>
      </c>
      <c r="X553" s="22"/>
      <c r="Y553" s="19" t="s">
        <v>52</v>
      </c>
      <c r="Z553" s="19" t="s">
        <v>52</v>
      </c>
      <c r="AA553" s="19" t="s">
        <v>52</v>
      </c>
      <c r="AB553" s="28"/>
    </row>
    <row r="554" spans="1:33" s="29" customFormat="1" ht="15" customHeight="1" x14ac:dyDescent="0.25">
      <c r="A554" s="14">
        <v>15</v>
      </c>
      <c r="B554" s="15">
        <v>45836</v>
      </c>
      <c r="C554" s="15">
        <f t="shared" si="484"/>
        <v>45844</v>
      </c>
      <c r="D554" s="14">
        <v>13072</v>
      </c>
      <c r="E554" s="16" t="s">
        <v>678</v>
      </c>
      <c r="F554" s="40" t="s">
        <v>657</v>
      </c>
      <c r="G554" s="17" t="s">
        <v>75</v>
      </c>
      <c r="H554" s="18" t="s">
        <v>57</v>
      </c>
      <c r="I554" s="19" t="s">
        <v>94</v>
      </c>
      <c r="J554" s="20">
        <v>45806</v>
      </c>
      <c r="K554" s="20">
        <v>45834</v>
      </c>
      <c r="L554" s="21">
        <v>1250000</v>
      </c>
      <c r="M554" s="22">
        <f>SUM(N554:O554)</f>
        <v>132000</v>
      </c>
      <c r="N554" s="23">
        <v>0</v>
      </c>
      <c r="O554" s="23">
        <v>132000</v>
      </c>
      <c r="P554" s="24">
        <f>L554-N554</f>
        <v>1250000</v>
      </c>
      <c r="Q554" s="25">
        <v>132000</v>
      </c>
      <c r="R554" s="26">
        <v>50000</v>
      </c>
      <c r="S554" s="91">
        <f t="shared" si="485"/>
        <v>25</v>
      </c>
      <c r="T554" s="91">
        <f t="shared" si="486"/>
        <v>2.64</v>
      </c>
      <c r="U554" s="27" t="s">
        <v>56</v>
      </c>
      <c r="V554" s="30" t="s">
        <v>59</v>
      </c>
      <c r="W554" s="31">
        <v>45834</v>
      </c>
      <c r="X554" s="22"/>
      <c r="Y554" s="19" t="s">
        <v>52</v>
      </c>
      <c r="Z554" s="19" t="s">
        <v>52</v>
      </c>
      <c r="AA554" s="19" t="s">
        <v>52</v>
      </c>
      <c r="AB554" s="28"/>
    </row>
    <row r="555" spans="1:33" s="29" customFormat="1" ht="15" customHeight="1" x14ac:dyDescent="0.25">
      <c r="A555" s="14">
        <v>5</v>
      </c>
      <c r="B555" s="15">
        <v>45836</v>
      </c>
      <c r="C555" s="15">
        <f t="shared" si="484"/>
        <v>45844</v>
      </c>
      <c r="D555" s="14">
        <v>12951</v>
      </c>
      <c r="E555" s="16" t="s">
        <v>214</v>
      </c>
      <c r="F555" s="40" t="s">
        <v>215</v>
      </c>
      <c r="G555" s="17" t="s">
        <v>75</v>
      </c>
      <c r="H555" s="18" t="s">
        <v>542</v>
      </c>
      <c r="I555" s="19" t="s">
        <v>104</v>
      </c>
      <c r="J555" s="20">
        <v>45785</v>
      </c>
      <c r="K555" s="20">
        <v>45825</v>
      </c>
      <c r="L555" s="21">
        <v>50000</v>
      </c>
      <c r="M555" s="22">
        <f>SUM(N555:O555)</f>
        <v>51000</v>
      </c>
      <c r="N555" s="23">
        <v>0</v>
      </c>
      <c r="O555" s="23">
        <v>51000</v>
      </c>
      <c r="P555" s="24">
        <f>L555-N555</f>
        <v>50000</v>
      </c>
      <c r="Q555" s="25">
        <v>51000</v>
      </c>
      <c r="R555" s="26">
        <v>50000</v>
      </c>
      <c r="S555" s="91">
        <f t="shared" si="485"/>
        <v>1</v>
      </c>
      <c r="T555" s="91">
        <f t="shared" si="486"/>
        <v>1.02</v>
      </c>
      <c r="U555" s="27" t="s">
        <v>193</v>
      </c>
      <c r="V555" s="30" t="s">
        <v>59</v>
      </c>
      <c r="W555" s="31">
        <v>45833</v>
      </c>
      <c r="X555" s="22"/>
      <c r="Y555" s="19" t="s">
        <v>52</v>
      </c>
      <c r="Z555" s="19" t="s">
        <v>52</v>
      </c>
      <c r="AA555" s="19" t="s">
        <v>52</v>
      </c>
      <c r="AB555" s="28"/>
    </row>
    <row r="556" spans="1:33" s="29" customFormat="1" ht="15" customHeight="1" x14ac:dyDescent="0.25">
      <c r="A556" s="14">
        <v>9</v>
      </c>
      <c r="B556" s="15">
        <v>45836</v>
      </c>
      <c r="C556" s="15">
        <f t="shared" si="484"/>
        <v>45844</v>
      </c>
      <c r="D556" s="14">
        <v>12956</v>
      </c>
      <c r="E556" s="16" t="s">
        <v>341</v>
      </c>
      <c r="F556" s="40" t="s">
        <v>348</v>
      </c>
      <c r="G556" s="17" t="s">
        <v>75</v>
      </c>
      <c r="H556" s="18" t="s">
        <v>542</v>
      </c>
      <c r="I556" s="19" t="s">
        <v>70</v>
      </c>
      <c r="J556" s="20">
        <v>45790</v>
      </c>
      <c r="K556" s="20">
        <v>45826</v>
      </c>
      <c r="L556" s="21">
        <v>3000000</v>
      </c>
      <c r="M556" s="22">
        <f t="shared" ref="M556" si="489">SUM(N556:O556)</f>
        <v>2709000</v>
      </c>
      <c r="N556" s="23">
        <v>1050000</v>
      </c>
      <c r="O556" s="23">
        <v>1659000</v>
      </c>
      <c r="P556" s="24">
        <f>L556-N556</f>
        <v>1950000</v>
      </c>
      <c r="Q556" s="25">
        <v>1659000</v>
      </c>
      <c r="R556" s="26">
        <v>150000</v>
      </c>
      <c r="S556" s="91">
        <f t="shared" si="485"/>
        <v>13</v>
      </c>
      <c r="T556" s="91">
        <f t="shared" si="486"/>
        <v>11.06</v>
      </c>
      <c r="U556" s="27" t="s">
        <v>193</v>
      </c>
      <c r="V556" s="19" t="s">
        <v>51</v>
      </c>
      <c r="W556" s="20">
        <v>45800</v>
      </c>
      <c r="X556" s="22"/>
      <c r="Y556" s="19" t="s">
        <v>52</v>
      </c>
      <c r="Z556" s="19" t="s">
        <v>52</v>
      </c>
      <c r="AA556" s="19" t="s">
        <v>52</v>
      </c>
      <c r="AB556" s="28"/>
    </row>
    <row r="557" spans="1:33" s="29" customFormat="1" ht="15" customHeight="1" x14ac:dyDescent="0.25">
      <c r="A557" s="14">
        <v>4</v>
      </c>
      <c r="B557" s="15">
        <v>45836</v>
      </c>
      <c r="C557" s="15">
        <f t="shared" ref="C557" si="490">B557+8</f>
        <v>45844</v>
      </c>
      <c r="D557" s="14">
        <v>13025</v>
      </c>
      <c r="E557" s="16" t="s">
        <v>105</v>
      </c>
      <c r="F557" s="17" t="s">
        <v>106</v>
      </c>
      <c r="G557" s="17" t="s">
        <v>102</v>
      </c>
      <c r="H557" s="18" t="s">
        <v>542</v>
      </c>
      <c r="I557" s="19" t="s">
        <v>49</v>
      </c>
      <c r="J557" s="20">
        <v>45799</v>
      </c>
      <c r="K557" s="20">
        <v>45839</v>
      </c>
      <c r="L557" s="21">
        <v>2100000</v>
      </c>
      <c r="M557" s="22">
        <f t="shared" ref="M557" si="491">SUM(N557:O557)</f>
        <v>284000</v>
      </c>
      <c r="N557" s="23">
        <v>0</v>
      </c>
      <c r="O557" s="23">
        <v>284000</v>
      </c>
      <c r="P557" s="24">
        <f t="shared" ref="P557" si="492">L557-N557</f>
        <v>2100000</v>
      </c>
      <c r="Q557" s="25">
        <v>200000</v>
      </c>
      <c r="R557" s="26">
        <v>50000</v>
      </c>
      <c r="S557" s="91">
        <f t="shared" si="485"/>
        <v>42</v>
      </c>
      <c r="T557" s="91">
        <f t="shared" si="486"/>
        <v>4</v>
      </c>
      <c r="U557" s="27" t="s">
        <v>193</v>
      </c>
      <c r="V557" s="30" t="s">
        <v>59</v>
      </c>
      <c r="W557" s="31">
        <v>45833</v>
      </c>
      <c r="X557" s="22"/>
      <c r="Y557" s="19" t="s">
        <v>52</v>
      </c>
      <c r="Z557" s="19" t="s">
        <v>52</v>
      </c>
      <c r="AA557" s="19" t="s">
        <v>52</v>
      </c>
      <c r="AB557" s="28"/>
    </row>
    <row r="558" spans="1:33" ht="15" customHeight="1" x14ac:dyDescent="0.25">
      <c r="A558" s="33" t="s">
        <v>71</v>
      </c>
      <c r="B558" s="34"/>
      <c r="C558" s="34"/>
      <c r="D558" s="34"/>
      <c r="E558" s="34"/>
      <c r="F558" s="35"/>
      <c r="G558" s="35"/>
      <c r="H558" s="34"/>
      <c r="I558" s="34"/>
      <c r="J558" s="34"/>
      <c r="K558" s="34"/>
      <c r="L558" s="36"/>
      <c r="M558" s="36"/>
      <c r="N558" s="36"/>
      <c r="O558" s="36"/>
      <c r="P558" s="36"/>
      <c r="Q558" s="36">
        <f>SUM(Q548:Q557)</f>
        <v>3099850</v>
      </c>
      <c r="R558" s="36"/>
      <c r="S558" s="92"/>
      <c r="T558" s="93">
        <f>SUM(T548:T557)</f>
        <v>23.485339506172842</v>
      </c>
      <c r="U558" s="37"/>
      <c r="V558" s="38"/>
      <c r="W558" s="38"/>
      <c r="X558" s="38"/>
      <c r="Y558" s="34"/>
      <c r="Z558" s="34"/>
      <c r="AA558" s="39"/>
      <c r="AB558" s="29" t="s">
        <v>701</v>
      </c>
      <c r="AC558" s="81" t="s">
        <v>715</v>
      </c>
      <c r="AD558" s="83">
        <v>5000</v>
      </c>
      <c r="AF558" s="83">
        <v>0</v>
      </c>
      <c r="AG558" s="83">
        <f>SUM(AD558,AF558)</f>
        <v>5000</v>
      </c>
    </row>
    <row r="559" spans="1:33" s="29" customFormat="1" ht="15" customHeight="1" x14ac:dyDescent="0.25">
      <c r="A559" s="14">
        <v>10</v>
      </c>
      <c r="B559" s="15">
        <v>45838</v>
      </c>
      <c r="C559" s="15">
        <f t="shared" ref="C559:C567" si="493">B559+8</f>
        <v>45846</v>
      </c>
      <c r="D559" s="14">
        <v>13016</v>
      </c>
      <c r="E559" s="16" t="s">
        <v>436</v>
      </c>
      <c r="F559" s="40" t="s">
        <v>437</v>
      </c>
      <c r="G559" s="17" t="s">
        <v>75</v>
      </c>
      <c r="H559" s="18" t="s">
        <v>57</v>
      </c>
      <c r="I559" s="19" t="s">
        <v>94</v>
      </c>
      <c r="J559" s="20">
        <v>45799</v>
      </c>
      <c r="K559" s="20">
        <v>45826</v>
      </c>
      <c r="L559" s="21">
        <v>600000</v>
      </c>
      <c r="M559" s="22">
        <f>SUM(N559:O559)</f>
        <v>570000</v>
      </c>
      <c r="N559" s="23">
        <v>300000</v>
      </c>
      <c r="O559" s="23">
        <v>270000</v>
      </c>
      <c r="P559" s="24">
        <f t="shared" ref="P559:P567" si="494">L559-N559</f>
        <v>300000</v>
      </c>
      <c r="Q559" s="25">
        <v>270000</v>
      </c>
      <c r="R559" s="26">
        <v>150000</v>
      </c>
      <c r="S559" s="91">
        <f t="shared" ref="S559:S568" si="495">IF(P559&gt;0,P559/$R559,0)</f>
        <v>2</v>
      </c>
      <c r="T559" s="91">
        <f t="shared" ref="T559:T568" si="496">IF(Q559&gt;0,Q559/$R559,0)</f>
        <v>1.8</v>
      </c>
      <c r="U559" s="27" t="s">
        <v>56</v>
      </c>
      <c r="V559" s="19" t="s">
        <v>51</v>
      </c>
      <c r="W559" s="20">
        <v>45811</v>
      </c>
      <c r="X559" s="22"/>
      <c r="Y559" s="19" t="s">
        <v>52</v>
      </c>
      <c r="Z559" s="19" t="s">
        <v>52</v>
      </c>
      <c r="AA559" s="19" t="s">
        <v>52</v>
      </c>
      <c r="AB559" s="28"/>
    </row>
    <row r="560" spans="1:33" s="29" customFormat="1" ht="15" customHeight="1" x14ac:dyDescent="0.25">
      <c r="A560" s="14">
        <v>4</v>
      </c>
      <c r="B560" s="15">
        <v>45838</v>
      </c>
      <c r="C560" s="15">
        <f t="shared" si="493"/>
        <v>45846</v>
      </c>
      <c r="D560" s="14">
        <v>13025</v>
      </c>
      <c r="E560" s="16" t="s">
        <v>105</v>
      </c>
      <c r="F560" s="17" t="s">
        <v>106</v>
      </c>
      <c r="G560" s="17" t="s">
        <v>102</v>
      </c>
      <c r="H560" s="18" t="s">
        <v>542</v>
      </c>
      <c r="I560" s="19" t="s">
        <v>49</v>
      </c>
      <c r="J560" s="20">
        <v>45799</v>
      </c>
      <c r="K560" s="20">
        <v>45839</v>
      </c>
      <c r="L560" s="21">
        <v>2100000</v>
      </c>
      <c r="M560" s="22">
        <f>SUM(N560:O560)</f>
        <v>284000</v>
      </c>
      <c r="N560" s="23">
        <v>0</v>
      </c>
      <c r="O560" s="23">
        <v>284000</v>
      </c>
      <c r="P560" s="24">
        <f t="shared" si="494"/>
        <v>2100000</v>
      </c>
      <c r="Q560" s="25">
        <v>284000</v>
      </c>
      <c r="R560" s="26">
        <v>50000</v>
      </c>
      <c r="S560" s="91">
        <f t="shared" si="495"/>
        <v>42</v>
      </c>
      <c r="T560" s="91">
        <f t="shared" si="496"/>
        <v>5.68</v>
      </c>
      <c r="U560" s="27" t="s">
        <v>193</v>
      </c>
      <c r="V560" s="30" t="s">
        <v>59</v>
      </c>
      <c r="W560" s="31">
        <v>45833</v>
      </c>
      <c r="X560" s="22"/>
      <c r="Y560" s="19" t="s">
        <v>52</v>
      </c>
      <c r="Z560" s="19" t="s">
        <v>52</v>
      </c>
      <c r="AA560" s="19" t="s">
        <v>52</v>
      </c>
      <c r="AB560" s="28"/>
    </row>
    <row r="561" spans="1:33" s="29" customFormat="1" ht="15" customHeight="1" x14ac:dyDescent="0.25">
      <c r="A561" s="14">
        <v>14</v>
      </c>
      <c r="B561" s="15">
        <v>45838</v>
      </c>
      <c r="C561" s="15">
        <f t="shared" si="493"/>
        <v>45846</v>
      </c>
      <c r="D561" s="14">
        <v>13043</v>
      </c>
      <c r="E561" s="16" t="s">
        <v>344</v>
      </c>
      <c r="F561" s="40" t="s">
        <v>345</v>
      </c>
      <c r="G561" s="17" t="s">
        <v>75</v>
      </c>
      <c r="H561" s="18" t="s">
        <v>542</v>
      </c>
      <c r="I561" s="19" t="s">
        <v>302</v>
      </c>
      <c r="J561" s="20">
        <v>45804</v>
      </c>
      <c r="K561" s="20">
        <v>45833</v>
      </c>
      <c r="L561" s="21">
        <v>600000</v>
      </c>
      <c r="M561" s="22">
        <f>SUM(N561:O561)</f>
        <v>750000</v>
      </c>
      <c r="N561" s="23">
        <v>150000</v>
      </c>
      <c r="O561" s="23">
        <v>600000</v>
      </c>
      <c r="P561" s="24">
        <f t="shared" si="494"/>
        <v>450000</v>
      </c>
      <c r="Q561" s="25">
        <v>462000</v>
      </c>
      <c r="R561" s="26">
        <v>150000</v>
      </c>
      <c r="S561" s="91">
        <f t="shared" si="495"/>
        <v>3</v>
      </c>
      <c r="T561" s="91">
        <f t="shared" si="496"/>
        <v>3.08</v>
      </c>
      <c r="U561" s="27" t="s">
        <v>193</v>
      </c>
      <c r="V561" s="19" t="s">
        <v>51</v>
      </c>
      <c r="W561" s="20">
        <v>45828</v>
      </c>
      <c r="X561" s="22"/>
      <c r="Y561" s="19" t="s">
        <v>52</v>
      </c>
      <c r="Z561" s="19" t="s">
        <v>52</v>
      </c>
      <c r="AA561" s="19" t="s">
        <v>52</v>
      </c>
      <c r="AB561" s="28"/>
    </row>
    <row r="562" spans="1:33" s="29" customFormat="1" ht="15" customHeight="1" x14ac:dyDescent="0.25">
      <c r="A562" s="14">
        <v>3</v>
      </c>
      <c r="B562" s="15">
        <v>45838</v>
      </c>
      <c r="C562" s="15">
        <f t="shared" si="493"/>
        <v>45846</v>
      </c>
      <c r="D562" s="14">
        <v>13062</v>
      </c>
      <c r="E562" s="16" t="s">
        <v>674</v>
      </c>
      <c r="F562" s="17" t="s">
        <v>675</v>
      </c>
      <c r="G562" s="17" t="s">
        <v>102</v>
      </c>
      <c r="H562" s="18" t="s">
        <v>542</v>
      </c>
      <c r="I562" s="19" t="s">
        <v>104</v>
      </c>
      <c r="J562" s="20">
        <v>45805</v>
      </c>
      <c r="K562" s="20">
        <v>45838</v>
      </c>
      <c r="L562" s="21">
        <v>200000</v>
      </c>
      <c r="M562" s="22">
        <f>SUM(N562:O562)</f>
        <v>292000</v>
      </c>
      <c r="N562" s="23">
        <v>100000</v>
      </c>
      <c r="O562" s="23">
        <v>192000</v>
      </c>
      <c r="P562" s="24">
        <f t="shared" si="494"/>
        <v>100000</v>
      </c>
      <c r="Q562" s="25">
        <v>92000</v>
      </c>
      <c r="R562" s="26">
        <v>70000</v>
      </c>
      <c r="S562" s="91">
        <f t="shared" si="495"/>
        <v>1.4285714285714286</v>
      </c>
      <c r="T562" s="91">
        <f t="shared" si="496"/>
        <v>1.3142857142857143</v>
      </c>
      <c r="U562" s="27" t="s">
        <v>193</v>
      </c>
      <c r="V562" s="19" t="s">
        <v>51</v>
      </c>
      <c r="W562" s="20">
        <v>45826</v>
      </c>
      <c r="X562" s="22"/>
      <c r="Y562" s="19" t="s">
        <v>52</v>
      </c>
      <c r="Z562" s="19" t="s">
        <v>52</v>
      </c>
      <c r="AA562" s="19" t="s">
        <v>52</v>
      </c>
      <c r="AB562" s="28"/>
    </row>
    <row r="563" spans="1:33" s="29" customFormat="1" ht="15" customHeight="1" x14ac:dyDescent="0.25">
      <c r="A563" s="14">
        <v>2</v>
      </c>
      <c r="B563" s="15">
        <v>45838</v>
      </c>
      <c r="C563" s="15">
        <f t="shared" si="493"/>
        <v>45846</v>
      </c>
      <c r="D563" s="14">
        <v>13070</v>
      </c>
      <c r="E563" s="16" t="s">
        <v>369</v>
      </c>
      <c r="F563" s="17" t="s">
        <v>598</v>
      </c>
      <c r="G563" s="17" t="s">
        <v>102</v>
      </c>
      <c r="H563" s="18" t="s">
        <v>57</v>
      </c>
      <c r="I563" s="19" t="s">
        <v>58</v>
      </c>
      <c r="J563" s="20">
        <v>45806</v>
      </c>
      <c r="K563" s="20">
        <v>45834</v>
      </c>
      <c r="L563" s="21">
        <v>1000000</v>
      </c>
      <c r="M563" s="22">
        <f t="shared" ref="M563" si="497">SUM(N563:O563)</f>
        <v>847000</v>
      </c>
      <c r="N563" s="23">
        <v>797000</v>
      </c>
      <c r="O563" s="23">
        <v>50000</v>
      </c>
      <c r="P563" s="24">
        <f t="shared" si="494"/>
        <v>203000</v>
      </c>
      <c r="Q563" s="25">
        <v>50000</v>
      </c>
      <c r="R563" s="26">
        <v>50000</v>
      </c>
      <c r="S563" s="91">
        <f t="shared" si="495"/>
        <v>4.0599999999999996</v>
      </c>
      <c r="T563" s="91">
        <f t="shared" si="496"/>
        <v>1</v>
      </c>
      <c r="U563" s="27" t="s">
        <v>193</v>
      </c>
      <c r="V563" s="19" t="s">
        <v>51</v>
      </c>
      <c r="W563" s="20">
        <v>45822</v>
      </c>
      <c r="X563" s="22"/>
      <c r="Y563" s="19" t="s">
        <v>52</v>
      </c>
      <c r="Z563" s="19" t="s">
        <v>52</v>
      </c>
      <c r="AA563" s="19" t="s">
        <v>52</v>
      </c>
      <c r="AB563" s="28"/>
    </row>
    <row r="564" spans="1:33" s="29" customFormat="1" ht="15" customHeight="1" x14ac:dyDescent="0.25">
      <c r="A564" s="14">
        <v>18</v>
      </c>
      <c r="B564" s="15">
        <v>45838</v>
      </c>
      <c r="C564" s="15">
        <f t="shared" si="493"/>
        <v>45846</v>
      </c>
      <c r="D564" s="14">
        <v>13080</v>
      </c>
      <c r="E564" s="16" t="s">
        <v>230</v>
      </c>
      <c r="F564" s="40" t="s">
        <v>231</v>
      </c>
      <c r="G564" s="17" t="s">
        <v>75</v>
      </c>
      <c r="H564" s="18" t="s">
        <v>57</v>
      </c>
      <c r="I564" s="19" t="s">
        <v>81</v>
      </c>
      <c r="J564" s="20">
        <v>45810</v>
      </c>
      <c r="K564" s="20">
        <v>45838</v>
      </c>
      <c r="L564" s="21">
        <v>500000</v>
      </c>
      <c r="M564" s="22">
        <f>SUM(N564:O564)</f>
        <v>507000</v>
      </c>
      <c r="N564" s="23">
        <v>0</v>
      </c>
      <c r="O564" s="23">
        <v>507000</v>
      </c>
      <c r="P564" s="24">
        <f t="shared" si="494"/>
        <v>500000</v>
      </c>
      <c r="Q564" s="25">
        <v>507000</v>
      </c>
      <c r="R564" s="26">
        <v>150000</v>
      </c>
      <c r="S564" s="91">
        <f t="shared" si="495"/>
        <v>3.3333333333333335</v>
      </c>
      <c r="T564" s="91">
        <f t="shared" si="496"/>
        <v>3.38</v>
      </c>
      <c r="U564" s="27" t="s">
        <v>193</v>
      </c>
      <c r="V564" s="30" t="s">
        <v>59</v>
      </c>
      <c r="W564" s="31">
        <v>45833</v>
      </c>
      <c r="X564" s="22"/>
      <c r="Y564" s="19" t="s">
        <v>52</v>
      </c>
      <c r="Z564" s="19" t="s">
        <v>52</v>
      </c>
      <c r="AA564" s="19" t="s">
        <v>52</v>
      </c>
      <c r="AB564" s="28"/>
    </row>
    <row r="565" spans="1:33" s="29" customFormat="1" ht="15" customHeight="1" x14ac:dyDescent="0.25">
      <c r="A565" s="14">
        <v>4</v>
      </c>
      <c r="B565" s="15">
        <v>45838</v>
      </c>
      <c r="C565" s="15">
        <f t="shared" si="493"/>
        <v>45846</v>
      </c>
      <c r="D565" s="14">
        <v>13018</v>
      </c>
      <c r="E565" s="16" t="s">
        <v>671</v>
      </c>
      <c r="F565" s="17" t="s">
        <v>672</v>
      </c>
      <c r="G565" s="17" t="s">
        <v>47</v>
      </c>
      <c r="H565" s="18" t="s">
        <v>57</v>
      </c>
      <c r="I565" s="19" t="s">
        <v>58</v>
      </c>
      <c r="J565" s="20">
        <v>45798</v>
      </c>
      <c r="K565" s="20">
        <v>45826</v>
      </c>
      <c r="L565" s="21">
        <v>252000</v>
      </c>
      <c r="M565" s="22">
        <f>SUM(N565:O565)</f>
        <v>406000</v>
      </c>
      <c r="N565" s="23">
        <v>158000</v>
      </c>
      <c r="O565" s="23">
        <v>248000</v>
      </c>
      <c r="P565" s="24">
        <f t="shared" si="494"/>
        <v>94000</v>
      </c>
      <c r="Q565" s="25">
        <v>90000</v>
      </c>
      <c r="R565" s="26">
        <v>42000</v>
      </c>
      <c r="S565" s="91">
        <f t="shared" si="495"/>
        <v>2.2380952380952381</v>
      </c>
      <c r="T565" s="91">
        <f t="shared" si="496"/>
        <v>2.1428571428571428</v>
      </c>
      <c r="U565" s="27" t="s">
        <v>193</v>
      </c>
      <c r="V565" s="19" t="s">
        <v>51</v>
      </c>
      <c r="W565" s="20">
        <v>45826</v>
      </c>
      <c r="X565" s="22"/>
      <c r="Y565" s="19" t="s">
        <v>52</v>
      </c>
      <c r="Z565" s="19" t="s">
        <v>52</v>
      </c>
      <c r="AA565" s="19" t="s">
        <v>52</v>
      </c>
      <c r="AB565" s="42"/>
    </row>
    <row r="566" spans="1:33" s="29" customFormat="1" ht="15" customHeight="1" x14ac:dyDescent="0.25">
      <c r="A566" s="14">
        <v>19</v>
      </c>
      <c r="B566" s="15">
        <v>45838</v>
      </c>
      <c r="C566" s="15">
        <f t="shared" si="493"/>
        <v>45846</v>
      </c>
      <c r="D566" s="14">
        <v>13085</v>
      </c>
      <c r="E566" s="16" t="s">
        <v>303</v>
      </c>
      <c r="F566" s="40" t="s">
        <v>304</v>
      </c>
      <c r="G566" s="17" t="s">
        <v>75</v>
      </c>
      <c r="H566" s="18" t="s">
        <v>57</v>
      </c>
      <c r="I566" s="19" t="s">
        <v>94</v>
      </c>
      <c r="J566" s="20">
        <v>45811</v>
      </c>
      <c r="K566" s="20">
        <v>45839</v>
      </c>
      <c r="L566" s="21">
        <v>700000</v>
      </c>
      <c r="M566" s="22">
        <f>SUM(N566:O566)</f>
        <v>150000</v>
      </c>
      <c r="N566" s="23">
        <v>0</v>
      </c>
      <c r="O566" s="23">
        <v>150000</v>
      </c>
      <c r="P566" s="24">
        <f t="shared" si="494"/>
        <v>700000</v>
      </c>
      <c r="Q566" s="25">
        <v>150000</v>
      </c>
      <c r="R566" s="26">
        <v>48000</v>
      </c>
      <c r="S566" s="91">
        <f t="shared" si="495"/>
        <v>14.583333333333334</v>
      </c>
      <c r="T566" s="91">
        <f t="shared" si="496"/>
        <v>3.125</v>
      </c>
      <c r="U566" s="27" t="s">
        <v>193</v>
      </c>
      <c r="V566" s="30" t="s">
        <v>59</v>
      </c>
      <c r="W566" s="31">
        <v>45833</v>
      </c>
      <c r="X566" s="22"/>
      <c r="Y566" s="19" t="s">
        <v>52</v>
      </c>
      <c r="Z566" s="19" t="s">
        <v>52</v>
      </c>
      <c r="AA566" s="19" t="s">
        <v>52</v>
      </c>
      <c r="AB566" s="28"/>
    </row>
    <row r="567" spans="1:33" s="29" customFormat="1" ht="15" customHeight="1" x14ac:dyDescent="0.25">
      <c r="A567" s="14">
        <v>10</v>
      </c>
      <c r="B567" s="15">
        <v>45838</v>
      </c>
      <c r="C567" s="15">
        <f t="shared" si="493"/>
        <v>45846</v>
      </c>
      <c r="D567" s="14">
        <v>13112</v>
      </c>
      <c r="E567" s="16" t="s">
        <v>284</v>
      </c>
      <c r="F567" s="17" t="s">
        <v>285</v>
      </c>
      <c r="G567" s="17" t="s">
        <v>102</v>
      </c>
      <c r="H567" s="18" t="s">
        <v>542</v>
      </c>
      <c r="I567" s="19" t="s">
        <v>384</v>
      </c>
      <c r="J567" s="20">
        <v>45819</v>
      </c>
      <c r="K567" s="20">
        <v>45860</v>
      </c>
      <c r="L567" s="21">
        <v>200000</v>
      </c>
      <c r="M567" s="22">
        <f t="shared" ref="M567" si="498">SUM(N567:O567)</f>
        <v>165000</v>
      </c>
      <c r="N567" s="23">
        <v>0</v>
      </c>
      <c r="O567" s="23">
        <v>165000</v>
      </c>
      <c r="P567" s="24">
        <f t="shared" si="494"/>
        <v>200000</v>
      </c>
      <c r="Q567" s="25">
        <v>165000</v>
      </c>
      <c r="R567" s="26">
        <v>50000</v>
      </c>
      <c r="S567" s="91">
        <f t="shared" si="495"/>
        <v>4</v>
      </c>
      <c r="T567" s="91">
        <f t="shared" si="496"/>
        <v>3.3</v>
      </c>
      <c r="U567" s="27" t="s">
        <v>193</v>
      </c>
      <c r="V567" s="30" t="s">
        <v>59</v>
      </c>
      <c r="W567" s="31">
        <v>45835</v>
      </c>
      <c r="X567" s="22"/>
      <c r="Y567" s="19" t="s">
        <v>52</v>
      </c>
      <c r="Z567" s="19" t="s">
        <v>52</v>
      </c>
      <c r="AA567" s="19" t="s">
        <v>52</v>
      </c>
      <c r="AB567" s="28"/>
    </row>
    <row r="568" spans="1:33" s="29" customFormat="1" ht="15" customHeight="1" x14ac:dyDescent="0.25">
      <c r="A568" s="14">
        <v>3</v>
      </c>
      <c r="B568" s="15">
        <v>45838</v>
      </c>
      <c r="C568" s="15">
        <f t="shared" ref="C568" si="499">B568+8</f>
        <v>45846</v>
      </c>
      <c r="D568" s="14">
        <v>13011</v>
      </c>
      <c r="E568" s="16" t="s">
        <v>482</v>
      </c>
      <c r="F568" s="17" t="s">
        <v>483</v>
      </c>
      <c r="G568" s="17" t="s">
        <v>47</v>
      </c>
      <c r="H568" s="18" t="s">
        <v>57</v>
      </c>
      <c r="I568" s="19" t="s">
        <v>58</v>
      </c>
      <c r="J568" s="20">
        <v>45797</v>
      </c>
      <c r="K568" s="20">
        <v>45825</v>
      </c>
      <c r="L568" s="21">
        <v>1200000</v>
      </c>
      <c r="M568" s="22">
        <f t="shared" ref="M568" si="500">SUM(N568:O568)</f>
        <v>1923000</v>
      </c>
      <c r="N568" s="23">
        <v>1250000</v>
      </c>
      <c r="O568" s="23">
        <v>673000</v>
      </c>
      <c r="P568" s="24">
        <f t="shared" ref="P568" si="501">L568-N568</f>
        <v>-50000</v>
      </c>
      <c r="Q568" s="25">
        <v>23000</v>
      </c>
      <c r="R568" s="26">
        <v>50000</v>
      </c>
      <c r="S568" s="91">
        <f t="shared" si="495"/>
        <v>0</v>
      </c>
      <c r="T568" s="91">
        <f t="shared" si="496"/>
        <v>0.46</v>
      </c>
      <c r="U568" s="27" t="s">
        <v>193</v>
      </c>
      <c r="V568" s="19" t="s">
        <v>51</v>
      </c>
      <c r="W568" s="20">
        <v>45826</v>
      </c>
      <c r="X568" s="22"/>
      <c r="Y568" s="19" t="s">
        <v>52</v>
      </c>
      <c r="Z568" s="19" t="s">
        <v>52</v>
      </c>
      <c r="AA568" s="19" t="s">
        <v>52</v>
      </c>
      <c r="AB568" s="42"/>
    </row>
    <row r="569" spans="1:33" ht="15" customHeight="1" x14ac:dyDescent="0.25">
      <c r="A569" s="33" t="s">
        <v>71</v>
      </c>
      <c r="B569" s="34"/>
      <c r="C569" s="34"/>
      <c r="D569" s="34"/>
      <c r="E569" s="34"/>
      <c r="F569" s="35"/>
      <c r="G569" s="35"/>
      <c r="H569" s="34"/>
      <c r="I569" s="34"/>
      <c r="J569" s="34"/>
      <c r="K569" s="34"/>
      <c r="L569" s="36"/>
      <c r="M569" s="36"/>
      <c r="N569" s="36"/>
      <c r="O569" s="36"/>
      <c r="P569" s="36"/>
      <c r="Q569" s="36">
        <f>SUM(Q559:Q568)</f>
        <v>2093000</v>
      </c>
      <c r="R569" s="36"/>
      <c r="S569" s="92"/>
      <c r="T569" s="93">
        <f>SUM(T559:T568)</f>
        <v>25.282142857142858</v>
      </c>
      <c r="U569" s="37"/>
      <c r="V569" s="38"/>
      <c r="W569" s="38"/>
      <c r="X569" s="38"/>
      <c r="Y569" s="34"/>
      <c r="Z569" s="34"/>
      <c r="AA569" s="39"/>
      <c r="AB569" s="29" t="s">
        <v>704</v>
      </c>
      <c r="AC569" s="81" t="s">
        <v>744</v>
      </c>
      <c r="AD569" s="83">
        <v>5000</v>
      </c>
      <c r="AF569" s="83">
        <v>0</v>
      </c>
      <c r="AG569" s="83">
        <f>SUM(AD569,AF569)</f>
        <v>5000</v>
      </c>
    </row>
    <row r="570" spans="1:33" s="29" customFormat="1" ht="15" customHeight="1" x14ac:dyDescent="0.25">
      <c r="A570" s="14">
        <v>28</v>
      </c>
      <c r="B570" s="15">
        <v>45838</v>
      </c>
      <c r="C570" s="15">
        <f>B570+8</f>
        <v>45846</v>
      </c>
      <c r="D570" s="14">
        <v>13067</v>
      </c>
      <c r="E570" s="16" t="s">
        <v>413</v>
      </c>
      <c r="F570" s="40" t="s">
        <v>414</v>
      </c>
      <c r="G570" s="17" t="s">
        <v>75</v>
      </c>
      <c r="H570" s="18" t="s">
        <v>542</v>
      </c>
      <c r="I570" s="19" t="s">
        <v>104</v>
      </c>
      <c r="J570" s="20">
        <v>45806</v>
      </c>
      <c r="K570" s="20">
        <v>45866</v>
      </c>
      <c r="L570" s="21">
        <v>2000000</v>
      </c>
      <c r="M570" s="22">
        <f t="shared" ref="M570" si="502">SUM(N570:O570)</f>
        <v>2100000</v>
      </c>
      <c r="N570" s="23">
        <v>600000</v>
      </c>
      <c r="O570" s="23">
        <v>1500000</v>
      </c>
      <c r="P570" s="24">
        <f>L570-N570</f>
        <v>1400000</v>
      </c>
      <c r="Q570" s="25">
        <v>1350000</v>
      </c>
      <c r="R570" s="26">
        <v>150000</v>
      </c>
      <c r="S570" s="91">
        <f t="shared" ref="S570:S571" si="503">IF(P570&gt;0,P570/$R570,0)</f>
        <v>9.3333333333333339</v>
      </c>
      <c r="T570" s="91">
        <f t="shared" ref="T570:T571" si="504">IF(Q570&gt;0,Q570/$R570,0)</f>
        <v>9</v>
      </c>
      <c r="U570" s="27" t="s">
        <v>193</v>
      </c>
      <c r="V570" s="19" t="s">
        <v>51</v>
      </c>
      <c r="W570" s="20">
        <v>45828</v>
      </c>
      <c r="X570" s="22"/>
      <c r="Y570" s="19" t="s">
        <v>52</v>
      </c>
      <c r="Z570" s="19" t="s">
        <v>52</v>
      </c>
      <c r="AA570" s="19" t="s">
        <v>52</v>
      </c>
      <c r="AB570" s="28"/>
    </row>
    <row r="571" spans="1:33" s="29" customFormat="1" ht="15" customHeight="1" x14ac:dyDescent="0.25">
      <c r="A571" s="14">
        <v>9</v>
      </c>
      <c r="B571" s="15">
        <v>45838</v>
      </c>
      <c r="C571" s="15">
        <f t="shared" ref="C571" si="505">B571+8</f>
        <v>45846</v>
      </c>
      <c r="D571" s="14">
        <v>13099</v>
      </c>
      <c r="E571" s="16" t="s">
        <v>403</v>
      </c>
      <c r="F571" s="17" t="s">
        <v>69</v>
      </c>
      <c r="G571" s="17" t="s">
        <v>47</v>
      </c>
      <c r="H571" s="18" t="s">
        <v>542</v>
      </c>
      <c r="I571" s="19" t="s">
        <v>70</v>
      </c>
      <c r="J571" s="20">
        <v>45813</v>
      </c>
      <c r="K571" s="20">
        <v>45855</v>
      </c>
      <c r="L571" s="21">
        <v>1000000</v>
      </c>
      <c r="M571" s="22">
        <f t="shared" ref="M571" si="506">SUM(N571:O571)</f>
        <v>1033000</v>
      </c>
      <c r="N571" s="23">
        <v>0</v>
      </c>
      <c r="O571" s="23">
        <v>1033000</v>
      </c>
      <c r="P571" s="24">
        <f t="shared" ref="P571" si="507">L571-N571</f>
        <v>1000000</v>
      </c>
      <c r="Q571" s="25">
        <v>1033000</v>
      </c>
      <c r="R571" s="26">
        <v>50000</v>
      </c>
      <c r="S571" s="91">
        <f t="shared" si="503"/>
        <v>20</v>
      </c>
      <c r="T571" s="91">
        <f t="shared" si="504"/>
        <v>20.66</v>
      </c>
      <c r="U571" s="27" t="s">
        <v>193</v>
      </c>
      <c r="V571" s="30" t="s">
        <v>59</v>
      </c>
      <c r="W571" s="31">
        <v>45833</v>
      </c>
      <c r="X571" s="22"/>
      <c r="Y571" s="19" t="s">
        <v>52</v>
      </c>
      <c r="Z571" s="19" t="s">
        <v>52</v>
      </c>
      <c r="AA571" s="19" t="s">
        <v>52</v>
      </c>
      <c r="AB571" s="42"/>
    </row>
    <row r="572" spans="1:33" ht="15" customHeight="1" x14ac:dyDescent="0.25">
      <c r="A572" s="33" t="s">
        <v>71</v>
      </c>
      <c r="B572" s="34"/>
      <c r="C572" s="34"/>
      <c r="D572" s="34"/>
      <c r="E572" s="34"/>
      <c r="F572" s="35"/>
      <c r="G572" s="35"/>
      <c r="H572" s="34"/>
      <c r="I572" s="34"/>
      <c r="J572" s="34"/>
      <c r="K572" s="34"/>
      <c r="L572" s="36"/>
      <c r="M572" s="36"/>
      <c r="N572" s="36"/>
      <c r="O572" s="36"/>
      <c r="P572" s="36"/>
      <c r="Q572" s="36">
        <f>SUM(Q570:Q571)</f>
        <v>2383000</v>
      </c>
      <c r="R572" s="36"/>
      <c r="S572" s="92"/>
      <c r="T572" s="93">
        <f>SUM(T570:T571)</f>
        <v>29.66</v>
      </c>
      <c r="U572" s="37"/>
      <c r="V572" s="38"/>
      <c r="W572" s="38"/>
      <c r="X572" s="38"/>
      <c r="Y572" s="34"/>
      <c r="Z572" s="34"/>
      <c r="AA572" s="39"/>
      <c r="AB572" s="29" t="s">
        <v>705</v>
      </c>
      <c r="AC572" s="81" t="s">
        <v>745</v>
      </c>
      <c r="AD572" s="83">
        <v>5000</v>
      </c>
      <c r="AF572" s="83">
        <v>0</v>
      </c>
      <c r="AG572" s="83">
        <f>SUM(AD572,AF572)</f>
        <v>5000</v>
      </c>
    </row>
    <row r="573" spans="1:33" s="29" customFormat="1" ht="15" customHeight="1" x14ac:dyDescent="0.25">
      <c r="A573" s="14">
        <v>3</v>
      </c>
      <c r="B573" s="15">
        <v>45839</v>
      </c>
      <c r="C573" s="15">
        <f>B573+8</f>
        <v>45847</v>
      </c>
      <c r="D573" s="14">
        <v>12857</v>
      </c>
      <c r="E573" s="16" t="s">
        <v>335</v>
      </c>
      <c r="F573" s="17" t="s">
        <v>336</v>
      </c>
      <c r="G573" s="17" t="s">
        <v>132</v>
      </c>
      <c r="H573" s="18" t="s">
        <v>162</v>
      </c>
      <c r="I573" s="19" t="s">
        <v>198</v>
      </c>
      <c r="J573" s="20">
        <v>45772</v>
      </c>
      <c r="K573" s="20">
        <v>45820</v>
      </c>
      <c r="L573" s="21">
        <v>300000</v>
      </c>
      <c r="M573" s="22">
        <f>SUM(N573:O573)</f>
        <v>331810</v>
      </c>
      <c r="N573" s="23">
        <v>216000</v>
      </c>
      <c r="O573" s="23">
        <v>115810</v>
      </c>
      <c r="P573" s="24">
        <f>L573-N573</f>
        <v>84000</v>
      </c>
      <c r="Q573" s="25">
        <v>115810</v>
      </c>
      <c r="R573" s="26">
        <v>270000</v>
      </c>
      <c r="S573" s="91">
        <f t="shared" ref="S573:S577" si="508">IF(P573&gt;0,P573/$R573,0)</f>
        <v>0.31111111111111112</v>
      </c>
      <c r="T573" s="91">
        <f t="shared" ref="T573:T577" si="509">IF(Q573&gt;0,Q573/$R573,0)</f>
        <v>0.42892592592592593</v>
      </c>
      <c r="U573" s="27" t="s">
        <v>56</v>
      </c>
      <c r="V573" s="30" t="s">
        <v>59</v>
      </c>
      <c r="W573" s="31">
        <v>45833</v>
      </c>
      <c r="X573" s="22"/>
      <c r="Y573" s="19" t="s">
        <v>52</v>
      </c>
      <c r="Z573" s="19" t="s">
        <v>52</v>
      </c>
      <c r="AA573" s="19" t="s">
        <v>52</v>
      </c>
      <c r="AB573" s="28"/>
    </row>
    <row r="574" spans="1:33" s="29" customFormat="1" ht="15" customHeight="1" x14ac:dyDescent="0.25">
      <c r="A574" s="14">
        <v>2</v>
      </c>
      <c r="B574" s="15">
        <v>45839</v>
      </c>
      <c r="C574" s="15">
        <f>B574+8</f>
        <v>45847</v>
      </c>
      <c r="D574" s="14">
        <v>12907</v>
      </c>
      <c r="E574" s="16" t="s">
        <v>333</v>
      </c>
      <c r="F574" s="17" t="s">
        <v>334</v>
      </c>
      <c r="G574" s="17" t="s">
        <v>132</v>
      </c>
      <c r="H574" s="18" t="s">
        <v>162</v>
      </c>
      <c r="I574" s="19" t="s">
        <v>198</v>
      </c>
      <c r="J574" s="20">
        <v>45776</v>
      </c>
      <c r="K574" s="20">
        <v>45817</v>
      </c>
      <c r="L574" s="21">
        <v>350000</v>
      </c>
      <c r="M574" s="22">
        <f>SUM(N574:O574)</f>
        <v>392780</v>
      </c>
      <c r="N574" s="23">
        <v>260410</v>
      </c>
      <c r="O574" s="23">
        <v>132370</v>
      </c>
      <c r="P574" s="24">
        <f>L574-N574</f>
        <v>89590</v>
      </c>
      <c r="Q574" s="25">
        <v>132360</v>
      </c>
      <c r="R574" s="26">
        <v>324000</v>
      </c>
      <c r="S574" s="91">
        <f t="shared" si="508"/>
        <v>0.27651234567901234</v>
      </c>
      <c r="T574" s="91">
        <f t="shared" si="509"/>
        <v>0.4085185185185185</v>
      </c>
      <c r="U574" s="27" t="s">
        <v>56</v>
      </c>
      <c r="V574" s="19" t="s">
        <v>51</v>
      </c>
      <c r="W574" s="20">
        <v>45812</v>
      </c>
      <c r="X574" s="22"/>
      <c r="Y574" s="19" t="s">
        <v>52</v>
      </c>
      <c r="Z574" s="19" t="s">
        <v>52</v>
      </c>
      <c r="AA574" s="19" t="s">
        <v>52</v>
      </c>
      <c r="AB574" s="28"/>
    </row>
    <row r="575" spans="1:33" s="29" customFormat="1" ht="15" customHeight="1" x14ac:dyDescent="0.25">
      <c r="A575" s="14">
        <v>4</v>
      </c>
      <c r="B575" s="15">
        <v>45839</v>
      </c>
      <c r="C575" s="15">
        <f>B575+8</f>
        <v>45847</v>
      </c>
      <c r="D575" s="14">
        <v>13000</v>
      </c>
      <c r="E575" s="16" t="s">
        <v>358</v>
      </c>
      <c r="F575" s="17" t="s">
        <v>359</v>
      </c>
      <c r="G575" s="17" t="s">
        <v>132</v>
      </c>
      <c r="H575" s="18" t="s">
        <v>162</v>
      </c>
      <c r="I575" s="19" t="s">
        <v>198</v>
      </c>
      <c r="J575" s="20">
        <v>45793</v>
      </c>
      <c r="K575" s="20">
        <v>45824</v>
      </c>
      <c r="L575" s="21">
        <v>350000</v>
      </c>
      <c r="M575" s="22">
        <f>SUM(N575:O575)</f>
        <v>412570</v>
      </c>
      <c r="N575" s="23">
        <v>196570</v>
      </c>
      <c r="O575" s="23">
        <v>216000</v>
      </c>
      <c r="P575" s="24">
        <f>L575-N575</f>
        <v>153430</v>
      </c>
      <c r="Q575" s="25">
        <v>216000</v>
      </c>
      <c r="R575" s="26">
        <v>324000</v>
      </c>
      <c r="S575" s="91">
        <f t="shared" si="508"/>
        <v>0.47354938271604941</v>
      </c>
      <c r="T575" s="91">
        <f t="shared" si="509"/>
        <v>0.66666666666666663</v>
      </c>
      <c r="U575" s="27" t="s">
        <v>56</v>
      </c>
      <c r="V575" s="19" t="s">
        <v>51</v>
      </c>
      <c r="W575" s="20">
        <v>45830</v>
      </c>
      <c r="X575" s="22"/>
      <c r="Y575" s="19" t="s">
        <v>52</v>
      </c>
      <c r="Z575" s="19" t="s">
        <v>52</v>
      </c>
      <c r="AA575" s="19" t="s">
        <v>52</v>
      </c>
      <c r="AB575" s="28"/>
    </row>
    <row r="576" spans="1:33" s="29" customFormat="1" ht="15" customHeight="1" x14ac:dyDescent="0.25">
      <c r="A576" s="14">
        <v>7</v>
      </c>
      <c r="B576" s="15">
        <v>45839</v>
      </c>
      <c r="C576" s="15">
        <f>B576+8</f>
        <v>45847</v>
      </c>
      <c r="D576" s="14">
        <v>12944</v>
      </c>
      <c r="E576" s="16" t="s">
        <v>632</v>
      </c>
      <c r="F576" s="40" t="s">
        <v>633</v>
      </c>
      <c r="G576" s="17" t="s">
        <v>75</v>
      </c>
      <c r="H576" s="18" t="s">
        <v>78</v>
      </c>
      <c r="I576" s="19" t="s">
        <v>79</v>
      </c>
      <c r="J576" s="20">
        <v>45785</v>
      </c>
      <c r="K576" s="20">
        <v>45826</v>
      </c>
      <c r="L576" s="21">
        <v>840000</v>
      </c>
      <c r="M576" s="22">
        <f>SUM(N576:O576)</f>
        <v>817500</v>
      </c>
      <c r="N576" s="23">
        <v>630000</v>
      </c>
      <c r="O576" s="23">
        <v>187500</v>
      </c>
      <c r="P576" s="24">
        <f>L576-N576</f>
        <v>210000</v>
      </c>
      <c r="Q576" s="25">
        <v>187500</v>
      </c>
      <c r="R576" s="26">
        <v>105000</v>
      </c>
      <c r="S576" s="91">
        <f t="shared" si="508"/>
        <v>2</v>
      </c>
      <c r="T576" s="91">
        <f t="shared" si="509"/>
        <v>1.7857142857142858</v>
      </c>
      <c r="U576" s="27" t="s">
        <v>56</v>
      </c>
      <c r="V576" s="19" t="s">
        <v>51</v>
      </c>
      <c r="W576" s="20">
        <v>45826</v>
      </c>
      <c r="X576" s="22"/>
      <c r="Y576" s="19" t="s">
        <v>52</v>
      </c>
      <c r="Z576" s="19" t="s">
        <v>52</v>
      </c>
      <c r="AA576" s="19" t="s">
        <v>52</v>
      </c>
      <c r="AB576" s="28"/>
    </row>
    <row r="577" spans="1:33" s="29" customFormat="1" ht="15" customHeight="1" x14ac:dyDescent="0.25">
      <c r="A577" s="14">
        <v>25</v>
      </c>
      <c r="B577" s="15">
        <v>45839</v>
      </c>
      <c r="C577" s="15">
        <f t="shared" ref="C577" si="510">B577+8</f>
        <v>45847</v>
      </c>
      <c r="D577" s="14">
        <v>13009</v>
      </c>
      <c r="E577" s="16" t="s">
        <v>363</v>
      </c>
      <c r="F577" s="40" t="s">
        <v>364</v>
      </c>
      <c r="G577" s="17" t="s">
        <v>75</v>
      </c>
      <c r="H577" s="18" t="s">
        <v>133</v>
      </c>
      <c r="I577" s="19" t="s">
        <v>198</v>
      </c>
      <c r="J577" s="20">
        <v>45798</v>
      </c>
      <c r="K577" s="20">
        <v>45854</v>
      </c>
      <c r="L577" s="21">
        <v>100000</v>
      </c>
      <c r="M577" s="22">
        <f t="shared" ref="M577" si="511">SUM(N577:O577)</f>
        <v>112000</v>
      </c>
      <c r="N577" s="23">
        <v>0</v>
      </c>
      <c r="O577" s="23">
        <v>112000</v>
      </c>
      <c r="P577" s="24">
        <f t="shared" ref="P577" si="512">L577-N577</f>
        <v>100000</v>
      </c>
      <c r="Q577" s="25">
        <v>106000</v>
      </c>
      <c r="R577" s="26">
        <v>60000</v>
      </c>
      <c r="S577" s="91">
        <f t="shared" si="508"/>
        <v>1.6666666666666667</v>
      </c>
      <c r="T577" s="91">
        <f t="shared" si="509"/>
        <v>1.7666666666666666</v>
      </c>
      <c r="U577" s="27" t="s">
        <v>56</v>
      </c>
      <c r="V577" s="19" t="s">
        <v>51</v>
      </c>
      <c r="W577" s="20">
        <v>45821</v>
      </c>
      <c r="X577" s="22"/>
      <c r="Y577" s="19" t="s">
        <v>52</v>
      </c>
      <c r="Z577" s="19" t="s">
        <v>52</v>
      </c>
      <c r="AA577" s="19" t="s">
        <v>52</v>
      </c>
      <c r="AB577" s="28"/>
    </row>
    <row r="578" spans="1:33" ht="15" customHeight="1" x14ac:dyDescent="0.25">
      <c r="A578" s="33" t="s">
        <v>71</v>
      </c>
      <c r="B578" s="34"/>
      <c r="C578" s="34"/>
      <c r="D578" s="34"/>
      <c r="E578" s="34"/>
      <c r="F578" s="35"/>
      <c r="G578" s="35"/>
      <c r="H578" s="34"/>
      <c r="I578" s="34"/>
      <c r="J578" s="34"/>
      <c r="K578" s="34"/>
      <c r="L578" s="36"/>
      <c r="M578" s="36"/>
      <c r="N578" s="36"/>
      <c r="O578" s="36"/>
      <c r="P578" s="36"/>
      <c r="Q578" s="36">
        <f>SUM(Q573:Q577)</f>
        <v>757670</v>
      </c>
      <c r="R578" s="36"/>
      <c r="S578" s="92"/>
      <c r="T578" s="93">
        <f>SUM(T573:T577)</f>
        <v>5.0564920634920636</v>
      </c>
      <c r="U578" s="37"/>
      <c r="V578" s="38"/>
      <c r="W578" s="38"/>
      <c r="X578" s="38"/>
      <c r="Y578" s="34"/>
      <c r="Z578" s="34"/>
      <c r="AA578" s="39"/>
      <c r="AB578" s="29" t="s">
        <v>706</v>
      </c>
      <c r="AC578" s="81" t="s">
        <v>716</v>
      </c>
      <c r="AD578" s="83">
        <v>1458.33</v>
      </c>
      <c r="AF578" s="83">
        <v>0</v>
      </c>
      <c r="AG578" s="83">
        <f>SUM(AD578,AF578)</f>
        <v>1458.33</v>
      </c>
    </row>
    <row r="579" spans="1:33" s="29" customFormat="1" ht="15" customHeight="1" x14ac:dyDescent="0.25">
      <c r="A579" s="14">
        <v>4</v>
      </c>
      <c r="B579" s="15">
        <v>45841</v>
      </c>
      <c r="C579" s="15">
        <f t="shared" ref="C579:C590" si="513">B579+8</f>
        <v>45849</v>
      </c>
      <c r="D579" s="14">
        <v>13024</v>
      </c>
      <c r="E579" s="16" t="s">
        <v>45</v>
      </c>
      <c r="F579" s="17" t="s">
        <v>46</v>
      </c>
      <c r="G579" s="17" t="s">
        <v>47</v>
      </c>
      <c r="H579" s="18" t="s">
        <v>542</v>
      </c>
      <c r="I579" s="19" t="s">
        <v>49</v>
      </c>
      <c r="J579" s="20">
        <v>45799</v>
      </c>
      <c r="K579" s="20">
        <v>45838</v>
      </c>
      <c r="L579" s="21">
        <v>240000</v>
      </c>
      <c r="M579" s="22">
        <f t="shared" ref="M579:M585" si="514">SUM(N579:O579)</f>
        <v>216000</v>
      </c>
      <c r="N579" s="23">
        <v>180000</v>
      </c>
      <c r="O579" s="23">
        <v>36000</v>
      </c>
      <c r="P579" s="24">
        <f t="shared" ref="P579:P590" si="515">L579-N579</f>
        <v>60000</v>
      </c>
      <c r="Q579" s="25">
        <v>36000</v>
      </c>
      <c r="R579" s="26">
        <v>60000</v>
      </c>
      <c r="S579" s="91">
        <f t="shared" ref="S579:S590" si="516">IF(P579&gt;0,P579/$R579,0)</f>
        <v>1</v>
      </c>
      <c r="T579" s="91">
        <f t="shared" ref="T579:T590" si="517">IF(Q579&gt;0,Q579/$R579,0)</f>
        <v>0.6</v>
      </c>
      <c r="U579" s="27" t="s">
        <v>56</v>
      </c>
      <c r="V579" s="19" t="s">
        <v>51</v>
      </c>
      <c r="W579" s="20">
        <v>45817</v>
      </c>
      <c r="X579" s="22"/>
      <c r="Y579" s="19" t="s">
        <v>52</v>
      </c>
      <c r="Z579" s="19" t="s">
        <v>52</v>
      </c>
      <c r="AA579" s="19" t="s">
        <v>52</v>
      </c>
      <c r="AB579" s="42"/>
    </row>
    <row r="580" spans="1:33" s="29" customFormat="1" ht="15" customHeight="1" x14ac:dyDescent="0.25">
      <c r="A580" s="14">
        <v>17</v>
      </c>
      <c r="B580" s="15">
        <v>45841</v>
      </c>
      <c r="C580" s="15">
        <f t="shared" si="513"/>
        <v>45849</v>
      </c>
      <c r="D580" s="14">
        <v>13049</v>
      </c>
      <c r="E580" s="16" t="s">
        <v>376</v>
      </c>
      <c r="F580" s="40" t="s">
        <v>371</v>
      </c>
      <c r="G580" s="17" t="s">
        <v>75</v>
      </c>
      <c r="H580" s="18" t="s">
        <v>78</v>
      </c>
      <c r="I580" s="19" t="s">
        <v>79</v>
      </c>
      <c r="J580" s="20">
        <v>45804</v>
      </c>
      <c r="K580" s="20">
        <v>45842</v>
      </c>
      <c r="L580" s="21">
        <v>700000</v>
      </c>
      <c r="M580" s="22">
        <f t="shared" si="514"/>
        <v>696000</v>
      </c>
      <c r="N580" s="23">
        <v>480000</v>
      </c>
      <c r="O580" s="23">
        <v>216000</v>
      </c>
      <c r="P580" s="24">
        <f t="shared" si="515"/>
        <v>220000</v>
      </c>
      <c r="Q580" s="25">
        <v>216000</v>
      </c>
      <c r="R580" s="26">
        <v>96000</v>
      </c>
      <c r="S580" s="91">
        <f t="shared" si="516"/>
        <v>2.2916666666666665</v>
      </c>
      <c r="T580" s="91">
        <f t="shared" si="517"/>
        <v>2.25</v>
      </c>
      <c r="U580" s="27" t="s">
        <v>56</v>
      </c>
      <c r="V580" s="19" t="s">
        <v>51</v>
      </c>
      <c r="W580" s="20">
        <v>45821</v>
      </c>
      <c r="X580" s="22"/>
      <c r="Y580" s="19" t="s">
        <v>52</v>
      </c>
      <c r="Z580" s="19" t="s">
        <v>52</v>
      </c>
      <c r="AA580" s="19" t="s">
        <v>52</v>
      </c>
      <c r="AB580" s="28"/>
    </row>
    <row r="581" spans="1:33" s="29" customFormat="1" ht="15" customHeight="1" x14ac:dyDescent="0.25">
      <c r="A581" s="14">
        <v>8</v>
      </c>
      <c r="B581" s="15">
        <v>45841</v>
      </c>
      <c r="C581" s="15">
        <f t="shared" si="513"/>
        <v>45849</v>
      </c>
      <c r="D581" s="14">
        <v>13014</v>
      </c>
      <c r="E581" s="16" t="s">
        <v>663</v>
      </c>
      <c r="F581" s="40" t="s">
        <v>664</v>
      </c>
      <c r="G581" s="17" t="s">
        <v>75</v>
      </c>
      <c r="H581" s="18" t="s">
        <v>133</v>
      </c>
      <c r="I581" s="19" t="s">
        <v>198</v>
      </c>
      <c r="J581" s="20">
        <v>45800</v>
      </c>
      <c r="K581" s="20">
        <v>45826</v>
      </c>
      <c r="L581" s="21">
        <v>200000</v>
      </c>
      <c r="M581" s="22">
        <f t="shared" si="514"/>
        <v>207000</v>
      </c>
      <c r="N581" s="23">
        <v>150000</v>
      </c>
      <c r="O581" s="23">
        <v>57000</v>
      </c>
      <c r="P581" s="24">
        <f t="shared" si="515"/>
        <v>50000</v>
      </c>
      <c r="Q581" s="25">
        <v>57000</v>
      </c>
      <c r="R581" s="26">
        <v>150000</v>
      </c>
      <c r="S581" s="91">
        <f t="shared" si="516"/>
        <v>0.33333333333333331</v>
      </c>
      <c r="T581" s="91">
        <f t="shared" si="517"/>
        <v>0.38</v>
      </c>
      <c r="U581" s="27" t="s">
        <v>56</v>
      </c>
      <c r="V581" s="19" t="s">
        <v>51</v>
      </c>
      <c r="W581" s="20">
        <v>45834</v>
      </c>
      <c r="X581" s="22"/>
      <c r="Y581" s="19" t="s">
        <v>52</v>
      </c>
      <c r="Z581" s="19" t="s">
        <v>52</v>
      </c>
      <c r="AA581" s="19" t="s">
        <v>52</v>
      </c>
      <c r="AB581" s="28"/>
    </row>
    <row r="582" spans="1:33" s="29" customFormat="1" ht="15" customHeight="1" x14ac:dyDescent="0.25">
      <c r="A582" s="14">
        <v>19</v>
      </c>
      <c r="B582" s="15">
        <v>45841</v>
      </c>
      <c r="C582" s="15">
        <f t="shared" si="513"/>
        <v>45849</v>
      </c>
      <c r="D582" s="14">
        <v>13097</v>
      </c>
      <c r="E582" s="16" t="s">
        <v>430</v>
      </c>
      <c r="F582" s="40" t="s">
        <v>431</v>
      </c>
      <c r="G582" s="17" t="s">
        <v>75</v>
      </c>
      <c r="H582" s="18" t="s">
        <v>542</v>
      </c>
      <c r="I582" s="19" t="s">
        <v>70</v>
      </c>
      <c r="J582" s="20">
        <v>45814</v>
      </c>
      <c r="K582" s="20">
        <v>45848</v>
      </c>
      <c r="L582" s="21">
        <v>2000000</v>
      </c>
      <c r="M582" s="22">
        <f t="shared" si="514"/>
        <v>750000</v>
      </c>
      <c r="N582" s="23">
        <v>0</v>
      </c>
      <c r="O582" s="23">
        <v>750000</v>
      </c>
      <c r="P582" s="24">
        <f t="shared" si="515"/>
        <v>2000000</v>
      </c>
      <c r="Q582" s="25">
        <v>750000</v>
      </c>
      <c r="R582" s="26">
        <v>150000</v>
      </c>
      <c r="S582" s="91">
        <f t="shared" si="516"/>
        <v>13.333333333333334</v>
      </c>
      <c r="T582" s="91">
        <f t="shared" si="517"/>
        <v>5</v>
      </c>
      <c r="U582" s="27" t="s">
        <v>56</v>
      </c>
      <c r="V582" s="30" t="s">
        <v>59</v>
      </c>
      <c r="W582" s="31">
        <v>45842</v>
      </c>
      <c r="X582" s="22"/>
      <c r="Y582" s="19" t="s">
        <v>52</v>
      </c>
      <c r="Z582" s="19" t="s">
        <v>52</v>
      </c>
      <c r="AA582" s="19" t="s">
        <v>52</v>
      </c>
      <c r="AB582" s="28"/>
    </row>
    <row r="583" spans="1:33" s="29" customFormat="1" ht="15" customHeight="1" x14ac:dyDescent="0.25">
      <c r="A583" s="14">
        <v>5</v>
      </c>
      <c r="B583" s="15">
        <v>45841</v>
      </c>
      <c r="C583" s="15">
        <f t="shared" si="513"/>
        <v>45849</v>
      </c>
      <c r="D583" s="14">
        <v>12961</v>
      </c>
      <c r="E583" s="16" t="s">
        <v>407</v>
      </c>
      <c r="F583" s="17" t="s">
        <v>408</v>
      </c>
      <c r="G583" s="17" t="s">
        <v>47</v>
      </c>
      <c r="H583" s="18" t="s">
        <v>57</v>
      </c>
      <c r="I583" s="19" t="s">
        <v>58</v>
      </c>
      <c r="J583" s="20">
        <v>45785</v>
      </c>
      <c r="K583" s="20">
        <v>45839</v>
      </c>
      <c r="L583" s="21">
        <v>1000000</v>
      </c>
      <c r="M583" s="22">
        <f t="shared" si="514"/>
        <v>818000</v>
      </c>
      <c r="N583" s="23">
        <v>672000</v>
      </c>
      <c r="O583" s="23">
        <v>146000</v>
      </c>
      <c r="P583" s="24">
        <f t="shared" si="515"/>
        <v>328000</v>
      </c>
      <c r="Q583" s="25">
        <v>146000</v>
      </c>
      <c r="R583" s="26">
        <v>48000</v>
      </c>
      <c r="S583" s="91">
        <f t="shared" si="516"/>
        <v>6.833333333333333</v>
      </c>
      <c r="T583" s="91">
        <f t="shared" si="517"/>
        <v>3.0416666666666665</v>
      </c>
      <c r="U583" s="27" t="s">
        <v>193</v>
      </c>
      <c r="V583" s="19" t="s">
        <v>51</v>
      </c>
      <c r="W583" s="20">
        <v>45817</v>
      </c>
      <c r="X583" s="22"/>
      <c r="Y583" s="19" t="s">
        <v>52</v>
      </c>
      <c r="Z583" s="19" t="s">
        <v>52</v>
      </c>
      <c r="AA583" s="19" t="s">
        <v>52</v>
      </c>
      <c r="AB583" s="42"/>
    </row>
    <row r="584" spans="1:33" s="29" customFormat="1" ht="15" customHeight="1" x14ac:dyDescent="0.25">
      <c r="A584" s="14">
        <v>7</v>
      </c>
      <c r="B584" s="15">
        <v>45841</v>
      </c>
      <c r="C584" s="15">
        <f t="shared" si="513"/>
        <v>45849</v>
      </c>
      <c r="D584" s="14">
        <v>12956</v>
      </c>
      <c r="E584" s="16" t="s">
        <v>341</v>
      </c>
      <c r="F584" s="40" t="s">
        <v>348</v>
      </c>
      <c r="G584" s="17" t="s">
        <v>75</v>
      </c>
      <c r="H584" s="18" t="s">
        <v>542</v>
      </c>
      <c r="I584" s="19" t="s">
        <v>70</v>
      </c>
      <c r="J584" s="20">
        <v>45790</v>
      </c>
      <c r="K584" s="20">
        <v>45826</v>
      </c>
      <c r="L584" s="21">
        <v>3000000</v>
      </c>
      <c r="M584" s="22">
        <f t="shared" si="514"/>
        <v>2835000</v>
      </c>
      <c r="N584" s="23">
        <v>2535000</v>
      </c>
      <c r="O584" s="23">
        <v>300000</v>
      </c>
      <c r="P584" s="24">
        <f t="shared" si="515"/>
        <v>465000</v>
      </c>
      <c r="Q584" s="25">
        <v>300000</v>
      </c>
      <c r="R584" s="26">
        <v>150000</v>
      </c>
      <c r="S584" s="91">
        <f t="shared" si="516"/>
        <v>3.1</v>
      </c>
      <c r="T584" s="91">
        <f t="shared" si="517"/>
        <v>2</v>
      </c>
      <c r="U584" s="27" t="s">
        <v>193</v>
      </c>
      <c r="V584" s="19" t="s">
        <v>51</v>
      </c>
      <c r="W584" s="20">
        <v>45800</v>
      </c>
      <c r="X584" s="22"/>
      <c r="Y584" s="19" t="s">
        <v>52</v>
      </c>
      <c r="Z584" s="19" t="s">
        <v>52</v>
      </c>
      <c r="AA584" s="19" t="s">
        <v>52</v>
      </c>
      <c r="AB584" s="28"/>
    </row>
    <row r="585" spans="1:33" s="29" customFormat="1" ht="15" customHeight="1" x14ac:dyDescent="0.25">
      <c r="A585" s="14">
        <v>15</v>
      </c>
      <c r="B585" s="15">
        <v>45841</v>
      </c>
      <c r="C585" s="15">
        <f t="shared" si="513"/>
        <v>45849</v>
      </c>
      <c r="D585" s="14">
        <v>13081</v>
      </c>
      <c r="E585" s="16" t="s">
        <v>390</v>
      </c>
      <c r="F585" s="40" t="s">
        <v>391</v>
      </c>
      <c r="G585" s="17" t="s">
        <v>75</v>
      </c>
      <c r="H585" s="18" t="s">
        <v>257</v>
      </c>
      <c r="I585" s="19" t="s">
        <v>70</v>
      </c>
      <c r="J585" s="20">
        <v>45810</v>
      </c>
      <c r="K585" s="20">
        <v>45840</v>
      </c>
      <c r="L585" s="21">
        <v>1000000</v>
      </c>
      <c r="M585" s="22">
        <f t="shared" si="514"/>
        <v>450000</v>
      </c>
      <c r="N585" s="23">
        <v>0</v>
      </c>
      <c r="O585" s="23">
        <v>450000</v>
      </c>
      <c r="P585" s="24">
        <f t="shared" si="515"/>
        <v>1000000</v>
      </c>
      <c r="Q585" s="25">
        <v>450000</v>
      </c>
      <c r="R585" s="26">
        <v>150000</v>
      </c>
      <c r="S585" s="91">
        <f t="shared" si="516"/>
        <v>6.666666666666667</v>
      </c>
      <c r="T585" s="91">
        <f t="shared" si="517"/>
        <v>3</v>
      </c>
      <c r="U585" s="27" t="s">
        <v>193</v>
      </c>
      <c r="V585" s="19" t="s">
        <v>51</v>
      </c>
      <c r="W585" s="20">
        <v>45833</v>
      </c>
      <c r="X585" s="22"/>
      <c r="Y585" s="19" t="s">
        <v>52</v>
      </c>
      <c r="Z585" s="19" t="s">
        <v>52</v>
      </c>
      <c r="AA585" s="19" t="s">
        <v>52</v>
      </c>
      <c r="AB585" s="28"/>
    </row>
    <row r="586" spans="1:33" s="29" customFormat="1" ht="15" customHeight="1" x14ac:dyDescent="0.25">
      <c r="A586" s="14">
        <v>3</v>
      </c>
      <c r="B586" s="15">
        <v>45841</v>
      </c>
      <c r="C586" s="15">
        <f t="shared" si="513"/>
        <v>45849</v>
      </c>
      <c r="D586" s="14">
        <v>13064</v>
      </c>
      <c r="E586" s="16" t="s">
        <v>66</v>
      </c>
      <c r="F586" s="17" t="s">
        <v>67</v>
      </c>
      <c r="G586" s="17" t="s">
        <v>47</v>
      </c>
      <c r="H586" s="18" t="s">
        <v>62</v>
      </c>
      <c r="I586" s="19" t="s">
        <v>63</v>
      </c>
      <c r="J586" s="20">
        <v>45810</v>
      </c>
      <c r="K586" s="20">
        <v>45828</v>
      </c>
      <c r="L586" s="21">
        <v>10000</v>
      </c>
      <c r="M586" s="22">
        <f t="shared" ref="M586:M590" si="518">SUM(N586:O586)</f>
        <v>14000</v>
      </c>
      <c r="N586" s="23">
        <v>2800</v>
      </c>
      <c r="O586" s="23">
        <v>11200</v>
      </c>
      <c r="P586" s="24">
        <f t="shared" si="515"/>
        <v>7200</v>
      </c>
      <c r="Q586" s="25">
        <v>11200</v>
      </c>
      <c r="R586" s="26">
        <v>12000</v>
      </c>
      <c r="S586" s="91">
        <f t="shared" si="516"/>
        <v>0.6</v>
      </c>
      <c r="T586" s="91">
        <f t="shared" si="517"/>
        <v>0.93333333333333335</v>
      </c>
      <c r="U586" s="27" t="s">
        <v>193</v>
      </c>
      <c r="V586" s="19" t="s">
        <v>51</v>
      </c>
      <c r="W586" s="20">
        <v>45826</v>
      </c>
      <c r="X586" s="22"/>
      <c r="Y586" s="19" t="s">
        <v>52</v>
      </c>
      <c r="Z586" s="19" t="s">
        <v>52</v>
      </c>
      <c r="AA586" s="19" t="s">
        <v>52</v>
      </c>
      <c r="AB586" s="42"/>
    </row>
    <row r="587" spans="1:33" s="29" customFormat="1" ht="15" customHeight="1" x14ac:dyDescent="0.25">
      <c r="A587" s="14">
        <v>5</v>
      </c>
      <c r="B587" s="15">
        <v>45841</v>
      </c>
      <c r="C587" s="15">
        <f t="shared" si="513"/>
        <v>45849</v>
      </c>
      <c r="D587" s="14">
        <v>13090</v>
      </c>
      <c r="E587" s="16" t="s">
        <v>123</v>
      </c>
      <c r="F587" s="17" t="s">
        <v>124</v>
      </c>
      <c r="G587" s="17" t="s">
        <v>102</v>
      </c>
      <c r="H587" s="18" t="s">
        <v>57</v>
      </c>
      <c r="I587" s="19" t="s">
        <v>58</v>
      </c>
      <c r="J587" s="20">
        <v>45811</v>
      </c>
      <c r="K587" s="20">
        <v>45839</v>
      </c>
      <c r="L587" s="21">
        <v>400000</v>
      </c>
      <c r="M587" s="22">
        <f t="shared" si="518"/>
        <v>42000</v>
      </c>
      <c r="N587" s="23">
        <v>0</v>
      </c>
      <c r="O587" s="23">
        <v>42000</v>
      </c>
      <c r="P587" s="24">
        <f t="shared" si="515"/>
        <v>400000</v>
      </c>
      <c r="Q587" s="25">
        <v>42000</v>
      </c>
      <c r="R587" s="26">
        <v>36000</v>
      </c>
      <c r="S587" s="91">
        <f t="shared" si="516"/>
        <v>11.111111111111111</v>
      </c>
      <c r="T587" s="91">
        <f t="shared" si="517"/>
        <v>1.1666666666666667</v>
      </c>
      <c r="U587" s="27" t="s">
        <v>193</v>
      </c>
      <c r="V587" s="19" t="s">
        <v>51</v>
      </c>
      <c r="W587" s="20">
        <v>45833</v>
      </c>
      <c r="X587" s="22"/>
      <c r="Y587" s="19" t="s">
        <v>52</v>
      </c>
      <c r="Z587" s="19" t="s">
        <v>52</v>
      </c>
      <c r="AA587" s="19" t="s">
        <v>52</v>
      </c>
      <c r="AB587" s="28"/>
    </row>
    <row r="588" spans="1:33" s="29" customFormat="1" ht="15" customHeight="1" x14ac:dyDescent="0.25">
      <c r="A588" s="14">
        <v>14</v>
      </c>
      <c r="B588" s="15">
        <v>45841</v>
      </c>
      <c r="C588" s="15">
        <f t="shared" si="513"/>
        <v>45849</v>
      </c>
      <c r="D588" s="14">
        <v>13085</v>
      </c>
      <c r="E588" s="16" t="s">
        <v>303</v>
      </c>
      <c r="F588" s="40" t="s">
        <v>304</v>
      </c>
      <c r="G588" s="17" t="s">
        <v>75</v>
      </c>
      <c r="H588" s="18" t="s">
        <v>57</v>
      </c>
      <c r="I588" s="19" t="s">
        <v>94</v>
      </c>
      <c r="J588" s="20">
        <v>45811</v>
      </c>
      <c r="K588" s="20">
        <v>45839</v>
      </c>
      <c r="L588" s="21">
        <v>700000</v>
      </c>
      <c r="M588" s="22">
        <f t="shared" si="518"/>
        <v>400000</v>
      </c>
      <c r="N588" s="23">
        <v>150000</v>
      </c>
      <c r="O588" s="23">
        <v>250000</v>
      </c>
      <c r="P588" s="24">
        <f t="shared" si="515"/>
        <v>550000</v>
      </c>
      <c r="Q588" s="25">
        <v>250000</v>
      </c>
      <c r="R588" s="26">
        <v>48000</v>
      </c>
      <c r="S588" s="91">
        <f t="shared" si="516"/>
        <v>11.458333333333334</v>
      </c>
      <c r="T588" s="91">
        <f t="shared" si="517"/>
        <v>5.208333333333333</v>
      </c>
      <c r="U588" s="27" t="s">
        <v>193</v>
      </c>
      <c r="V588" s="19" t="s">
        <v>51</v>
      </c>
      <c r="W588" s="20">
        <v>45833</v>
      </c>
      <c r="X588" s="22"/>
      <c r="Y588" s="19" t="s">
        <v>52</v>
      </c>
      <c r="Z588" s="19" t="s">
        <v>52</v>
      </c>
      <c r="AA588" s="19" t="s">
        <v>52</v>
      </c>
      <c r="AB588" s="28"/>
    </row>
    <row r="589" spans="1:33" s="29" customFormat="1" ht="15" customHeight="1" x14ac:dyDescent="0.25">
      <c r="A589" s="14">
        <v>9</v>
      </c>
      <c r="B589" s="15">
        <v>45841</v>
      </c>
      <c r="C589" s="15">
        <f t="shared" si="513"/>
        <v>45849</v>
      </c>
      <c r="D589" s="14">
        <v>13112</v>
      </c>
      <c r="E589" s="16" t="s">
        <v>284</v>
      </c>
      <c r="F589" s="17" t="s">
        <v>285</v>
      </c>
      <c r="G589" s="17" t="s">
        <v>102</v>
      </c>
      <c r="H589" s="18" t="s">
        <v>542</v>
      </c>
      <c r="I589" s="19" t="s">
        <v>384</v>
      </c>
      <c r="J589" s="20">
        <v>45819</v>
      </c>
      <c r="K589" s="20">
        <v>45860</v>
      </c>
      <c r="L589" s="21">
        <v>200000</v>
      </c>
      <c r="M589" s="22">
        <f t="shared" si="518"/>
        <v>174000</v>
      </c>
      <c r="N589" s="23">
        <v>165000</v>
      </c>
      <c r="O589" s="23">
        <v>9000</v>
      </c>
      <c r="P589" s="24">
        <f t="shared" si="515"/>
        <v>35000</v>
      </c>
      <c r="Q589" s="25">
        <v>9000</v>
      </c>
      <c r="R589" s="26">
        <v>50000</v>
      </c>
      <c r="S589" s="91">
        <f t="shared" si="516"/>
        <v>0.7</v>
      </c>
      <c r="T589" s="91">
        <f t="shared" si="517"/>
        <v>0.18</v>
      </c>
      <c r="U589" s="27" t="s">
        <v>193</v>
      </c>
      <c r="V589" s="19" t="s">
        <v>51</v>
      </c>
      <c r="W589" s="20">
        <v>45835</v>
      </c>
      <c r="X589" s="22"/>
      <c r="Y589" s="19" t="s">
        <v>52</v>
      </c>
      <c r="Z589" s="19" t="s">
        <v>52</v>
      </c>
      <c r="AA589" s="19" t="s">
        <v>52</v>
      </c>
      <c r="AB589" s="28"/>
    </row>
    <row r="590" spans="1:33" s="29" customFormat="1" ht="15" customHeight="1" x14ac:dyDescent="0.25">
      <c r="A590" s="14">
        <v>11</v>
      </c>
      <c r="B590" s="15">
        <v>45841</v>
      </c>
      <c r="C590" s="15">
        <f t="shared" si="513"/>
        <v>45849</v>
      </c>
      <c r="D590" s="14">
        <v>13072</v>
      </c>
      <c r="E590" s="16" t="s">
        <v>678</v>
      </c>
      <c r="F590" s="40" t="s">
        <v>657</v>
      </c>
      <c r="G590" s="17" t="s">
        <v>75</v>
      </c>
      <c r="H590" s="18" t="s">
        <v>57</v>
      </c>
      <c r="I590" s="19" t="s">
        <v>94</v>
      </c>
      <c r="J590" s="20">
        <v>45806</v>
      </c>
      <c r="K590" s="20">
        <v>45834</v>
      </c>
      <c r="L590" s="21">
        <v>1250000</v>
      </c>
      <c r="M590" s="22">
        <f t="shared" si="518"/>
        <v>1032000</v>
      </c>
      <c r="N590" s="23">
        <v>832000</v>
      </c>
      <c r="O590" s="23">
        <v>200000</v>
      </c>
      <c r="P590" s="24">
        <f t="shared" si="515"/>
        <v>418000</v>
      </c>
      <c r="Q590" s="25">
        <v>200000</v>
      </c>
      <c r="R590" s="26">
        <v>50000</v>
      </c>
      <c r="S590" s="91">
        <f t="shared" si="516"/>
        <v>8.36</v>
      </c>
      <c r="T590" s="91">
        <f t="shared" si="517"/>
        <v>4</v>
      </c>
      <c r="U590" s="27" t="s">
        <v>193</v>
      </c>
      <c r="V590" s="19" t="s">
        <v>51</v>
      </c>
      <c r="W590" s="20">
        <v>45834</v>
      </c>
      <c r="X590" s="22"/>
      <c r="Y590" s="19" t="s">
        <v>52</v>
      </c>
      <c r="Z590" s="19" t="s">
        <v>52</v>
      </c>
      <c r="AA590" s="19" t="s">
        <v>52</v>
      </c>
      <c r="AB590" s="28"/>
    </row>
    <row r="591" spans="1:33" ht="15" customHeight="1" x14ac:dyDescent="0.25">
      <c r="A591" s="33" t="s">
        <v>71</v>
      </c>
      <c r="B591" s="34"/>
      <c r="C591" s="34"/>
      <c r="D591" s="34"/>
      <c r="E591" s="34"/>
      <c r="F591" s="35"/>
      <c r="G591" s="35"/>
      <c r="H591" s="34"/>
      <c r="I591" s="34"/>
      <c r="J591" s="34"/>
      <c r="K591" s="34"/>
      <c r="L591" s="36"/>
      <c r="M591" s="36"/>
      <c r="N591" s="36"/>
      <c r="O591" s="36"/>
      <c r="P591" s="36"/>
      <c r="Q591" s="36">
        <f>SUM(Q579:Q590)</f>
        <v>2467200</v>
      </c>
      <c r="R591" s="36"/>
      <c r="S591" s="92"/>
      <c r="T591" s="93">
        <f>SUM(T579:T590)</f>
        <v>27.76</v>
      </c>
      <c r="U591" s="37"/>
      <c r="V591" s="38"/>
      <c r="W591" s="38"/>
      <c r="X591" s="38"/>
      <c r="Y591" s="34"/>
      <c r="Z591" s="34"/>
      <c r="AA591" s="39"/>
      <c r="AB591" s="29" t="s">
        <v>707</v>
      </c>
      <c r="AC591" s="81" t="s">
        <v>713</v>
      </c>
      <c r="AD591" s="83">
        <v>5000</v>
      </c>
      <c r="AF591" s="83">
        <v>0</v>
      </c>
      <c r="AG591" s="83">
        <f>SUM(AD591,AF591)</f>
        <v>5000</v>
      </c>
    </row>
    <row r="592" spans="1:33" s="29" customFormat="1" ht="15" customHeight="1" x14ac:dyDescent="0.25">
      <c r="A592" s="14">
        <v>4</v>
      </c>
      <c r="B592" s="15">
        <v>45846</v>
      </c>
      <c r="C592" s="15">
        <f>B592+8</f>
        <v>45854</v>
      </c>
      <c r="D592" s="14">
        <v>12952</v>
      </c>
      <c r="E592" s="16" t="s">
        <v>212</v>
      </c>
      <c r="F592" s="40" t="s">
        <v>213</v>
      </c>
      <c r="G592" s="17" t="s">
        <v>75</v>
      </c>
      <c r="H592" s="18" t="s">
        <v>542</v>
      </c>
      <c r="I592" s="19" t="s">
        <v>104</v>
      </c>
      <c r="J592" s="20">
        <v>45785</v>
      </c>
      <c r="K592" s="20">
        <v>45825</v>
      </c>
      <c r="L592" s="21">
        <v>750000</v>
      </c>
      <c r="M592" s="22">
        <f>SUM(N592:O592)</f>
        <v>738000</v>
      </c>
      <c r="N592" s="23">
        <v>600000</v>
      </c>
      <c r="O592" s="23">
        <v>138000</v>
      </c>
      <c r="P592" s="24">
        <f>L592-N592</f>
        <v>150000</v>
      </c>
      <c r="Q592" s="25">
        <v>138000</v>
      </c>
      <c r="R592" s="26">
        <v>150000</v>
      </c>
      <c r="S592" s="91">
        <f t="shared" ref="S592:S598" si="519">IF(P592&gt;0,P592/$R592,0)</f>
        <v>1</v>
      </c>
      <c r="T592" s="91">
        <f t="shared" ref="T592:T598" si="520">IF(Q592&gt;0,Q592/$R592,0)</f>
        <v>0.92</v>
      </c>
      <c r="U592" s="27" t="s">
        <v>193</v>
      </c>
      <c r="V592" s="19" t="s">
        <v>51</v>
      </c>
      <c r="W592" s="20">
        <v>45826</v>
      </c>
      <c r="X592" s="22"/>
      <c r="Y592" s="19" t="s">
        <v>52</v>
      </c>
      <c r="Z592" s="19" t="s">
        <v>52</v>
      </c>
      <c r="AA592" s="19" t="s">
        <v>52</v>
      </c>
      <c r="AB592" s="28"/>
    </row>
    <row r="593" spans="1:33" s="29" customFormat="1" ht="15" customHeight="1" x14ac:dyDescent="0.25">
      <c r="A593" s="14">
        <v>5</v>
      </c>
      <c r="B593" s="15">
        <v>45846</v>
      </c>
      <c r="C593" s="15">
        <f>B593+8</f>
        <v>45854</v>
      </c>
      <c r="D593" s="14">
        <v>13090</v>
      </c>
      <c r="E593" s="16" t="s">
        <v>123</v>
      </c>
      <c r="F593" s="17" t="s">
        <v>124</v>
      </c>
      <c r="G593" s="17" t="s">
        <v>102</v>
      </c>
      <c r="H593" s="18" t="s">
        <v>57</v>
      </c>
      <c r="I593" s="19" t="s">
        <v>58</v>
      </c>
      <c r="J593" s="20">
        <v>45811</v>
      </c>
      <c r="K593" s="20">
        <v>45839</v>
      </c>
      <c r="L593" s="21">
        <v>400000</v>
      </c>
      <c r="M593" s="22">
        <f>SUM(N593:O593)</f>
        <v>362000</v>
      </c>
      <c r="N593" s="23">
        <v>42000</v>
      </c>
      <c r="O593" s="23">
        <v>320000</v>
      </c>
      <c r="P593" s="24">
        <f>L593-N593</f>
        <v>358000</v>
      </c>
      <c r="Q593" s="25">
        <v>320000</v>
      </c>
      <c r="R593" s="26">
        <v>36000</v>
      </c>
      <c r="S593" s="91">
        <f t="shared" si="519"/>
        <v>9.9444444444444446</v>
      </c>
      <c r="T593" s="91">
        <f t="shared" si="520"/>
        <v>8.8888888888888893</v>
      </c>
      <c r="U593" s="27" t="s">
        <v>193</v>
      </c>
      <c r="V593" s="19" t="s">
        <v>51</v>
      </c>
      <c r="W593" s="20">
        <v>45833</v>
      </c>
      <c r="X593" s="22"/>
      <c r="Y593" s="19" t="s">
        <v>52</v>
      </c>
      <c r="Z593" s="19" t="s">
        <v>52</v>
      </c>
      <c r="AA593" s="19" t="s">
        <v>52</v>
      </c>
      <c r="AB593" s="28"/>
    </row>
    <row r="594" spans="1:33" s="29" customFormat="1" ht="15" customHeight="1" x14ac:dyDescent="0.25">
      <c r="A594" s="14">
        <v>13</v>
      </c>
      <c r="B594" s="15">
        <v>45846</v>
      </c>
      <c r="C594" s="15">
        <f>B594+8</f>
        <v>45854</v>
      </c>
      <c r="D594" s="14">
        <v>13085</v>
      </c>
      <c r="E594" s="16" t="s">
        <v>303</v>
      </c>
      <c r="F594" s="40" t="s">
        <v>304</v>
      </c>
      <c r="G594" s="17" t="s">
        <v>75</v>
      </c>
      <c r="H594" s="18" t="s">
        <v>57</v>
      </c>
      <c r="I594" s="19" t="s">
        <v>94</v>
      </c>
      <c r="J594" s="20">
        <v>45811</v>
      </c>
      <c r="K594" s="20">
        <v>45839</v>
      </c>
      <c r="L594" s="21">
        <v>700000</v>
      </c>
      <c r="M594" s="22">
        <f>SUM(N594:O594)</f>
        <v>807000</v>
      </c>
      <c r="N594" s="23">
        <v>400000</v>
      </c>
      <c r="O594" s="23">
        <v>407000</v>
      </c>
      <c r="P594" s="24">
        <f>L594-N594</f>
        <v>300000</v>
      </c>
      <c r="Q594" s="25">
        <v>307000</v>
      </c>
      <c r="R594" s="26">
        <v>48000</v>
      </c>
      <c r="S594" s="91">
        <f t="shared" si="519"/>
        <v>6.25</v>
      </c>
      <c r="T594" s="91">
        <f t="shared" si="520"/>
        <v>6.395833333333333</v>
      </c>
      <c r="U594" s="27" t="s">
        <v>193</v>
      </c>
      <c r="V594" s="19" t="s">
        <v>51</v>
      </c>
      <c r="W594" s="20">
        <v>45833</v>
      </c>
      <c r="X594" s="22"/>
      <c r="Y594" s="19" t="s">
        <v>52</v>
      </c>
      <c r="Z594" s="19" t="s">
        <v>52</v>
      </c>
      <c r="AA594" s="19" t="s">
        <v>52</v>
      </c>
      <c r="AB594" s="28"/>
    </row>
    <row r="595" spans="1:33" s="29" customFormat="1" ht="15" customHeight="1" x14ac:dyDescent="0.25">
      <c r="A595" s="14">
        <v>15</v>
      </c>
      <c r="B595" s="15">
        <v>45846</v>
      </c>
      <c r="C595" s="15">
        <f>B595+8</f>
        <v>45854</v>
      </c>
      <c r="D595" s="14">
        <v>13092</v>
      </c>
      <c r="E595" s="16" t="s">
        <v>684</v>
      </c>
      <c r="F595" s="40" t="s">
        <v>685</v>
      </c>
      <c r="G595" s="17" t="s">
        <v>75</v>
      </c>
      <c r="H595" s="18" t="s">
        <v>57</v>
      </c>
      <c r="I595" s="19" t="s">
        <v>94</v>
      </c>
      <c r="J595" s="20">
        <v>45812</v>
      </c>
      <c r="K595" s="20">
        <v>45840</v>
      </c>
      <c r="L595" s="21">
        <v>300000</v>
      </c>
      <c r="M595" s="22">
        <f t="shared" ref="M595" si="521">SUM(N595:O595)</f>
        <v>100000</v>
      </c>
      <c r="N595" s="23">
        <v>0</v>
      </c>
      <c r="O595" s="23">
        <v>100000</v>
      </c>
      <c r="P595" s="24">
        <f>L595-N595</f>
        <v>300000</v>
      </c>
      <c r="Q595" s="25">
        <v>100000</v>
      </c>
      <c r="R595" s="26">
        <v>100000</v>
      </c>
      <c r="S595" s="91">
        <f t="shared" si="519"/>
        <v>3</v>
      </c>
      <c r="T595" s="91">
        <f t="shared" si="520"/>
        <v>1</v>
      </c>
      <c r="U595" s="27" t="s">
        <v>193</v>
      </c>
      <c r="V595" s="30" t="s">
        <v>59</v>
      </c>
      <c r="W595" s="31">
        <v>45842</v>
      </c>
      <c r="X595" s="22"/>
      <c r="Y595" s="19" t="s">
        <v>52</v>
      </c>
      <c r="Z595" s="19" t="s">
        <v>52</v>
      </c>
      <c r="AA595" s="19" t="s">
        <v>52</v>
      </c>
      <c r="AB595" s="28"/>
    </row>
    <row r="596" spans="1:33" s="29" customFormat="1" ht="15" customHeight="1" x14ac:dyDescent="0.25">
      <c r="A596" s="14">
        <v>8</v>
      </c>
      <c r="B596" s="15">
        <v>45846</v>
      </c>
      <c r="C596" s="15">
        <f>B596+8</f>
        <v>45854</v>
      </c>
      <c r="D596" s="14">
        <v>13073</v>
      </c>
      <c r="E596" s="16" t="s">
        <v>297</v>
      </c>
      <c r="F596" s="17" t="s">
        <v>298</v>
      </c>
      <c r="G596" s="17" t="s">
        <v>102</v>
      </c>
      <c r="H596" s="18" t="s">
        <v>57</v>
      </c>
      <c r="I596" s="19" t="s">
        <v>94</v>
      </c>
      <c r="J596" s="20">
        <v>45825</v>
      </c>
      <c r="K596" s="20">
        <v>45853</v>
      </c>
      <c r="L596" s="21">
        <v>800000</v>
      </c>
      <c r="M596" s="22">
        <f>SUM(N596:O596)</f>
        <v>180000</v>
      </c>
      <c r="N596" s="23">
        <v>0</v>
      </c>
      <c r="O596" s="23">
        <v>180000</v>
      </c>
      <c r="P596" s="24">
        <f>L596-N596</f>
        <v>800000</v>
      </c>
      <c r="Q596" s="25">
        <v>180000</v>
      </c>
      <c r="R596" s="26">
        <v>30000</v>
      </c>
      <c r="S596" s="91">
        <f t="shared" si="519"/>
        <v>26.666666666666668</v>
      </c>
      <c r="T596" s="91">
        <f t="shared" si="520"/>
        <v>6</v>
      </c>
      <c r="U596" s="27" t="s">
        <v>193</v>
      </c>
      <c r="V596" s="30" t="s">
        <v>59</v>
      </c>
      <c r="W596" s="31">
        <v>45845</v>
      </c>
      <c r="X596" s="22"/>
      <c r="Y596" s="19" t="s">
        <v>52</v>
      </c>
      <c r="Z596" s="19" t="s">
        <v>52</v>
      </c>
      <c r="AA596" s="19" t="s">
        <v>52</v>
      </c>
      <c r="AB596" s="28"/>
    </row>
    <row r="597" spans="1:33" s="29" customFormat="1" ht="15" customHeight="1" x14ac:dyDescent="0.25">
      <c r="A597" s="14">
        <v>6</v>
      </c>
      <c r="B597" s="15">
        <v>45846</v>
      </c>
      <c r="C597" s="15">
        <f t="shared" ref="C597:C598" si="522">B597+8</f>
        <v>45854</v>
      </c>
      <c r="D597" s="14">
        <v>13134</v>
      </c>
      <c r="E597" s="16" t="s">
        <v>208</v>
      </c>
      <c r="F597" s="17" t="s">
        <v>209</v>
      </c>
      <c r="G597" s="17" t="s">
        <v>47</v>
      </c>
      <c r="H597" s="18" t="s">
        <v>542</v>
      </c>
      <c r="I597" s="19" t="s">
        <v>49</v>
      </c>
      <c r="J597" s="20">
        <v>45826</v>
      </c>
      <c r="K597" s="20">
        <v>45860</v>
      </c>
      <c r="L597" s="21">
        <v>150000</v>
      </c>
      <c r="M597" s="22">
        <f t="shared" ref="M597" si="523">SUM(N597:O597)</f>
        <v>152000</v>
      </c>
      <c r="N597" s="23">
        <v>0</v>
      </c>
      <c r="O597" s="23">
        <v>152000</v>
      </c>
      <c r="P597" s="24">
        <f t="shared" ref="P597:P598" si="524">L597-N597</f>
        <v>150000</v>
      </c>
      <c r="Q597" s="25">
        <v>152000</v>
      </c>
      <c r="R597" s="26">
        <v>50000</v>
      </c>
      <c r="S597" s="91">
        <f t="shared" si="519"/>
        <v>3</v>
      </c>
      <c r="T597" s="91">
        <f t="shared" si="520"/>
        <v>3.04</v>
      </c>
      <c r="U597" s="27" t="s">
        <v>193</v>
      </c>
      <c r="V597" s="30" t="s">
        <v>59</v>
      </c>
      <c r="W597" s="31">
        <v>45842</v>
      </c>
      <c r="X597" s="22"/>
      <c r="Y597" s="19" t="s">
        <v>52</v>
      </c>
      <c r="Z597" s="19" t="s">
        <v>52</v>
      </c>
      <c r="AA597" s="19" t="s">
        <v>52</v>
      </c>
      <c r="AB597" s="42"/>
    </row>
    <row r="598" spans="1:33" s="29" customFormat="1" ht="15" customHeight="1" x14ac:dyDescent="0.25">
      <c r="A598" s="14">
        <v>19</v>
      </c>
      <c r="B598" s="15">
        <v>45846</v>
      </c>
      <c r="C598" s="15">
        <f t="shared" si="522"/>
        <v>45854</v>
      </c>
      <c r="D598" s="14">
        <v>13145</v>
      </c>
      <c r="E598" s="16" t="s">
        <v>196</v>
      </c>
      <c r="F598" s="40" t="s">
        <v>197</v>
      </c>
      <c r="G598" s="17" t="s">
        <v>75</v>
      </c>
      <c r="H598" s="18" t="s">
        <v>62</v>
      </c>
      <c r="I598" s="19" t="s">
        <v>63</v>
      </c>
      <c r="J598" s="20">
        <v>45827</v>
      </c>
      <c r="K598" s="20">
        <v>45856</v>
      </c>
      <c r="L598" s="21">
        <v>100000</v>
      </c>
      <c r="M598" s="22">
        <f t="shared" ref="M598" si="525">SUM(N598:O598)</f>
        <v>50000</v>
      </c>
      <c r="N598" s="23">
        <v>0</v>
      </c>
      <c r="O598" s="23">
        <v>50000</v>
      </c>
      <c r="P598" s="24">
        <f t="shared" si="524"/>
        <v>100000</v>
      </c>
      <c r="Q598" s="25">
        <v>43000</v>
      </c>
      <c r="R598" s="26">
        <v>50000</v>
      </c>
      <c r="S598" s="91">
        <f t="shared" si="519"/>
        <v>2</v>
      </c>
      <c r="T598" s="91">
        <f t="shared" si="520"/>
        <v>0.86</v>
      </c>
      <c r="U598" s="27" t="s">
        <v>193</v>
      </c>
      <c r="V598" s="30" t="s">
        <v>59</v>
      </c>
      <c r="W598" s="31">
        <v>45842</v>
      </c>
      <c r="X598" s="22"/>
      <c r="Y598" s="19" t="s">
        <v>52</v>
      </c>
      <c r="Z598" s="19" t="s">
        <v>52</v>
      </c>
      <c r="AA598" s="19" t="s">
        <v>52</v>
      </c>
      <c r="AB598" s="28"/>
    </row>
    <row r="599" spans="1:33" ht="15" customHeight="1" x14ac:dyDescent="0.25">
      <c r="A599" s="33" t="s">
        <v>71</v>
      </c>
      <c r="B599" s="34"/>
      <c r="C599" s="34"/>
      <c r="D599" s="34"/>
      <c r="E599" s="34"/>
      <c r="F599" s="35"/>
      <c r="G599" s="35"/>
      <c r="H599" s="34"/>
      <c r="I599" s="34"/>
      <c r="J599" s="34"/>
      <c r="K599" s="34"/>
      <c r="L599" s="36"/>
      <c r="M599" s="36"/>
      <c r="N599" s="36"/>
      <c r="O599" s="36"/>
      <c r="P599" s="36"/>
      <c r="Q599" s="36">
        <f>SUM(Q592:Q598)</f>
        <v>1240000</v>
      </c>
      <c r="R599" s="36"/>
      <c r="S599" s="92"/>
      <c r="T599" s="93">
        <f>SUM(T592:T598)</f>
        <v>27.104722222222222</v>
      </c>
      <c r="U599" s="37"/>
      <c r="V599" s="38"/>
      <c r="W599" s="38"/>
      <c r="X599" s="38"/>
      <c r="Y599" s="34"/>
      <c r="Z599" s="34"/>
      <c r="AA599" s="39"/>
      <c r="AB599" s="29" t="s">
        <v>711</v>
      </c>
      <c r="AC599" s="81" t="s">
        <v>718</v>
      </c>
      <c r="AD599" s="83">
        <v>5000</v>
      </c>
      <c r="AF599" s="83">
        <v>0</v>
      </c>
      <c r="AG599" s="83">
        <f>SUM(AD599,AF599)</f>
        <v>5000</v>
      </c>
    </row>
    <row r="600" spans="1:33" s="29" customFormat="1" ht="15" customHeight="1" x14ac:dyDescent="0.25">
      <c r="A600" s="14">
        <v>10</v>
      </c>
      <c r="B600" s="15">
        <v>45846</v>
      </c>
      <c r="C600" s="15">
        <f>B600+8</f>
        <v>45854</v>
      </c>
      <c r="D600" s="14">
        <v>13036</v>
      </c>
      <c r="E600" s="16" t="s">
        <v>268</v>
      </c>
      <c r="F600" s="17" t="s">
        <v>269</v>
      </c>
      <c r="G600" s="17" t="s">
        <v>132</v>
      </c>
      <c r="H600" s="18" t="s">
        <v>54</v>
      </c>
      <c r="I600" s="19" t="s">
        <v>135</v>
      </c>
      <c r="J600" s="20">
        <v>45800</v>
      </c>
      <c r="K600" s="20">
        <v>45845</v>
      </c>
      <c r="L600" s="21">
        <v>50000</v>
      </c>
      <c r="M600" s="22">
        <f>SUM(N600:O600)</f>
        <v>63700</v>
      </c>
      <c r="N600" s="23">
        <v>0</v>
      </c>
      <c r="O600" s="23">
        <v>63700</v>
      </c>
      <c r="P600" s="24">
        <f>L600-N600</f>
        <v>50000</v>
      </c>
      <c r="Q600" s="25">
        <v>63700</v>
      </c>
      <c r="R600" s="26">
        <v>57330</v>
      </c>
      <c r="S600" s="91">
        <f t="shared" ref="S600:S609" si="526">IF(P600&gt;0,P600/$R600,0)</f>
        <v>0.87214372928658646</v>
      </c>
      <c r="T600" s="91">
        <f t="shared" ref="T600:T609" si="527">IF(Q600&gt;0,Q600/$R600,0)</f>
        <v>1.1111111111111112</v>
      </c>
      <c r="U600" s="27" t="s">
        <v>56</v>
      </c>
      <c r="V600" s="30" t="s">
        <v>59</v>
      </c>
      <c r="W600" s="31">
        <v>45840</v>
      </c>
      <c r="X600" s="22"/>
      <c r="Y600" s="19" t="s">
        <v>52</v>
      </c>
      <c r="Z600" s="19" t="s">
        <v>52</v>
      </c>
      <c r="AA600" s="19" t="s">
        <v>52</v>
      </c>
      <c r="AB600" s="28"/>
    </row>
    <row r="601" spans="1:33" s="29" customFormat="1" ht="15" customHeight="1" x14ac:dyDescent="0.25">
      <c r="A601" s="14">
        <v>12</v>
      </c>
      <c r="B601" s="15">
        <v>45846</v>
      </c>
      <c r="C601" s="15">
        <f>B601+8</f>
        <v>45854</v>
      </c>
      <c r="D601" s="14">
        <v>13039</v>
      </c>
      <c r="E601" s="16" t="s">
        <v>141</v>
      </c>
      <c r="F601" s="17" t="s">
        <v>142</v>
      </c>
      <c r="G601" s="17" t="s">
        <v>132</v>
      </c>
      <c r="H601" s="18" t="s">
        <v>54</v>
      </c>
      <c r="I601" s="19" t="s">
        <v>135</v>
      </c>
      <c r="J601" s="20">
        <v>45800</v>
      </c>
      <c r="K601" s="20">
        <v>45846</v>
      </c>
      <c r="L601" s="21">
        <v>470000</v>
      </c>
      <c r="M601" s="22">
        <f>SUM(N601:O601)</f>
        <v>494000</v>
      </c>
      <c r="N601" s="23">
        <v>0</v>
      </c>
      <c r="O601" s="23">
        <v>494000</v>
      </c>
      <c r="P601" s="24">
        <f>L601-N601</f>
        <v>470000</v>
      </c>
      <c r="Q601" s="25">
        <v>494000</v>
      </c>
      <c r="R601" s="26">
        <v>175500</v>
      </c>
      <c r="S601" s="91">
        <f t="shared" si="526"/>
        <v>2.6780626780626782</v>
      </c>
      <c r="T601" s="91">
        <f t="shared" si="527"/>
        <v>2.8148148148148149</v>
      </c>
      <c r="U601" s="27" t="s">
        <v>56</v>
      </c>
      <c r="V601" s="30" t="s">
        <v>59</v>
      </c>
      <c r="W601" s="31">
        <v>45840</v>
      </c>
      <c r="X601" s="22"/>
      <c r="Y601" s="19" t="s">
        <v>52</v>
      </c>
      <c r="Z601" s="19" t="s">
        <v>52</v>
      </c>
      <c r="AA601" s="19" t="s">
        <v>52</v>
      </c>
      <c r="AB601" s="28"/>
    </row>
    <row r="602" spans="1:33" s="29" customFormat="1" ht="15" customHeight="1" x14ac:dyDescent="0.25">
      <c r="A602" s="14">
        <v>9</v>
      </c>
      <c r="B602" s="15">
        <v>45846</v>
      </c>
      <c r="C602" s="15">
        <f>B602+8</f>
        <v>45854</v>
      </c>
      <c r="D602" s="14">
        <v>13034</v>
      </c>
      <c r="E602" s="16" t="s">
        <v>665</v>
      </c>
      <c r="F602" s="17" t="s">
        <v>666</v>
      </c>
      <c r="G602" s="17" t="s">
        <v>132</v>
      </c>
      <c r="H602" s="18" t="s">
        <v>54</v>
      </c>
      <c r="I602" s="19" t="s">
        <v>135</v>
      </c>
      <c r="J602" s="20">
        <v>45800</v>
      </c>
      <c r="K602" s="20">
        <v>45845</v>
      </c>
      <c r="L602" s="21">
        <v>25000</v>
      </c>
      <c r="M602" s="22">
        <f t="shared" ref="M602" si="528">SUM(N602:O602)</f>
        <v>27820</v>
      </c>
      <c r="N602" s="23">
        <v>0</v>
      </c>
      <c r="O602" s="23">
        <v>27820</v>
      </c>
      <c r="P602" s="24">
        <f>L602-N602</f>
        <v>25000</v>
      </c>
      <c r="Q602" s="25">
        <v>27810</v>
      </c>
      <c r="R602" s="26">
        <v>57330</v>
      </c>
      <c r="S602" s="91">
        <f t="shared" si="526"/>
        <v>0.43607186464329323</v>
      </c>
      <c r="T602" s="91">
        <f t="shared" si="527"/>
        <v>0.48508634222919939</v>
      </c>
      <c r="U602" s="27" t="s">
        <v>56</v>
      </c>
      <c r="V602" s="30" t="s">
        <v>59</v>
      </c>
      <c r="W602" s="31">
        <v>45840</v>
      </c>
      <c r="X602" s="22"/>
      <c r="Y602" s="19" t="s">
        <v>52</v>
      </c>
      <c r="Z602" s="19" t="s">
        <v>52</v>
      </c>
      <c r="AA602" s="19" t="s">
        <v>52</v>
      </c>
      <c r="AB602" s="28"/>
    </row>
    <row r="603" spans="1:33" s="29" customFormat="1" ht="15" customHeight="1" x14ac:dyDescent="0.25">
      <c r="A603" s="14">
        <v>12</v>
      </c>
      <c r="B603" s="15">
        <v>45846</v>
      </c>
      <c r="C603" s="15">
        <f>B603+8</f>
        <v>45854</v>
      </c>
      <c r="D603" s="14">
        <v>13050</v>
      </c>
      <c r="E603" s="16" t="s">
        <v>378</v>
      </c>
      <c r="F603" s="40" t="s">
        <v>379</v>
      </c>
      <c r="G603" s="17" t="s">
        <v>75</v>
      </c>
      <c r="H603" s="18" t="s">
        <v>78</v>
      </c>
      <c r="I603" s="19" t="s">
        <v>79</v>
      </c>
      <c r="J603" s="20">
        <v>45804</v>
      </c>
      <c r="K603" s="20">
        <v>45835</v>
      </c>
      <c r="L603" s="21">
        <v>150000</v>
      </c>
      <c r="M603" s="22">
        <f>SUM(N603:O603)</f>
        <v>286000</v>
      </c>
      <c r="N603" s="23">
        <v>150000</v>
      </c>
      <c r="O603" s="23">
        <v>136000</v>
      </c>
      <c r="P603" s="24">
        <f>L603-N603</f>
        <v>0</v>
      </c>
      <c r="Q603" s="25">
        <v>136000</v>
      </c>
      <c r="R603" s="26">
        <v>84000</v>
      </c>
      <c r="S603" s="91">
        <f t="shared" si="526"/>
        <v>0</v>
      </c>
      <c r="T603" s="91">
        <f t="shared" si="527"/>
        <v>1.6190476190476191</v>
      </c>
      <c r="U603" s="27" t="s">
        <v>56</v>
      </c>
      <c r="V603" s="30" t="s">
        <v>59</v>
      </c>
      <c r="W603" s="31">
        <v>45842</v>
      </c>
      <c r="X603" s="22"/>
      <c r="Y603" s="19" t="s">
        <v>52</v>
      </c>
      <c r="Z603" s="19" t="s">
        <v>52</v>
      </c>
      <c r="AA603" s="19" t="s">
        <v>52</v>
      </c>
      <c r="AB603" s="28"/>
    </row>
    <row r="604" spans="1:33" s="29" customFormat="1" ht="15" customHeight="1" x14ac:dyDescent="0.25">
      <c r="A604" s="14">
        <v>18</v>
      </c>
      <c r="B604" s="15">
        <v>45846</v>
      </c>
      <c r="C604" s="15">
        <f>B604+8</f>
        <v>45854</v>
      </c>
      <c r="D604" s="14">
        <v>13097</v>
      </c>
      <c r="E604" s="16" t="s">
        <v>430</v>
      </c>
      <c r="F604" s="40" t="s">
        <v>431</v>
      </c>
      <c r="G604" s="17" t="s">
        <v>75</v>
      </c>
      <c r="H604" s="18" t="s">
        <v>542</v>
      </c>
      <c r="I604" s="19" t="s">
        <v>70</v>
      </c>
      <c r="J604" s="20">
        <v>45814</v>
      </c>
      <c r="K604" s="20">
        <v>45848</v>
      </c>
      <c r="L604" s="21">
        <v>2000000</v>
      </c>
      <c r="M604" s="22">
        <f>SUM(N604:O604)</f>
        <v>1581000</v>
      </c>
      <c r="N604" s="23">
        <v>750000</v>
      </c>
      <c r="O604" s="23">
        <v>831000</v>
      </c>
      <c r="P604" s="24">
        <f>L604-N604</f>
        <v>1250000</v>
      </c>
      <c r="Q604" s="25">
        <v>831000</v>
      </c>
      <c r="R604" s="26">
        <v>150000</v>
      </c>
      <c r="S604" s="91">
        <f t="shared" si="526"/>
        <v>8.3333333333333339</v>
      </c>
      <c r="T604" s="91">
        <f t="shared" si="527"/>
        <v>5.54</v>
      </c>
      <c r="U604" s="27" t="s">
        <v>56</v>
      </c>
      <c r="V604" s="30" t="s">
        <v>59</v>
      </c>
      <c r="W604" s="31">
        <v>45842</v>
      </c>
      <c r="X604" s="22"/>
      <c r="Y604" s="19" t="s">
        <v>52</v>
      </c>
      <c r="Z604" s="19" t="s">
        <v>52</v>
      </c>
      <c r="AA604" s="19" t="s">
        <v>52</v>
      </c>
      <c r="AB604" s="28"/>
    </row>
    <row r="605" spans="1:33" s="29" customFormat="1" ht="15" customHeight="1" x14ac:dyDescent="0.25">
      <c r="A605" s="14">
        <v>5</v>
      </c>
      <c r="B605" s="15">
        <v>45846</v>
      </c>
      <c r="C605" s="15">
        <f t="shared" ref="C605" si="529">B605+8</f>
        <v>45854</v>
      </c>
      <c r="D605" s="14">
        <v>12961</v>
      </c>
      <c r="E605" s="16" t="s">
        <v>407</v>
      </c>
      <c r="F605" s="17" t="s">
        <v>408</v>
      </c>
      <c r="G605" s="17" t="s">
        <v>47</v>
      </c>
      <c r="H605" s="18" t="s">
        <v>57</v>
      </c>
      <c r="I605" s="19" t="s">
        <v>58</v>
      </c>
      <c r="J605" s="20">
        <v>45785</v>
      </c>
      <c r="K605" s="20">
        <v>45839</v>
      </c>
      <c r="L605" s="21">
        <v>1000000</v>
      </c>
      <c r="M605" s="22">
        <f t="shared" ref="M605" si="530">SUM(N605:O605)</f>
        <v>890000</v>
      </c>
      <c r="N605" s="23">
        <v>818000</v>
      </c>
      <c r="O605" s="23">
        <v>72000</v>
      </c>
      <c r="P605" s="24">
        <f t="shared" ref="P605" si="531">L605-N605</f>
        <v>182000</v>
      </c>
      <c r="Q605" s="25">
        <v>72000</v>
      </c>
      <c r="R605" s="26">
        <v>48000</v>
      </c>
      <c r="S605" s="91">
        <f t="shared" si="526"/>
        <v>3.7916666666666665</v>
      </c>
      <c r="T605" s="91">
        <f t="shared" si="527"/>
        <v>1.5</v>
      </c>
      <c r="U605" s="27" t="s">
        <v>193</v>
      </c>
      <c r="V605" s="19" t="s">
        <v>51</v>
      </c>
      <c r="W605" s="20">
        <v>45817</v>
      </c>
      <c r="X605" s="22"/>
      <c r="Y605" s="19" t="s">
        <v>52</v>
      </c>
      <c r="Z605" s="19" t="s">
        <v>52</v>
      </c>
      <c r="AA605" s="19" t="s">
        <v>52</v>
      </c>
      <c r="AB605" s="42"/>
    </row>
    <row r="606" spans="1:33" s="29" customFormat="1" ht="15" customHeight="1" x14ac:dyDescent="0.25">
      <c r="A606" s="14">
        <v>5</v>
      </c>
      <c r="B606" s="15">
        <v>45846</v>
      </c>
      <c r="C606" s="15">
        <f>B606+8</f>
        <v>45854</v>
      </c>
      <c r="D606" s="14">
        <v>12957</v>
      </c>
      <c r="E606" s="16" t="s">
        <v>385</v>
      </c>
      <c r="F606" s="40" t="s">
        <v>386</v>
      </c>
      <c r="G606" s="17" t="s">
        <v>75</v>
      </c>
      <c r="H606" s="18" t="s">
        <v>542</v>
      </c>
      <c r="I606" s="19" t="s">
        <v>70</v>
      </c>
      <c r="J606" s="20">
        <v>45790</v>
      </c>
      <c r="K606" s="20">
        <v>45826</v>
      </c>
      <c r="L606" s="21">
        <v>2000000</v>
      </c>
      <c r="M606" s="22">
        <f>SUM(N606:O606)</f>
        <v>1704000</v>
      </c>
      <c r="N606" s="23">
        <v>1554000</v>
      </c>
      <c r="O606" s="23">
        <v>150000</v>
      </c>
      <c r="P606" s="24">
        <f>L606-N606</f>
        <v>446000</v>
      </c>
      <c r="Q606" s="25">
        <v>150000</v>
      </c>
      <c r="R606" s="26">
        <v>150000</v>
      </c>
      <c r="S606" s="91">
        <f t="shared" si="526"/>
        <v>2.9733333333333332</v>
      </c>
      <c r="T606" s="91">
        <f t="shared" si="527"/>
        <v>1</v>
      </c>
      <c r="U606" s="27" t="s">
        <v>193</v>
      </c>
      <c r="V606" s="19" t="s">
        <v>51</v>
      </c>
      <c r="W606" s="20">
        <v>45810</v>
      </c>
      <c r="X606" s="22"/>
      <c r="Y606" s="19" t="s">
        <v>52</v>
      </c>
      <c r="Z606" s="19" t="s">
        <v>52</v>
      </c>
      <c r="AA606" s="19" t="s">
        <v>52</v>
      </c>
      <c r="AB606" s="28"/>
    </row>
    <row r="607" spans="1:33" s="29" customFormat="1" ht="15" customHeight="1" x14ac:dyDescent="0.25">
      <c r="A607" s="14">
        <v>10</v>
      </c>
      <c r="B607" s="15">
        <v>45846</v>
      </c>
      <c r="C607" s="15">
        <f>B607+8</f>
        <v>45854</v>
      </c>
      <c r="D607" s="14">
        <v>13072</v>
      </c>
      <c r="E607" s="16" t="s">
        <v>678</v>
      </c>
      <c r="F607" s="40" t="s">
        <v>657</v>
      </c>
      <c r="G607" s="17" t="s">
        <v>75</v>
      </c>
      <c r="H607" s="18" t="s">
        <v>57</v>
      </c>
      <c r="I607" s="19" t="s">
        <v>94</v>
      </c>
      <c r="J607" s="20">
        <v>45806</v>
      </c>
      <c r="K607" s="20">
        <v>45834</v>
      </c>
      <c r="L607" s="21">
        <v>1250000</v>
      </c>
      <c r="M607" s="22">
        <f>SUM(N607:O607)</f>
        <v>1262000</v>
      </c>
      <c r="N607" s="23">
        <v>832000</v>
      </c>
      <c r="O607" s="23">
        <v>430000</v>
      </c>
      <c r="P607" s="24">
        <f>L607-N607</f>
        <v>418000</v>
      </c>
      <c r="Q607" s="25">
        <v>430000</v>
      </c>
      <c r="R607" s="26">
        <v>50000</v>
      </c>
      <c r="S607" s="91">
        <f t="shared" si="526"/>
        <v>8.36</v>
      </c>
      <c r="T607" s="91">
        <f t="shared" si="527"/>
        <v>8.6</v>
      </c>
      <c r="U607" s="27" t="s">
        <v>193</v>
      </c>
      <c r="V607" s="19" t="s">
        <v>51</v>
      </c>
      <c r="W607" s="20">
        <v>45834</v>
      </c>
      <c r="X607" s="22"/>
      <c r="Y607" s="19" t="s">
        <v>52</v>
      </c>
      <c r="Z607" s="19" t="s">
        <v>52</v>
      </c>
      <c r="AA607" s="19" t="s">
        <v>52</v>
      </c>
      <c r="AB607" s="28"/>
    </row>
    <row r="608" spans="1:33" s="29" customFormat="1" ht="15" customHeight="1" x14ac:dyDescent="0.25">
      <c r="A608" s="14">
        <v>3</v>
      </c>
      <c r="B608" s="15">
        <v>45846</v>
      </c>
      <c r="C608" s="15">
        <f>B608+8</f>
        <v>45854</v>
      </c>
      <c r="D608" s="14">
        <v>12832</v>
      </c>
      <c r="E608" s="16" t="s">
        <v>556</v>
      </c>
      <c r="F608" s="40" t="s">
        <v>474</v>
      </c>
      <c r="G608" s="17" t="s">
        <v>75</v>
      </c>
      <c r="H608" s="18" t="s">
        <v>57</v>
      </c>
      <c r="I608" s="19" t="s">
        <v>58</v>
      </c>
      <c r="J608" s="20">
        <v>45770</v>
      </c>
      <c r="K608" s="20">
        <v>45804</v>
      </c>
      <c r="L608" s="21">
        <v>100000</v>
      </c>
      <c r="M608" s="22">
        <f>SUM(N608:O608)</f>
        <v>81000</v>
      </c>
      <c r="N608" s="23">
        <v>72000</v>
      </c>
      <c r="O608" s="23">
        <v>9000</v>
      </c>
      <c r="P608" s="24">
        <f>L608-N608</f>
        <v>28000</v>
      </c>
      <c r="Q608" s="25">
        <v>9000</v>
      </c>
      <c r="R608" s="26">
        <v>150000</v>
      </c>
      <c r="S608" s="91">
        <f t="shared" si="526"/>
        <v>0.18666666666666668</v>
      </c>
      <c r="T608" s="91">
        <f t="shared" si="527"/>
        <v>0.06</v>
      </c>
      <c r="U608" s="27" t="s">
        <v>193</v>
      </c>
      <c r="V608" s="19" t="s">
        <v>51</v>
      </c>
      <c r="W608" s="20">
        <v>45834</v>
      </c>
      <c r="X608" s="22"/>
      <c r="Y608" s="19" t="s">
        <v>52</v>
      </c>
      <c r="Z608" s="19" t="s">
        <v>52</v>
      </c>
      <c r="AA608" s="19" t="s">
        <v>52</v>
      </c>
      <c r="AB608" s="28"/>
    </row>
    <row r="609" spans="1:33" s="29" customFormat="1" ht="15" customHeight="1" x14ac:dyDescent="0.25">
      <c r="A609" s="14">
        <v>6</v>
      </c>
      <c r="B609" s="15">
        <v>45846</v>
      </c>
      <c r="C609" s="15">
        <f>B609+8</f>
        <v>45854</v>
      </c>
      <c r="D609" s="14">
        <v>12956</v>
      </c>
      <c r="E609" s="16" t="s">
        <v>341</v>
      </c>
      <c r="F609" s="40" t="s">
        <v>348</v>
      </c>
      <c r="G609" s="17" t="s">
        <v>75</v>
      </c>
      <c r="H609" s="18" t="s">
        <v>542</v>
      </c>
      <c r="I609" s="19" t="s">
        <v>70</v>
      </c>
      <c r="J609" s="20">
        <v>45790</v>
      </c>
      <c r="K609" s="20">
        <v>45826</v>
      </c>
      <c r="L609" s="21">
        <v>3000000</v>
      </c>
      <c r="M609" s="22">
        <f t="shared" ref="M609" si="532">SUM(N609:O609)</f>
        <v>2577000</v>
      </c>
      <c r="N609" s="23">
        <v>2535000</v>
      </c>
      <c r="O609" s="23">
        <v>42000</v>
      </c>
      <c r="P609" s="24">
        <f t="shared" ref="P609" si="533">L609-N609</f>
        <v>465000</v>
      </c>
      <c r="Q609" s="25">
        <v>42000</v>
      </c>
      <c r="R609" s="26">
        <v>150000</v>
      </c>
      <c r="S609" s="91">
        <f t="shared" si="526"/>
        <v>3.1</v>
      </c>
      <c r="T609" s="91">
        <f t="shared" si="527"/>
        <v>0.28000000000000003</v>
      </c>
      <c r="U609" s="27" t="s">
        <v>193</v>
      </c>
      <c r="V609" s="19" t="s">
        <v>51</v>
      </c>
      <c r="W609" s="20">
        <v>45800</v>
      </c>
      <c r="X609" s="22"/>
      <c r="Y609" s="19" t="s">
        <v>52</v>
      </c>
      <c r="Z609" s="19" t="s">
        <v>52</v>
      </c>
      <c r="AA609" s="19" t="s">
        <v>52</v>
      </c>
      <c r="AB609" s="28"/>
    </row>
    <row r="610" spans="1:33" ht="15" customHeight="1" x14ac:dyDescent="0.25">
      <c r="A610" s="33" t="s">
        <v>71</v>
      </c>
      <c r="B610" s="34"/>
      <c r="C610" s="34"/>
      <c r="D610" s="34"/>
      <c r="E610" s="34"/>
      <c r="F610" s="35"/>
      <c r="G610" s="35"/>
      <c r="H610" s="34"/>
      <c r="I610" s="34"/>
      <c r="J610" s="34"/>
      <c r="K610" s="34"/>
      <c r="L610" s="36"/>
      <c r="M610" s="36"/>
      <c r="N610" s="36"/>
      <c r="O610" s="36"/>
      <c r="P610" s="36"/>
      <c r="Q610" s="36">
        <f>SUM(Q600:Q609)</f>
        <v>2255510</v>
      </c>
      <c r="R610" s="36"/>
      <c r="S610" s="92"/>
      <c r="T610" s="93">
        <f>SUM(T600:T609)</f>
        <v>23.010059887202747</v>
      </c>
      <c r="U610" s="37"/>
      <c r="V610" s="38"/>
      <c r="W610" s="38"/>
      <c r="X610" s="38"/>
      <c r="Y610" s="34"/>
      <c r="Z610" s="34"/>
      <c r="AA610" s="39"/>
      <c r="AB610" s="29" t="s">
        <v>712</v>
      </c>
      <c r="AC610" s="81" t="s">
        <v>719</v>
      </c>
      <c r="AD610" s="83">
        <v>5000</v>
      </c>
      <c r="AF610" s="83">
        <v>0</v>
      </c>
      <c r="AG610" s="83">
        <f>SUM(AD610,AF610)</f>
        <v>5000</v>
      </c>
    </row>
    <row r="611" spans="1:33" s="29" customFormat="1" ht="15" customHeight="1" x14ac:dyDescent="0.25">
      <c r="A611" s="14">
        <v>5</v>
      </c>
      <c r="B611" s="15">
        <v>45850</v>
      </c>
      <c r="C611" s="15">
        <f>B611+8</f>
        <v>45858</v>
      </c>
      <c r="D611" s="14">
        <v>12957</v>
      </c>
      <c r="E611" s="16" t="s">
        <v>385</v>
      </c>
      <c r="F611" s="40" t="s">
        <v>386</v>
      </c>
      <c r="G611" s="17" t="s">
        <v>75</v>
      </c>
      <c r="H611" s="18" t="s">
        <v>542</v>
      </c>
      <c r="I611" s="19" t="s">
        <v>70</v>
      </c>
      <c r="J611" s="20">
        <v>45790</v>
      </c>
      <c r="K611" s="20">
        <v>45826</v>
      </c>
      <c r="L611" s="21">
        <v>2000000</v>
      </c>
      <c r="M611" s="22">
        <f>SUM(N611:O611)</f>
        <v>1854000</v>
      </c>
      <c r="N611" s="23">
        <v>1704000</v>
      </c>
      <c r="O611" s="23">
        <v>150000</v>
      </c>
      <c r="P611" s="24">
        <f>L611-N611</f>
        <v>296000</v>
      </c>
      <c r="Q611" s="25">
        <v>150000</v>
      </c>
      <c r="R611" s="26">
        <v>150000</v>
      </c>
      <c r="S611" s="91">
        <f t="shared" ref="S611:S621" si="534">IF(P611&gt;0,P611/$R611,0)</f>
        <v>1.9733333333333334</v>
      </c>
      <c r="T611" s="91">
        <f t="shared" ref="T611:T621" si="535">IF(Q611&gt;0,Q611/$R611,0)</f>
        <v>1</v>
      </c>
      <c r="U611" s="27" t="s">
        <v>56</v>
      </c>
      <c r="V611" s="19" t="s">
        <v>51</v>
      </c>
      <c r="W611" s="20">
        <v>45810</v>
      </c>
      <c r="X611" s="22"/>
      <c r="Y611" s="19" t="s">
        <v>52</v>
      </c>
      <c r="Z611" s="19" t="s">
        <v>52</v>
      </c>
      <c r="AA611" s="19" t="s">
        <v>52</v>
      </c>
      <c r="AB611" s="28"/>
    </row>
    <row r="612" spans="1:33" s="29" customFormat="1" ht="15" customHeight="1" x14ac:dyDescent="0.25">
      <c r="A612" s="14">
        <v>3</v>
      </c>
      <c r="B612" s="15">
        <v>45850</v>
      </c>
      <c r="C612" s="15">
        <f>B612+8</f>
        <v>45858</v>
      </c>
      <c r="D612" s="14">
        <v>13024</v>
      </c>
      <c r="E612" s="16" t="s">
        <v>45</v>
      </c>
      <c r="F612" s="17" t="s">
        <v>46</v>
      </c>
      <c r="G612" s="17" t="s">
        <v>47</v>
      </c>
      <c r="H612" s="18" t="s">
        <v>542</v>
      </c>
      <c r="I612" s="19" t="s">
        <v>49</v>
      </c>
      <c r="J612" s="20">
        <v>45799</v>
      </c>
      <c r="K612" s="20">
        <v>45838</v>
      </c>
      <c r="L612" s="21">
        <v>240000</v>
      </c>
      <c r="M612" s="22">
        <f t="shared" ref="M612" si="536">SUM(N612:O612)</f>
        <v>270000</v>
      </c>
      <c r="N612" s="23">
        <v>216000</v>
      </c>
      <c r="O612" s="23">
        <v>54000</v>
      </c>
      <c r="P612" s="24">
        <f t="shared" ref="P612" si="537">L612-N612</f>
        <v>24000</v>
      </c>
      <c r="Q612" s="25">
        <v>54000</v>
      </c>
      <c r="R612" s="26">
        <v>60000</v>
      </c>
      <c r="S612" s="91">
        <f t="shared" si="534"/>
        <v>0.4</v>
      </c>
      <c r="T612" s="91">
        <f t="shared" si="535"/>
        <v>0.9</v>
      </c>
      <c r="U612" s="27" t="s">
        <v>56</v>
      </c>
      <c r="V612" s="19" t="s">
        <v>51</v>
      </c>
      <c r="W612" s="20">
        <v>45817</v>
      </c>
      <c r="X612" s="22"/>
      <c r="Y612" s="19" t="s">
        <v>52</v>
      </c>
      <c r="Z612" s="19" t="s">
        <v>52</v>
      </c>
      <c r="AA612" s="19" t="s">
        <v>52</v>
      </c>
      <c r="AB612" s="42"/>
    </row>
    <row r="613" spans="1:33" s="29" customFormat="1" ht="15" customHeight="1" x14ac:dyDescent="0.25">
      <c r="A613" s="14">
        <v>1</v>
      </c>
      <c r="B613" s="15">
        <v>45850</v>
      </c>
      <c r="C613" s="15">
        <f>B613+8</f>
        <v>45858</v>
      </c>
      <c r="D613" s="14">
        <v>13117</v>
      </c>
      <c r="E613" s="16" t="s">
        <v>609</v>
      </c>
      <c r="F613" s="17" t="s">
        <v>610</v>
      </c>
      <c r="G613" s="17" t="s">
        <v>102</v>
      </c>
      <c r="H613" s="18" t="s">
        <v>133</v>
      </c>
      <c r="I613" s="19" t="s">
        <v>611</v>
      </c>
      <c r="J613" s="20">
        <v>45820</v>
      </c>
      <c r="K613" s="20">
        <v>45833</v>
      </c>
      <c r="L613" s="21">
        <v>25000</v>
      </c>
      <c r="M613" s="22">
        <f t="shared" ref="M613:M619" si="538">SUM(N613:O613)</f>
        <v>26700</v>
      </c>
      <c r="N613" s="23">
        <v>13800</v>
      </c>
      <c r="O613" s="23">
        <v>12900</v>
      </c>
      <c r="P613" s="24">
        <f t="shared" ref="P613:P619" si="539">L613-N613</f>
        <v>11200</v>
      </c>
      <c r="Q613" s="25">
        <v>12900</v>
      </c>
      <c r="R613" s="26">
        <v>15000</v>
      </c>
      <c r="S613" s="91">
        <f t="shared" si="534"/>
        <v>0.7466666666666667</v>
      </c>
      <c r="T613" s="91">
        <f t="shared" si="535"/>
        <v>0.86</v>
      </c>
      <c r="U613" s="27" t="s">
        <v>56</v>
      </c>
      <c r="V613" s="30" t="s">
        <v>68</v>
      </c>
      <c r="W613" s="31" t="s">
        <v>68</v>
      </c>
      <c r="X613" s="22"/>
      <c r="Y613" s="19" t="s">
        <v>52</v>
      </c>
      <c r="Z613" s="19" t="s">
        <v>52</v>
      </c>
      <c r="AA613" s="19" t="s">
        <v>52</v>
      </c>
      <c r="AB613" s="28"/>
    </row>
    <row r="614" spans="1:33" s="29" customFormat="1" ht="15" customHeight="1" x14ac:dyDescent="0.25">
      <c r="A614" s="14">
        <v>7</v>
      </c>
      <c r="B614" s="15">
        <v>45850</v>
      </c>
      <c r="C614" s="15">
        <f>B614+8</f>
        <v>45858</v>
      </c>
      <c r="D614" s="14">
        <v>13027</v>
      </c>
      <c r="E614" s="16" t="s">
        <v>462</v>
      </c>
      <c r="F614" s="40" t="s">
        <v>463</v>
      </c>
      <c r="G614" s="17" t="s">
        <v>75</v>
      </c>
      <c r="H614" s="18" t="s">
        <v>542</v>
      </c>
      <c r="I614" s="19" t="s">
        <v>49</v>
      </c>
      <c r="J614" s="20">
        <v>45799</v>
      </c>
      <c r="K614" s="20">
        <v>45828</v>
      </c>
      <c r="L614" s="21">
        <v>175000</v>
      </c>
      <c r="M614" s="22">
        <f t="shared" si="538"/>
        <v>114000</v>
      </c>
      <c r="N614" s="23">
        <v>0</v>
      </c>
      <c r="O614" s="23">
        <v>114000</v>
      </c>
      <c r="P614" s="24">
        <f t="shared" si="539"/>
        <v>175000</v>
      </c>
      <c r="Q614" s="25">
        <v>114000</v>
      </c>
      <c r="R614" s="26">
        <v>150000</v>
      </c>
      <c r="S614" s="91">
        <f t="shared" si="534"/>
        <v>1.1666666666666667</v>
      </c>
      <c r="T614" s="91">
        <f t="shared" si="535"/>
        <v>0.76</v>
      </c>
      <c r="U614" s="27" t="s">
        <v>193</v>
      </c>
      <c r="V614" s="30" t="s">
        <v>59</v>
      </c>
      <c r="W614" s="31">
        <v>45847</v>
      </c>
      <c r="X614" s="22"/>
      <c r="Y614" s="19" t="s">
        <v>52</v>
      </c>
      <c r="Z614" s="19" t="s">
        <v>52</v>
      </c>
      <c r="AA614" s="19" t="s">
        <v>52</v>
      </c>
      <c r="AB614" s="28"/>
    </row>
    <row r="615" spans="1:33" s="29" customFormat="1" ht="15" customHeight="1" x14ac:dyDescent="0.25">
      <c r="A615" s="14">
        <v>2</v>
      </c>
      <c r="B615" s="15">
        <v>45850</v>
      </c>
      <c r="C615" s="15">
        <f>B615+8</f>
        <v>45858</v>
      </c>
      <c r="D615" s="14">
        <v>13070</v>
      </c>
      <c r="E615" s="16" t="s">
        <v>369</v>
      </c>
      <c r="F615" s="17" t="s">
        <v>598</v>
      </c>
      <c r="G615" s="17" t="s">
        <v>102</v>
      </c>
      <c r="H615" s="18" t="s">
        <v>57</v>
      </c>
      <c r="I615" s="19" t="s">
        <v>58</v>
      </c>
      <c r="J615" s="20">
        <v>45806</v>
      </c>
      <c r="K615" s="20">
        <v>45834</v>
      </c>
      <c r="L615" s="21">
        <v>1000000</v>
      </c>
      <c r="M615" s="22">
        <f t="shared" si="538"/>
        <v>1050000</v>
      </c>
      <c r="N615" s="23">
        <v>847000</v>
      </c>
      <c r="O615" s="23">
        <v>203000</v>
      </c>
      <c r="P615" s="24">
        <f t="shared" si="539"/>
        <v>153000</v>
      </c>
      <c r="Q615" s="25">
        <v>203000</v>
      </c>
      <c r="R615" s="26">
        <v>50000</v>
      </c>
      <c r="S615" s="91">
        <f t="shared" si="534"/>
        <v>3.06</v>
      </c>
      <c r="T615" s="91">
        <f t="shared" si="535"/>
        <v>4.0599999999999996</v>
      </c>
      <c r="U615" s="27" t="s">
        <v>193</v>
      </c>
      <c r="V615" s="19" t="s">
        <v>51</v>
      </c>
      <c r="W615" s="20">
        <v>45822</v>
      </c>
      <c r="X615" s="22"/>
      <c r="Y615" s="19" t="s">
        <v>52</v>
      </c>
      <c r="Z615" s="19" t="s">
        <v>52</v>
      </c>
      <c r="AA615" s="19" t="s">
        <v>52</v>
      </c>
      <c r="AB615" s="28"/>
    </row>
    <row r="616" spans="1:33" s="29" customFormat="1" ht="15" customHeight="1" x14ac:dyDescent="0.25">
      <c r="A616" s="14">
        <v>4</v>
      </c>
      <c r="B616" s="15">
        <v>45850</v>
      </c>
      <c r="C616" s="15">
        <f t="shared" ref="C616" si="540">B616+8</f>
        <v>45858</v>
      </c>
      <c r="D616" s="14">
        <v>13071</v>
      </c>
      <c r="E616" s="16" t="s">
        <v>680</v>
      </c>
      <c r="F616" s="17" t="s">
        <v>681</v>
      </c>
      <c r="G616" s="17" t="s">
        <v>102</v>
      </c>
      <c r="H616" s="18" t="s">
        <v>542</v>
      </c>
      <c r="I616" s="19" t="s">
        <v>104</v>
      </c>
      <c r="J616" s="20">
        <v>45810</v>
      </c>
      <c r="K616" s="20">
        <v>45839</v>
      </c>
      <c r="L616" s="21">
        <v>1000000</v>
      </c>
      <c r="M616" s="22">
        <f t="shared" si="538"/>
        <v>189000</v>
      </c>
      <c r="N616" s="23">
        <v>0</v>
      </c>
      <c r="O616" s="23">
        <v>189000</v>
      </c>
      <c r="P616" s="24">
        <f t="shared" si="539"/>
        <v>1000000</v>
      </c>
      <c r="Q616" s="25">
        <v>189000</v>
      </c>
      <c r="R616" s="26">
        <v>63000</v>
      </c>
      <c r="S616" s="91">
        <f t="shared" si="534"/>
        <v>15.873015873015873</v>
      </c>
      <c r="T616" s="91">
        <f t="shared" si="535"/>
        <v>3</v>
      </c>
      <c r="U616" s="27" t="s">
        <v>193</v>
      </c>
      <c r="V616" s="30" t="s">
        <v>59</v>
      </c>
      <c r="W616" s="31">
        <v>45842</v>
      </c>
      <c r="X616" s="22"/>
      <c r="Y616" s="19" t="s">
        <v>52</v>
      </c>
      <c r="Z616" s="19" t="s">
        <v>52</v>
      </c>
      <c r="AA616" s="19" t="s">
        <v>52</v>
      </c>
      <c r="AB616" s="28"/>
    </row>
    <row r="617" spans="1:33" s="29" customFormat="1" ht="15" customHeight="1" x14ac:dyDescent="0.25">
      <c r="A617" s="14">
        <v>12</v>
      </c>
      <c r="B617" s="15">
        <v>45850</v>
      </c>
      <c r="C617" s="15">
        <f>B617+8</f>
        <v>45858</v>
      </c>
      <c r="D617" s="14">
        <v>13092</v>
      </c>
      <c r="E617" s="16" t="s">
        <v>684</v>
      </c>
      <c r="F617" s="40" t="s">
        <v>685</v>
      </c>
      <c r="G617" s="17" t="s">
        <v>75</v>
      </c>
      <c r="H617" s="18" t="s">
        <v>57</v>
      </c>
      <c r="I617" s="19" t="s">
        <v>94</v>
      </c>
      <c r="J617" s="20">
        <v>45812</v>
      </c>
      <c r="K617" s="20">
        <v>45840</v>
      </c>
      <c r="L617" s="21">
        <v>300000</v>
      </c>
      <c r="M617" s="22">
        <f t="shared" si="538"/>
        <v>294000</v>
      </c>
      <c r="N617" s="23">
        <v>100000</v>
      </c>
      <c r="O617" s="23">
        <v>194000</v>
      </c>
      <c r="P617" s="24">
        <f t="shared" si="539"/>
        <v>200000</v>
      </c>
      <c r="Q617" s="25">
        <v>194000</v>
      </c>
      <c r="R617" s="26">
        <v>100000</v>
      </c>
      <c r="S617" s="91">
        <f t="shared" si="534"/>
        <v>2</v>
      </c>
      <c r="T617" s="91">
        <f t="shared" si="535"/>
        <v>1.94</v>
      </c>
      <c r="U617" s="27" t="s">
        <v>193</v>
      </c>
      <c r="V617" s="19" t="s">
        <v>51</v>
      </c>
      <c r="W617" s="20">
        <v>45842</v>
      </c>
      <c r="X617" s="22"/>
      <c r="Y617" s="19" t="s">
        <v>52</v>
      </c>
      <c r="Z617" s="19" t="s">
        <v>52</v>
      </c>
      <c r="AA617" s="19" t="s">
        <v>52</v>
      </c>
      <c r="AB617" s="28"/>
    </row>
    <row r="618" spans="1:33" s="29" customFormat="1" ht="15" customHeight="1" x14ac:dyDescent="0.25">
      <c r="A618" s="14">
        <v>13</v>
      </c>
      <c r="B618" s="15">
        <v>45850</v>
      </c>
      <c r="C618" s="15">
        <f>B618+8</f>
        <v>45858</v>
      </c>
      <c r="D618" s="14">
        <v>13115</v>
      </c>
      <c r="E618" s="16" t="s">
        <v>482</v>
      </c>
      <c r="F618" s="40" t="s">
        <v>483</v>
      </c>
      <c r="G618" s="17" t="s">
        <v>75</v>
      </c>
      <c r="H618" s="18" t="s">
        <v>57</v>
      </c>
      <c r="I618" s="19" t="s">
        <v>58</v>
      </c>
      <c r="J618" s="20">
        <v>45819</v>
      </c>
      <c r="K618" s="20">
        <v>45846</v>
      </c>
      <c r="L618" s="21">
        <v>1200000</v>
      </c>
      <c r="M618" s="22">
        <f t="shared" si="538"/>
        <v>500000</v>
      </c>
      <c r="N618" s="23">
        <v>0</v>
      </c>
      <c r="O618" s="23">
        <v>500000</v>
      </c>
      <c r="P618" s="24">
        <f t="shared" si="539"/>
        <v>1200000</v>
      </c>
      <c r="Q618" s="25">
        <v>500000</v>
      </c>
      <c r="R618" s="26">
        <v>50000</v>
      </c>
      <c r="S618" s="91">
        <f t="shared" si="534"/>
        <v>24</v>
      </c>
      <c r="T618" s="91">
        <f t="shared" si="535"/>
        <v>10</v>
      </c>
      <c r="U618" s="27" t="s">
        <v>193</v>
      </c>
      <c r="V618" s="19" t="s">
        <v>51</v>
      </c>
      <c r="W618" s="20">
        <v>45842</v>
      </c>
      <c r="X618" s="22"/>
      <c r="Y618" s="19" t="s">
        <v>52</v>
      </c>
      <c r="Z618" s="19" t="s">
        <v>52</v>
      </c>
      <c r="AA618" s="19" t="s">
        <v>52</v>
      </c>
      <c r="AB618" s="28"/>
    </row>
    <row r="619" spans="1:33" s="29" customFormat="1" ht="15" customHeight="1" x14ac:dyDescent="0.25">
      <c r="A619" s="14">
        <v>19</v>
      </c>
      <c r="B619" s="15">
        <v>45850</v>
      </c>
      <c r="C619" s="15">
        <f>B619+8</f>
        <v>45858</v>
      </c>
      <c r="D619" s="14">
        <v>13136</v>
      </c>
      <c r="E619" s="16" t="s">
        <v>432</v>
      </c>
      <c r="F619" s="40" t="s">
        <v>433</v>
      </c>
      <c r="G619" s="17" t="s">
        <v>75</v>
      </c>
      <c r="H619" s="18" t="s">
        <v>113</v>
      </c>
      <c r="I619" s="19" t="s">
        <v>698</v>
      </c>
      <c r="J619" s="20">
        <v>45826</v>
      </c>
      <c r="K619" s="20">
        <v>45877</v>
      </c>
      <c r="L619" s="21">
        <v>200000</v>
      </c>
      <c r="M619" s="22">
        <f t="shared" si="538"/>
        <v>282000</v>
      </c>
      <c r="N619" s="23">
        <v>0</v>
      </c>
      <c r="O619" s="23">
        <v>282000</v>
      </c>
      <c r="P619" s="24">
        <f t="shared" si="539"/>
        <v>200000</v>
      </c>
      <c r="Q619" s="25">
        <v>282000</v>
      </c>
      <c r="R619" s="26">
        <v>144000</v>
      </c>
      <c r="S619" s="91">
        <f t="shared" si="534"/>
        <v>1.3888888888888888</v>
      </c>
      <c r="T619" s="91">
        <f t="shared" si="535"/>
        <v>1.9583333333333333</v>
      </c>
      <c r="U619" s="27" t="s">
        <v>193</v>
      </c>
      <c r="V619" s="30" t="s">
        <v>59</v>
      </c>
      <c r="W619" s="31">
        <v>45853</v>
      </c>
      <c r="X619" s="22"/>
      <c r="Y619" s="19" t="s">
        <v>52</v>
      </c>
      <c r="Z619" s="19" t="s">
        <v>52</v>
      </c>
      <c r="AA619" s="19" t="s">
        <v>52</v>
      </c>
      <c r="AB619" s="28"/>
    </row>
    <row r="620" spans="1:33" s="29" customFormat="1" ht="15" customHeight="1" x14ac:dyDescent="0.25">
      <c r="A620" s="14">
        <v>15</v>
      </c>
      <c r="B620" s="15">
        <v>45850</v>
      </c>
      <c r="C620" s="15">
        <f t="shared" ref="C620" si="541">B620+8</f>
        <v>45858</v>
      </c>
      <c r="D620" s="14">
        <v>13145</v>
      </c>
      <c r="E620" s="16" t="s">
        <v>196</v>
      </c>
      <c r="F620" s="40" t="s">
        <v>197</v>
      </c>
      <c r="G620" s="17" t="s">
        <v>75</v>
      </c>
      <c r="H620" s="18" t="s">
        <v>62</v>
      </c>
      <c r="I620" s="19" t="s">
        <v>63</v>
      </c>
      <c r="J620" s="20">
        <v>45827</v>
      </c>
      <c r="K620" s="20">
        <v>45856</v>
      </c>
      <c r="L620" s="21">
        <v>100000</v>
      </c>
      <c r="M620" s="22">
        <f t="shared" ref="M620" si="542">SUM(N620:O620)</f>
        <v>95000</v>
      </c>
      <c r="N620" s="23">
        <v>50000</v>
      </c>
      <c r="O620" s="23">
        <v>45000</v>
      </c>
      <c r="P620" s="24">
        <f t="shared" ref="P620" si="543">L620-N620</f>
        <v>50000</v>
      </c>
      <c r="Q620" s="25">
        <v>45000</v>
      </c>
      <c r="R620" s="26">
        <v>50000</v>
      </c>
      <c r="S620" s="91">
        <f t="shared" si="534"/>
        <v>1</v>
      </c>
      <c r="T620" s="91">
        <f t="shared" si="535"/>
        <v>0.9</v>
      </c>
      <c r="U620" s="27" t="s">
        <v>193</v>
      </c>
      <c r="V620" s="19" t="s">
        <v>51</v>
      </c>
      <c r="W620" s="20">
        <v>45842</v>
      </c>
      <c r="X620" s="22"/>
      <c r="Y620" s="19" t="s">
        <v>52</v>
      </c>
      <c r="Z620" s="19" t="s">
        <v>52</v>
      </c>
      <c r="AA620" s="19" t="s">
        <v>52</v>
      </c>
      <c r="AB620" s="28"/>
    </row>
    <row r="621" spans="1:33" s="29" customFormat="1" ht="15" customHeight="1" x14ac:dyDescent="0.25">
      <c r="A621" s="14">
        <v>3</v>
      </c>
      <c r="B621" s="15">
        <v>45850</v>
      </c>
      <c r="C621" s="15">
        <f>B621+8</f>
        <v>45858</v>
      </c>
      <c r="D621" s="14">
        <v>12832</v>
      </c>
      <c r="E621" s="16" t="s">
        <v>556</v>
      </c>
      <c r="F621" s="40" t="s">
        <v>474</v>
      </c>
      <c r="G621" s="17" t="s">
        <v>75</v>
      </c>
      <c r="H621" s="18" t="s">
        <v>57</v>
      </c>
      <c r="I621" s="19" t="s">
        <v>58</v>
      </c>
      <c r="J621" s="20">
        <v>45770</v>
      </c>
      <c r="K621" s="20">
        <v>45804</v>
      </c>
      <c r="L621" s="21">
        <v>100000</v>
      </c>
      <c r="M621" s="22">
        <f>SUM(N621:O621)</f>
        <v>27000</v>
      </c>
      <c r="N621" s="23">
        <v>9000</v>
      </c>
      <c r="O621" s="23">
        <v>18000</v>
      </c>
      <c r="P621" s="24">
        <f>L621-N621</f>
        <v>91000</v>
      </c>
      <c r="Q621" s="25">
        <v>18000</v>
      </c>
      <c r="R621" s="26">
        <v>150000</v>
      </c>
      <c r="S621" s="91">
        <f t="shared" si="534"/>
        <v>0.60666666666666669</v>
      </c>
      <c r="T621" s="91">
        <f t="shared" si="535"/>
        <v>0.12</v>
      </c>
      <c r="U621" s="27" t="s">
        <v>193</v>
      </c>
      <c r="V621" s="19" t="s">
        <v>51</v>
      </c>
      <c r="W621" s="20">
        <v>45834</v>
      </c>
      <c r="X621" s="22"/>
      <c r="Y621" s="19" t="s">
        <v>52</v>
      </c>
      <c r="Z621" s="19" t="s">
        <v>52</v>
      </c>
      <c r="AA621" s="19" t="s">
        <v>52</v>
      </c>
      <c r="AB621" s="28"/>
    </row>
    <row r="622" spans="1:33" ht="15" customHeight="1" x14ac:dyDescent="0.25">
      <c r="A622" s="33" t="s">
        <v>71</v>
      </c>
      <c r="B622" s="34"/>
      <c r="C622" s="34"/>
      <c r="D622" s="34"/>
      <c r="E622" s="34"/>
      <c r="F622" s="35"/>
      <c r="G622" s="35"/>
      <c r="H622" s="34"/>
      <c r="I622" s="34"/>
      <c r="J622" s="34"/>
      <c r="K622" s="34"/>
      <c r="L622" s="36"/>
      <c r="M622" s="36"/>
      <c r="N622" s="36"/>
      <c r="O622" s="36"/>
      <c r="P622" s="36"/>
      <c r="Q622" s="36">
        <f>SUM(Q611:Q621)</f>
        <v>1761900</v>
      </c>
      <c r="R622" s="36"/>
      <c r="S622" s="92"/>
      <c r="T622" s="93">
        <f>SUM(T611:T621)</f>
        <v>25.498333333333328</v>
      </c>
      <c r="U622" s="37"/>
      <c r="V622" s="38"/>
      <c r="W622" s="38"/>
      <c r="X622" s="38"/>
      <c r="Y622" s="34"/>
      <c r="Z622" s="34"/>
      <c r="AA622" s="39"/>
      <c r="AB622" s="29" t="s">
        <v>723</v>
      </c>
      <c r="AC622" s="81" t="s">
        <v>724</v>
      </c>
      <c r="AD622" s="83">
        <v>5000</v>
      </c>
      <c r="AF622" s="83">
        <v>0</v>
      </c>
      <c r="AG622" s="83">
        <f>SUM(AD622,AF622)</f>
        <v>5000</v>
      </c>
    </row>
    <row r="623" spans="1:33" s="29" customFormat="1" ht="15" customHeight="1" x14ac:dyDescent="0.25">
      <c r="A623" s="14">
        <v>7</v>
      </c>
      <c r="B623" s="15">
        <v>45853</v>
      </c>
      <c r="C623" s="15">
        <f t="shared" ref="C623:C628" si="544">B623+8</f>
        <v>45861</v>
      </c>
      <c r="D623" s="14">
        <v>13033</v>
      </c>
      <c r="E623" s="16" t="s">
        <v>154</v>
      </c>
      <c r="F623" s="17" t="s">
        <v>155</v>
      </c>
      <c r="G623" s="17" t="s">
        <v>132</v>
      </c>
      <c r="H623" s="18" t="s">
        <v>54</v>
      </c>
      <c r="I623" s="19" t="s">
        <v>135</v>
      </c>
      <c r="J623" s="20">
        <v>45800</v>
      </c>
      <c r="K623" s="20">
        <v>45845</v>
      </c>
      <c r="L623" s="21">
        <v>60000</v>
      </c>
      <c r="M623" s="22">
        <f>SUM(N623:O623)</f>
        <v>120000</v>
      </c>
      <c r="N623" s="23">
        <v>0</v>
      </c>
      <c r="O623" s="23">
        <v>120000</v>
      </c>
      <c r="P623" s="24">
        <f t="shared" ref="P623:P628" si="545">L623-N623</f>
        <v>60000</v>
      </c>
      <c r="Q623" s="25">
        <v>63700</v>
      </c>
      <c r="R623" s="26">
        <v>57330</v>
      </c>
      <c r="S623" s="91">
        <f t="shared" ref="S623:S631" si="546">IF(P623&gt;0,P623/$R623,0)</f>
        <v>1.0465724751439036</v>
      </c>
      <c r="T623" s="91">
        <f t="shared" ref="T623:T631" si="547">IF(Q623&gt;0,Q623/$R623,0)</f>
        <v>1.1111111111111112</v>
      </c>
      <c r="U623" s="27" t="s">
        <v>56</v>
      </c>
      <c r="V623" s="30" t="s">
        <v>59</v>
      </c>
      <c r="W623" s="31">
        <v>45840</v>
      </c>
      <c r="X623" s="22"/>
      <c r="Y623" s="19" t="s">
        <v>52</v>
      </c>
      <c r="Z623" s="19" t="s">
        <v>52</v>
      </c>
      <c r="AA623" s="19" t="s">
        <v>52</v>
      </c>
      <c r="AB623" s="28"/>
    </row>
    <row r="624" spans="1:33" s="29" customFormat="1" ht="15" customHeight="1" x14ac:dyDescent="0.25">
      <c r="A624" s="14">
        <v>8</v>
      </c>
      <c r="B624" s="15">
        <v>45853</v>
      </c>
      <c r="C624" s="15">
        <f t="shared" si="544"/>
        <v>45861</v>
      </c>
      <c r="D624" s="14">
        <v>13038</v>
      </c>
      <c r="E624" s="16" t="s">
        <v>134</v>
      </c>
      <c r="F624" s="17" t="s">
        <v>667</v>
      </c>
      <c r="G624" s="17" t="s">
        <v>132</v>
      </c>
      <c r="H624" s="18" t="s">
        <v>54</v>
      </c>
      <c r="I624" s="19" t="s">
        <v>135</v>
      </c>
      <c r="J624" s="20">
        <v>45800</v>
      </c>
      <c r="K624" s="20">
        <v>45846</v>
      </c>
      <c r="L624" s="21">
        <v>116000</v>
      </c>
      <c r="M624" s="22">
        <f>SUM(N624:O624)</f>
        <v>118980</v>
      </c>
      <c r="N624" s="23">
        <v>0</v>
      </c>
      <c r="O624" s="23">
        <v>118980</v>
      </c>
      <c r="P624" s="24">
        <f t="shared" si="545"/>
        <v>116000</v>
      </c>
      <c r="Q624" s="25">
        <v>118970</v>
      </c>
      <c r="R624" s="26">
        <v>69948</v>
      </c>
      <c r="S624" s="91">
        <f t="shared" si="546"/>
        <v>1.6583747927031509</v>
      </c>
      <c r="T624" s="91">
        <f t="shared" si="547"/>
        <v>1.7008349059301195</v>
      </c>
      <c r="U624" s="27" t="s">
        <v>56</v>
      </c>
      <c r="V624" s="30" t="s">
        <v>59</v>
      </c>
      <c r="W624" s="31">
        <v>45840</v>
      </c>
      <c r="X624" s="22"/>
      <c r="Y624" s="19" t="s">
        <v>52</v>
      </c>
      <c r="Z624" s="19" t="s">
        <v>52</v>
      </c>
      <c r="AA624" s="19" t="s">
        <v>52</v>
      </c>
      <c r="AB624" s="28"/>
    </row>
    <row r="625" spans="1:33" s="29" customFormat="1" ht="15" customHeight="1" x14ac:dyDescent="0.25">
      <c r="A625" s="14">
        <v>9</v>
      </c>
      <c r="B625" s="15">
        <v>45853</v>
      </c>
      <c r="C625" s="15">
        <f t="shared" si="544"/>
        <v>45861</v>
      </c>
      <c r="D625" s="14">
        <v>13040</v>
      </c>
      <c r="E625" s="16" t="s">
        <v>220</v>
      </c>
      <c r="F625" s="17" t="s">
        <v>221</v>
      </c>
      <c r="G625" s="17" t="s">
        <v>132</v>
      </c>
      <c r="H625" s="18" t="s">
        <v>54</v>
      </c>
      <c r="I625" s="19" t="s">
        <v>135</v>
      </c>
      <c r="J625" s="20">
        <v>45800</v>
      </c>
      <c r="K625" s="20">
        <v>45847</v>
      </c>
      <c r="L625" s="21">
        <v>260000</v>
      </c>
      <c r="M625" s="22">
        <f t="shared" ref="M625" si="548">SUM(N625:O625)</f>
        <v>268590</v>
      </c>
      <c r="N625" s="23">
        <v>0</v>
      </c>
      <c r="O625" s="23">
        <v>268590</v>
      </c>
      <c r="P625" s="24">
        <f t="shared" si="545"/>
        <v>260000</v>
      </c>
      <c r="Q625" s="25">
        <v>168580</v>
      </c>
      <c r="R625" s="26">
        <v>117000</v>
      </c>
      <c r="S625" s="91">
        <f t="shared" si="546"/>
        <v>2.2222222222222223</v>
      </c>
      <c r="T625" s="91">
        <f t="shared" si="547"/>
        <v>1.4408547008547008</v>
      </c>
      <c r="U625" s="27" t="s">
        <v>56</v>
      </c>
      <c r="V625" s="30" t="s">
        <v>59</v>
      </c>
      <c r="W625" s="31">
        <v>45840</v>
      </c>
      <c r="X625" s="22"/>
      <c r="Y625" s="19" t="s">
        <v>52</v>
      </c>
      <c r="Z625" s="19" t="s">
        <v>52</v>
      </c>
      <c r="AA625" s="19" t="s">
        <v>52</v>
      </c>
      <c r="AB625" s="28"/>
    </row>
    <row r="626" spans="1:33" s="29" customFormat="1" ht="15" customHeight="1" x14ac:dyDescent="0.25">
      <c r="A626" s="14">
        <v>5</v>
      </c>
      <c r="B626" s="15">
        <v>45853</v>
      </c>
      <c r="C626" s="15">
        <f t="shared" si="544"/>
        <v>45861</v>
      </c>
      <c r="D626" s="14">
        <v>13031</v>
      </c>
      <c r="E626" s="16" t="s">
        <v>147</v>
      </c>
      <c r="F626" s="17" t="s">
        <v>260</v>
      </c>
      <c r="G626" s="17" t="s">
        <v>132</v>
      </c>
      <c r="H626" s="18" t="s">
        <v>54</v>
      </c>
      <c r="I626" s="19" t="s">
        <v>135</v>
      </c>
      <c r="J626" s="20">
        <v>45800</v>
      </c>
      <c r="K626" s="20">
        <v>45845</v>
      </c>
      <c r="L626" s="21">
        <v>60000</v>
      </c>
      <c r="M626" s="22">
        <f>SUM(N626:O626)</f>
        <v>120000</v>
      </c>
      <c r="N626" s="23">
        <v>0</v>
      </c>
      <c r="O626" s="23">
        <v>120000</v>
      </c>
      <c r="P626" s="24">
        <f t="shared" si="545"/>
        <v>60000</v>
      </c>
      <c r="Q626" s="25">
        <v>62400</v>
      </c>
      <c r="R626" s="26">
        <v>57330</v>
      </c>
      <c r="S626" s="91">
        <f t="shared" si="546"/>
        <v>1.0465724751439036</v>
      </c>
      <c r="T626" s="91">
        <f t="shared" si="547"/>
        <v>1.08843537414966</v>
      </c>
      <c r="U626" s="27" t="s">
        <v>56</v>
      </c>
      <c r="V626" s="30" t="s">
        <v>59</v>
      </c>
      <c r="W626" s="31">
        <v>45840</v>
      </c>
      <c r="X626" s="22"/>
      <c r="Y626" s="19" t="s">
        <v>52</v>
      </c>
      <c r="Z626" s="19" t="s">
        <v>52</v>
      </c>
      <c r="AA626" s="19" t="s">
        <v>52</v>
      </c>
      <c r="AB626" s="28"/>
    </row>
    <row r="627" spans="1:33" s="29" customFormat="1" ht="15" customHeight="1" x14ac:dyDescent="0.25">
      <c r="A627" s="14">
        <v>4</v>
      </c>
      <c r="B627" s="15">
        <v>45853</v>
      </c>
      <c r="C627" s="15">
        <f t="shared" si="544"/>
        <v>45861</v>
      </c>
      <c r="D627" s="14">
        <v>13030</v>
      </c>
      <c r="E627" s="16" t="s">
        <v>258</v>
      </c>
      <c r="F627" s="17" t="s">
        <v>259</v>
      </c>
      <c r="G627" s="17" t="s">
        <v>132</v>
      </c>
      <c r="H627" s="18" t="s">
        <v>54</v>
      </c>
      <c r="I627" s="19" t="s">
        <v>135</v>
      </c>
      <c r="J627" s="20">
        <v>45800</v>
      </c>
      <c r="K627" s="20">
        <v>45845</v>
      </c>
      <c r="L627" s="21">
        <v>25000</v>
      </c>
      <c r="M627" s="22">
        <f>SUM(N627:O627)</f>
        <v>25000</v>
      </c>
      <c r="N627" s="23">
        <v>0</v>
      </c>
      <c r="O627" s="23">
        <v>25000</v>
      </c>
      <c r="P627" s="24">
        <f t="shared" si="545"/>
        <v>25000</v>
      </c>
      <c r="Q627" s="25">
        <v>22290</v>
      </c>
      <c r="R627" s="26">
        <v>57330</v>
      </c>
      <c r="S627" s="91">
        <f t="shared" si="546"/>
        <v>0.43607186464329323</v>
      </c>
      <c r="T627" s="91">
        <f t="shared" si="547"/>
        <v>0.38880167451596021</v>
      </c>
      <c r="U627" s="27" t="s">
        <v>56</v>
      </c>
      <c r="V627" s="30" t="s">
        <v>59</v>
      </c>
      <c r="W627" s="31">
        <v>45840</v>
      </c>
      <c r="X627" s="22"/>
      <c r="Y627" s="19" t="s">
        <v>52</v>
      </c>
      <c r="Z627" s="19" t="s">
        <v>52</v>
      </c>
      <c r="AA627" s="19" t="s">
        <v>52</v>
      </c>
      <c r="AB627" s="28"/>
    </row>
    <row r="628" spans="1:33" s="29" customFormat="1" ht="15" customHeight="1" x14ac:dyDescent="0.25">
      <c r="A628" s="14">
        <v>6</v>
      </c>
      <c r="B628" s="15">
        <v>45853</v>
      </c>
      <c r="C628" s="15">
        <f t="shared" si="544"/>
        <v>45861</v>
      </c>
      <c r="D628" s="14">
        <v>13032</v>
      </c>
      <c r="E628" s="16" t="s">
        <v>245</v>
      </c>
      <c r="F628" s="17" t="s">
        <v>246</v>
      </c>
      <c r="G628" s="17" t="s">
        <v>132</v>
      </c>
      <c r="H628" s="18" t="s">
        <v>54</v>
      </c>
      <c r="I628" s="19" t="s">
        <v>135</v>
      </c>
      <c r="J628" s="20">
        <v>45800</v>
      </c>
      <c r="K628" s="20">
        <v>45845</v>
      </c>
      <c r="L628" s="21">
        <v>30000</v>
      </c>
      <c r="M628" s="22">
        <f>SUM(N628:O628)</f>
        <v>30000</v>
      </c>
      <c r="N628" s="23">
        <v>0</v>
      </c>
      <c r="O628" s="23">
        <v>30000</v>
      </c>
      <c r="P628" s="24">
        <f t="shared" si="545"/>
        <v>30000</v>
      </c>
      <c r="Q628" s="25">
        <v>28160</v>
      </c>
      <c r="R628" s="26">
        <v>53442</v>
      </c>
      <c r="S628" s="91">
        <f t="shared" si="546"/>
        <v>0.56135623666778933</v>
      </c>
      <c r="T628" s="91">
        <f t="shared" si="547"/>
        <v>0.52692638748549825</v>
      </c>
      <c r="U628" s="27" t="s">
        <v>56</v>
      </c>
      <c r="V628" s="30" t="s">
        <v>59</v>
      </c>
      <c r="W628" s="31">
        <v>45840</v>
      </c>
      <c r="X628" s="22"/>
      <c r="Y628" s="19" t="s">
        <v>52</v>
      </c>
      <c r="Z628" s="19" t="s">
        <v>52</v>
      </c>
      <c r="AA628" s="19" t="s">
        <v>52</v>
      </c>
      <c r="AB628" s="28"/>
    </row>
    <row r="629" spans="1:33" s="29" customFormat="1" ht="15" customHeight="1" x14ac:dyDescent="0.25">
      <c r="A629" s="14">
        <v>7</v>
      </c>
      <c r="B629" s="15">
        <v>45853</v>
      </c>
      <c r="C629" s="15">
        <f t="shared" ref="C629:C630" si="549">B629+8</f>
        <v>45861</v>
      </c>
      <c r="D629" s="14">
        <v>13019</v>
      </c>
      <c r="E629" s="16" t="s">
        <v>87</v>
      </c>
      <c r="F629" s="40" t="s">
        <v>88</v>
      </c>
      <c r="G629" s="17" t="s">
        <v>75</v>
      </c>
      <c r="H629" s="18" t="s">
        <v>542</v>
      </c>
      <c r="I629" s="19" t="s">
        <v>49</v>
      </c>
      <c r="J629" s="20">
        <v>45799</v>
      </c>
      <c r="K629" s="20">
        <v>45831</v>
      </c>
      <c r="L629" s="21">
        <v>1300000</v>
      </c>
      <c r="M629" s="22">
        <f t="shared" ref="M629:M630" si="550">SUM(N629:O629)</f>
        <v>600000</v>
      </c>
      <c r="N629" s="23">
        <v>450000</v>
      </c>
      <c r="O629" s="23">
        <v>150000</v>
      </c>
      <c r="P629" s="24">
        <f t="shared" ref="P629:P630" si="551">L629-N629</f>
        <v>850000</v>
      </c>
      <c r="Q629" s="25">
        <v>150000</v>
      </c>
      <c r="R629" s="26">
        <v>150000</v>
      </c>
      <c r="S629" s="91">
        <f t="shared" si="546"/>
        <v>5.666666666666667</v>
      </c>
      <c r="T629" s="91">
        <f t="shared" si="547"/>
        <v>1</v>
      </c>
      <c r="U629" s="27" t="s">
        <v>193</v>
      </c>
      <c r="V629" s="19" t="s">
        <v>51</v>
      </c>
      <c r="W629" s="20">
        <v>45821</v>
      </c>
      <c r="X629" s="22"/>
      <c r="Y629" s="19" t="s">
        <v>52</v>
      </c>
      <c r="Z629" s="19" t="s">
        <v>52</v>
      </c>
      <c r="AA629" s="19" t="s">
        <v>52</v>
      </c>
      <c r="AB629" s="28"/>
    </row>
    <row r="630" spans="1:33" s="29" customFormat="1" ht="15" customHeight="1" x14ac:dyDescent="0.25">
      <c r="A630" s="14">
        <v>7</v>
      </c>
      <c r="B630" s="15">
        <v>45853</v>
      </c>
      <c r="C630" s="15">
        <f t="shared" si="549"/>
        <v>45861</v>
      </c>
      <c r="D630" s="14">
        <v>13073</v>
      </c>
      <c r="E630" s="16" t="s">
        <v>297</v>
      </c>
      <c r="F630" s="17" t="s">
        <v>298</v>
      </c>
      <c r="G630" s="17" t="s">
        <v>102</v>
      </c>
      <c r="H630" s="18" t="s">
        <v>57</v>
      </c>
      <c r="I630" s="19" t="s">
        <v>94</v>
      </c>
      <c r="J630" s="20">
        <v>45825</v>
      </c>
      <c r="K630" s="20">
        <v>45853</v>
      </c>
      <c r="L630" s="21">
        <v>800000</v>
      </c>
      <c r="M630" s="22">
        <f t="shared" si="550"/>
        <v>690000</v>
      </c>
      <c r="N630" s="23">
        <v>180000</v>
      </c>
      <c r="O630" s="23">
        <v>510000</v>
      </c>
      <c r="P630" s="24">
        <f t="shared" si="551"/>
        <v>620000</v>
      </c>
      <c r="Q630" s="25">
        <v>510000</v>
      </c>
      <c r="R630" s="26">
        <v>30000</v>
      </c>
      <c r="S630" s="91">
        <f t="shared" si="546"/>
        <v>20.666666666666668</v>
      </c>
      <c r="T630" s="91">
        <f t="shared" si="547"/>
        <v>17</v>
      </c>
      <c r="U630" s="27" t="s">
        <v>193</v>
      </c>
      <c r="V630" s="30" t="s">
        <v>59</v>
      </c>
      <c r="W630" s="31">
        <v>45845</v>
      </c>
      <c r="X630" s="22"/>
      <c r="Y630" s="19" t="s">
        <v>52</v>
      </c>
      <c r="Z630" s="19" t="s">
        <v>52</v>
      </c>
      <c r="AA630" s="19" t="s">
        <v>52</v>
      </c>
      <c r="AB630" s="28"/>
    </row>
    <row r="631" spans="1:33" s="29" customFormat="1" ht="15" customHeight="1" x14ac:dyDescent="0.25">
      <c r="A631" s="14">
        <v>6</v>
      </c>
      <c r="B631" s="15">
        <v>45853</v>
      </c>
      <c r="C631" s="15">
        <f>B631+8</f>
        <v>45861</v>
      </c>
      <c r="D631" s="14">
        <v>13132</v>
      </c>
      <c r="E631" s="16" t="s">
        <v>244</v>
      </c>
      <c r="F631" s="17" t="s">
        <v>243</v>
      </c>
      <c r="G631" s="17" t="s">
        <v>102</v>
      </c>
      <c r="H631" s="18" t="s">
        <v>542</v>
      </c>
      <c r="I631" s="19" t="s">
        <v>63</v>
      </c>
      <c r="J631" s="20">
        <v>45826</v>
      </c>
      <c r="K631" s="20">
        <v>45853</v>
      </c>
      <c r="L631" s="21">
        <v>504000</v>
      </c>
      <c r="M631" s="22">
        <f>SUM(N631:O631)</f>
        <v>84000</v>
      </c>
      <c r="N631" s="23">
        <v>0</v>
      </c>
      <c r="O631" s="23">
        <v>84000</v>
      </c>
      <c r="P631" s="24">
        <f>L631-N631</f>
        <v>504000</v>
      </c>
      <c r="Q631" s="25">
        <v>84000</v>
      </c>
      <c r="R631" s="26">
        <v>84000</v>
      </c>
      <c r="S631" s="91">
        <f t="shared" si="546"/>
        <v>6</v>
      </c>
      <c r="T631" s="91">
        <f t="shared" si="547"/>
        <v>1</v>
      </c>
      <c r="U631" s="27" t="s">
        <v>193</v>
      </c>
      <c r="V631" s="30" t="s">
        <v>59</v>
      </c>
      <c r="W631" s="31">
        <v>45845</v>
      </c>
      <c r="X631" s="22"/>
      <c r="Y631" s="19" t="s">
        <v>52</v>
      </c>
      <c r="Z631" s="19" t="s">
        <v>52</v>
      </c>
      <c r="AA631" s="19" t="s">
        <v>52</v>
      </c>
      <c r="AB631" s="28"/>
    </row>
    <row r="632" spans="1:33" ht="15" customHeight="1" x14ac:dyDescent="0.25">
      <c r="A632" s="33" t="s">
        <v>71</v>
      </c>
      <c r="B632" s="34"/>
      <c r="C632" s="34"/>
      <c r="D632" s="34"/>
      <c r="E632" s="34"/>
      <c r="F632" s="35"/>
      <c r="G632" s="35"/>
      <c r="H632" s="34"/>
      <c r="I632" s="34"/>
      <c r="J632" s="34"/>
      <c r="K632" s="34"/>
      <c r="L632" s="36"/>
      <c r="M632" s="36"/>
      <c r="N632" s="36"/>
      <c r="O632" s="36"/>
      <c r="P632" s="36"/>
      <c r="Q632" s="36">
        <f>SUM(Q623:Q631)</f>
        <v>1208100</v>
      </c>
      <c r="R632" s="36"/>
      <c r="S632" s="92"/>
      <c r="T632" s="93">
        <f>SUM(T623:T631)</f>
        <v>25.256964154047051</v>
      </c>
      <c r="U632" s="37"/>
      <c r="V632" s="38"/>
      <c r="W632" s="38"/>
      <c r="X632" s="38"/>
      <c r="Y632" s="34"/>
      <c r="Z632" s="34"/>
      <c r="AA632" s="39"/>
      <c r="AB632" s="29" t="s">
        <v>725</v>
      </c>
      <c r="AC632" s="81" t="s">
        <v>733</v>
      </c>
      <c r="AD632" s="83">
        <v>5000</v>
      </c>
      <c r="AF632" s="83">
        <v>0</v>
      </c>
      <c r="AG632" s="83">
        <f>SUM(AD632,AF632)</f>
        <v>5000</v>
      </c>
    </row>
    <row r="633" spans="1:33" s="29" customFormat="1" ht="15" customHeight="1" x14ac:dyDescent="0.25">
      <c r="A633" s="14">
        <v>1</v>
      </c>
      <c r="B633" s="15">
        <v>45857</v>
      </c>
      <c r="C633" s="15">
        <f t="shared" ref="C633:C641" si="552">B633+8</f>
        <v>45865</v>
      </c>
      <c r="D633" s="14">
        <v>12719</v>
      </c>
      <c r="E633" s="16" t="s">
        <v>548</v>
      </c>
      <c r="F633" s="17" t="s">
        <v>549</v>
      </c>
      <c r="G633" s="17" t="s">
        <v>132</v>
      </c>
      <c r="H633" s="18" t="s">
        <v>78</v>
      </c>
      <c r="I633" s="19" t="s">
        <v>79</v>
      </c>
      <c r="J633" s="20">
        <v>45737</v>
      </c>
      <c r="K633" s="20">
        <v>45778</v>
      </c>
      <c r="L633" s="21">
        <v>270000</v>
      </c>
      <c r="M633" s="22">
        <f t="shared" ref="M633:M644" si="553">SUM(N633:O633)</f>
        <v>180000</v>
      </c>
      <c r="N633" s="23">
        <v>60000</v>
      </c>
      <c r="O633" s="23">
        <v>120000</v>
      </c>
      <c r="P633" s="24">
        <f>L633-N633</f>
        <v>210000</v>
      </c>
      <c r="Q633" s="25">
        <v>120000</v>
      </c>
      <c r="R633" s="26">
        <v>270000</v>
      </c>
      <c r="S633" s="91">
        <f t="shared" ref="S633:S644" si="554">IF(P633&gt;0,P633/$R633,0)</f>
        <v>0.77777777777777779</v>
      </c>
      <c r="T633" s="91">
        <f t="shared" ref="T633:T644" si="555">IF(Q633&gt;0,Q633/$R633,0)</f>
        <v>0.44444444444444442</v>
      </c>
      <c r="U633" s="27" t="s">
        <v>56</v>
      </c>
      <c r="V633" s="19" t="s">
        <v>51</v>
      </c>
      <c r="W633" s="20">
        <v>45809</v>
      </c>
      <c r="X633" s="22"/>
      <c r="Y633" s="19" t="s">
        <v>52</v>
      </c>
      <c r="Z633" s="19" t="s">
        <v>52</v>
      </c>
      <c r="AA633" s="19" t="s">
        <v>52</v>
      </c>
      <c r="AB633" s="28"/>
    </row>
    <row r="634" spans="1:33" s="29" customFormat="1" ht="15" customHeight="1" x14ac:dyDescent="0.25">
      <c r="A634" s="14">
        <v>3</v>
      </c>
      <c r="B634" s="15">
        <v>45857</v>
      </c>
      <c r="C634" s="15">
        <f t="shared" si="552"/>
        <v>45865</v>
      </c>
      <c r="D634" s="14">
        <v>12908</v>
      </c>
      <c r="E634" s="16" t="s">
        <v>324</v>
      </c>
      <c r="F634" s="17" t="s">
        <v>325</v>
      </c>
      <c r="G634" s="17" t="s">
        <v>132</v>
      </c>
      <c r="H634" s="18" t="s">
        <v>162</v>
      </c>
      <c r="I634" s="19" t="s">
        <v>198</v>
      </c>
      <c r="J634" s="20">
        <v>45776</v>
      </c>
      <c r="K634" s="20">
        <v>45838</v>
      </c>
      <c r="L634" s="21">
        <v>1800000</v>
      </c>
      <c r="M634" s="22">
        <f t="shared" si="553"/>
        <v>216000</v>
      </c>
      <c r="N634" s="23">
        <v>0</v>
      </c>
      <c r="O634" s="23">
        <v>216000</v>
      </c>
      <c r="P634" s="24">
        <f>L634-N634</f>
        <v>1800000</v>
      </c>
      <c r="Q634" s="25">
        <v>528000</v>
      </c>
      <c r="R634" s="26">
        <v>324000</v>
      </c>
      <c r="S634" s="91">
        <f t="shared" si="554"/>
        <v>5.5555555555555554</v>
      </c>
      <c r="T634" s="91">
        <f t="shared" si="555"/>
        <v>1.6296296296296295</v>
      </c>
      <c r="U634" s="27" t="s">
        <v>56</v>
      </c>
      <c r="V634" s="19" t="s">
        <v>51</v>
      </c>
      <c r="W634" s="20">
        <v>45845</v>
      </c>
      <c r="X634" s="22"/>
      <c r="Y634" s="19" t="s">
        <v>52</v>
      </c>
      <c r="Z634" s="19" t="s">
        <v>52</v>
      </c>
      <c r="AA634" s="19" t="s">
        <v>52</v>
      </c>
      <c r="AB634" s="28"/>
    </row>
    <row r="635" spans="1:33" s="29" customFormat="1" ht="15" customHeight="1" x14ac:dyDescent="0.25">
      <c r="A635" s="14">
        <v>12</v>
      </c>
      <c r="B635" s="15">
        <v>45857</v>
      </c>
      <c r="C635" s="15">
        <f t="shared" si="552"/>
        <v>45865</v>
      </c>
      <c r="D635" s="14">
        <v>13083</v>
      </c>
      <c r="E635" s="16" t="s">
        <v>163</v>
      </c>
      <c r="F635" s="17" t="s">
        <v>164</v>
      </c>
      <c r="G635" s="17" t="s">
        <v>132</v>
      </c>
      <c r="H635" s="18" t="s">
        <v>162</v>
      </c>
      <c r="I635" s="19" t="s">
        <v>135</v>
      </c>
      <c r="J635" s="20">
        <v>45811</v>
      </c>
      <c r="K635" s="20">
        <v>45884</v>
      </c>
      <c r="L635" s="21">
        <v>30000</v>
      </c>
      <c r="M635" s="22">
        <f t="shared" si="553"/>
        <v>34970</v>
      </c>
      <c r="N635" s="23">
        <v>0</v>
      </c>
      <c r="O635" s="23">
        <v>34970</v>
      </c>
      <c r="P635" s="24">
        <f>L635-N635</f>
        <v>30000</v>
      </c>
      <c r="Q635" s="25">
        <v>34970</v>
      </c>
      <c r="R635" s="26">
        <v>69948</v>
      </c>
      <c r="S635" s="91">
        <f t="shared" si="554"/>
        <v>0.42889003259564246</v>
      </c>
      <c r="T635" s="91">
        <f t="shared" si="555"/>
        <v>0.4999428146623206</v>
      </c>
      <c r="U635" s="27" t="s">
        <v>56</v>
      </c>
      <c r="V635" s="30" t="s">
        <v>59</v>
      </c>
      <c r="W635" s="31">
        <v>45854</v>
      </c>
      <c r="X635" s="22"/>
      <c r="Y635" s="19" t="s">
        <v>52</v>
      </c>
      <c r="Z635" s="19" t="s">
        <v>52</v>
      </c>
      <c r="AA635" s="19" t="s">
        <v>52</v>
      </c>
      <c r="AB635" s="28"/>
    </row>
    <row r="636" spans="1:33" s="29" customFormat="1" ht="15" customHeight="1" x14ac:dyDescent="0.25">
      <c r="A636" s="14">
        <v>10</v>
      </c>
      <c r="B636" s="15">
        <v>45857</v>
      </c>
      <c r="C636" s="15">
        <f t="shared" si="552"/>
        <v>45865</v>
      </c>
      <c r="D636" s="14">
        <v>13091</v>
      </c>
      <c r="E636" s="16" t="s">
        <v>497</v>
      </c>
      <c r="F636" s="40" t="s">
        <v>498</v>
      </c>
      <c r="G636" s="17" t="s">
        <v>75</v>
      </c>
      <c r="H636" s="18" t="s">
        <v>133</v>
      </c>
      <c r="I636" s="19" t="s">
        <v>198</v>
      </c>
      <c r="J636" s="20">
        <v>45812</v>
      </c>
      <c r="K636" s="20">
        <v>45859</v>
      </c>
      <c r="L636" s="21">
        <v>60000</v>
      </c>
      <c r="M636" s="22">
        <f t="shared" si="553"/>
        <v>62000</v>
      </c>
      <c r="N636" s="23">
        <v>0</v>
      </c>
      <c r="O636" s="23">
        <v>62000</v>
      </c>
      <c r="P636" s="24">
        <f>L636-N636</f>
        <v>60000</v>
      </c>
      <c r="Q636" s="25">
        <v>62000</v>
      </c>
      <c r="R636" s="26">
        <v>60000</v>
      </c>
      <c r="S636" s="91">
        <f t="shared" si="554"/>
        <v>1</v>
      </c>
      <c r="T636" s="91">
        <f t="shared" si="555"/>
        <v>1.0333333333333334</v>
      </c>
      <c r="U636" s="27" t="s">
        <v>56</v>
      </c>
      <c r="V636" s="30" t="s">
        <v>59</v>
      </c>
      <c r="W636" s="31">
        <v>45854</v>
      </c>
      <c r="X636" s="22"/>
      <c r="Y636" s="19" t="s">
        <v>52</v>
      </c>
      <c r="Z636" s="19" t="s">
        <v>52</v>
      </c>
      <c r="AA636" s="19" t="s">
        <v>52</v>
      </c>
      <c r="AB636" s="28"/>
    </row>
    <row r="637" spans="1:33" s="29" customFormat="1" ht="15" customHeight="1" x14ac:dyDescent="0.25">
      <c r="A637" s="14">
        <v>9</v>
      </c>
      <c r="B637" s="15">
        <v>45857</v>
      </c>
      <c r="C637" s="15">
        <f t="shared" si="552"/>
        <v>45865</v>
      </c>
      <c r="D637" s="14">
        <v>13097</v>
      </c>
      <c r="E637" s="16" t="s">
        <v>430</v>
      </c>
      <c r="F637" s="40" t="s">
        <v>431</v>
      </c>
      <c r="G637" s="17" t="s">
        <v>75</v>
      </c>
      <c r="H637" s="18" t="s">
        <v>542</v>
      </c>
      <c r="I637" s="19" t="s">
        <v>70</v>
      </c>
      <c r="J637" s="20">
        <v>45814</v>
      </c>
      <c r="K637" s="20">
        <v>45848</v>
      </c>
      <c r="L637" s="21">
        <v>2000000</v>
      </c>
      <c r="M637" s="22">
        <f t="shared" si="553"/>
        <v>1764000</v>
      </c>
      <c r="N637" s="23">
        <v>1581000</v>
      </c>
      <c r="O637" s="23">
        <v>183000</v>
      </c>
      <c r="P637" s="24">
        <f>L637-N637</f>
        <v>419000</v>
      </c>
      <c r="Q637" s="25">
        <v>183000</v>
      </c>
      <c r="R637" s="26">
        <v>150000</v>
      </c>
      <c r="S637" s="91">
        <f t="shared" si="554"/>
        <v>2.7933333333333334</v>
      </c>
      <c r="T637" s="91">
        <f t="shared" si="555"/>
        <v>1.22</v>
      </c>
      <c r="U637" s="27" t="s">
        <v>56</v>
      </c>
      <c r="V637" s="19" t="s">
        <v>51</v>
      </c>
      <c r="W637" s="20">
        <v>45842</v>
      </c>
      <c r="X637" s="22"/>
      <c r="Y637" s="19" t="s">
        <v>52</v>
      </c>
      <c r="Z637" s="19" t="s">
        <v>52</v>
      </c>
      <c r="AA637" s="19" t="s">
        <v>52</v>
      </c>
      <c r="AB637" s="28"/>
    </row>
    <row r="638" spans="1:33" s="29" customFormat="1" ht="15" customHeight="1" x14ac:dyDescent="0.25">
      <c r="A638" s="14">
        <v>4</v>
      </c>
      <c r="B638" s="15">
        <v>45857</v>
      </c>
      <c r="C638" s="15">
        <f t="shared" si="552"/>
        <v>45865</v>
      </c>
      <c r="D638" s="14">
        <v>13120</v>
      </c>
      <c r="E638" s="16" t="s">
        <v>310</v>
      </c>
      <c r="F638" s="17" t="s">
        <v>311</v>
      </c>
      <c r="G638" s="17" t="s">
        <v>132</v>
      </c>
      <c r="H638" s="18" t="s">
        <v>133</v>
      </c>
      <c r="I638" s="19" t="s">
        <v>198</v>
      </c>
      <c r="J638" s="20">
        <v>45826</v>
      </c>
      <c r="K638" s="20">
        <v>45854</v>
      </c>
      <c r="L638" s="21">
        <v>250000</v>
      </c>
      <c r="M638" s="22">
        <f t="shared" si="553"/>
        <v>249395</v>
      </c>
      <c r="N638" s="23">
        <v>0</v>
      </c>
      <c r="O638" s="23">
        <v>249395</v>
      </c>
      <c r="P638" s="24">
        <f t="shared" ref="P638" si="556">L638-N638</f>
        <v>250000</v>
      </c>
      <c r="Q638" s="25">
        <v>249400</v>
      </c>
      <c r="R638" s="26">
        <v>160000</v>
      </c>
      <c r="S638" s="91">
        <f t="shared" si="554"/>
        <v>1.5625</v>
      </c>
      <c r="T638" s="91">
        <f t="shared" si="555"/>
        <v>1.5587500000000001</v>
      </c>
      <c r="U638" s="27" t="s">
        <v>56</v>
      </c>
      <c r="V638" s="19" t="s">
        <v>51</v>
      </c>
      <c r="W638" s="20">
        <v>45845</v>
      </c>
      <c r="X638" s="22"/>
      <c r="Y638" s="19" t="s">
        <v>52</v>
      </c>
      <c r="Z638" s="19" t="s">
        <v>52</v>
      </c>
      <c r="AA638" s="19" t="s">
        <v>52</v>
      </c>
      <c r="AB638" s="28"/>
    </row>
    <row r="639" spans="1:33" s="29" customFormat="1" ht="15" customHeight="1" x14ac:dyDescent="0.25">
      <c r="A639" s="14">
        <v>3</v>
      </c>
      <c r="B639" s="15">
        <v>45857</v>
      </c>
      <c r="C639" s="15">
        <f t="shared" si="552"/>
        <v>45865</v>
      </c>
      <c r="D639" s="14">
        <v>13202</v>
      </c>
      <c r="E639" s="16" t="s">
        <v>263</v>
      </c>
      <c r="F639" s="17" t="s">
        <v>264</v>
      </c>
      <c r="G639" s="17" t="s">
        <v>47</v>
      </c>
      <c r="H639" s="18" t="s">
        <v>54</v>
      </c>
      <c r="I639" s="19" t="s">
        <v>55</v>
      </c>
      <c r="J639" s="20">
        <v>45845</v>
      </c>
      <c r="K639" s="20">
        <v>45866</v>
      </c>
      <c r="L639" s="21">
        <v>400000</v>
      </c>
      <c r="M639" s="22">
        <f t="shared" si="553"/>
        <v>204000</v>
      </c>
      <c r="N639" s="23">
        <v>0</v>
      </c>
      <c r="O639" s="23">
        <v>204000</v>
      </c>
      <c r="P639" s="24">
        <f>L639-N639</f>
        <v>400000</v>
      </c>
      <c r="Q639" s="25">
        <v>204000</v>
      </c>
      <c r="R639" s="26">
        <v>50000</v>
      </c>
      <c r="S639" s="91">
        <f t="shared" si="554"/>
        <v>8</v>
      </c>
      <c r="T639" s="91">
        <f t="shared" si="555"/>
        <v>4.08</v>
      </c>
      <c r="U639" s="27" t="s">
        <v>56</v>
      </c>
      <c r="V639" s="30" t="s">
        <v>59</v>
      </c>
      <c r="W639" s="31">
        <v>45859</v>
      </c>
      <c r="X639" s="22"/>
      <c r="Y639" s="19" t="s">
        <v>52</v>
      </c>
      <c r="Z639" s="19" t="s">
        <v>52</v>
      </c>
      <c r="AA639" s="19" t="s">
        <v>52</v>
      </c>
      <c r="AB639" s="42"/>
    </row>
    <row r="640" spans="1:33" s="29" customFormat="1" ht="15" customHeight="1" x14ac:dyDescent="0.25">
      <c r="A640" s="14">
        <v>5</v>
      </c>
      <c r="B640" s="15">
        <v>45857</v>
      </c>
      <c r="C640" s="15">
        <f t="shared" si="552"/>
        <v>45865</v>
      </c>
      <c r="D640" s="14">
        <v>12922</v>
      </c>
      <c r="E640" s="16" t="s">
        <v>340</v>
      </c>
      <c r="F640" s="40" t="s">
        <v>201</v>
      </c>
      <c r="G640" s="17" t="s">
        <v>75</v>
      </c>
      <c r="H640" s="18" t="s">
        <v>57</v>
      </c>
      <c r="I640" s="19" t="s">
        <v>58</v>
      </c>
      <c r="J640" s="20">
        <v>45782</v>
      </c>
      <c r="K640" s="20">
        <v>45835</v>
      </c>
      <c r="L640" s="21">
        <v>1000000</v>
      </c>
      <c r="M640" s="22">
        <f t="shared" si="553"/>
        <v>855000</v>
      </c>
      <c r="N640" s="23">
        <v>714000</v>
      </c>
      <c r="O640" s="23">
        <v>141000</v>
      </c>
      <c r="P640" s="24">
        <f>L640-N640</f>
        <v>286000</v>
      </c>
      <c r="Q640" s="25">
        <v>141000</v>
      </c>
      <c r="R640" s="26">
        <v>150000</v>
      </c>
      <c r="S640" s="91">
        <f t="shared" si="554"/>
        <v>1.9066666666666667</v>
      </c>
      <c r="T640" s="91">
        <f t="shared" si="555"/>
        <v>0.94</v>
      </c>
      <c r="U640" s="27" t="s">
        <v>193</v>
      </c>
      <c r="V640" s="19" t="s">
        <v>51</v>
      </c>
      <c r="W640" s="20">
        <v>45798</v>
      </c>
      <c r="X640" s="22"/>
      <c r="Y640" s="19" t="s">
        <v>52</v>
      </c>
      <c r="Z640" s="19" t="s">
        <v>52</v>
      </c>
      <c r="AA640" s="19" t="s">
        <v>52</v>
      </c>
      <c r="AB640" s="28"/>
    </row>
    <row r="641" spans="1:33" s="29" customFormat="1" ht="15" customHeight="1" x14ac:dyDescent="0.25">
      <c r="A641" s="14">
        <v>4</v>
      </c>
      <c r="B641" s="15">
        <v>45857</v>
      </c>
      <c r="C641" s="15">
        <f t="shared" si="552"/>
        <v>45865</v>
      </c>
      <c r="D641" s="14">
        <v>13019</v>
      </c>
      <c r="E641" s="16" t="s">
        <v>87</v>
      </c>
      <c r="F641" s="40" t="s">
        <v>88</v>
      </c>
      <c r="G641" s="17" t="s">
        <v>75</v>
      </c>
      <c r="H641" s="18" t="s">
        <v>542</v>
      </c>
      <c r="I641" s="19" t="s">
        <v>49</v>
      </c>
      <c r="J641" s="20">
        <v>45799</v>
      </c>
      <c r="K641" s="20">
        <v>45831</v>
      </c>
      <c r="L641" s="21">
        <v>1300000</v>
      </c>
      <c r="M641" s="22">
        <f t="shared" si="553"/>
        <v>1041000</v>
      </c>
      <c r="N641" s="23">
        <v>600000</v>
      </c>
      <c r="O641" s="23">
        <v>441000</v>
      </c>
      <c r="P641" s="24">
        <f>L641-N641</f>
        <v>700000</v>
      </c>
      <c r="Q641" s="25">
        <v>450000</v>
      </c>
      <c r="R641" s="26">
        <v>150000</v>
      </c>
      <c r="S641" s="91">
        <f t="shared" si="554"/>
        <v>4.666666666666667</v>
      </c>
      <c r="T641" s="91">
        <f t="shared" si="555"/>
        <v>3</v>
      </c>
      <c r="U641" s="27" t="s">
        <v>193</v>
      </c>
      <c r="V641" s="19" t="s">
        <v>51</v>
      </c>
      <c r="W641" s="20">
        <v>45821</v>
      </c>
      <c r="X641" s="22"/>
      <c r="Y641" s="19" t="s">
        <v>52</v>
      </c>
      <c r="Z641" s="19" t="s">
        <v>52</v>
      </c>
      <c r="AA641" s="19" t="s">
        <v>52</v>
      </c>
      <c r="AB641" s="28"/>
    </row>
    <row r="642" spans="1:33" s="29" customFormat="1" ht="15" customHeight="1" x14ac:dyDescent="0.25">
      <c r="A642" s="14">
        <v>2</v>
      </c>
      <c r="B642" s="15">
        <v>45857</v>
      </c>
      <c r="C642" s="15">
        <f t="shared" ref="C642:C643" si="557">B642+8</f>
        <v>45865</v>
      </c>
      <c r="D642" s="14">
        <v>12854</v>
      </c>
      <c r="E642" s="16" t="s">
        <v>596</v>
      </c>
      <c r="F642" s="40" t="s">
        <v>597</v>
      </c>
      <c r="G642" s="17" t="s">
        <v>75</v>
      </c>
      <c r="H642" s="18" t="s">
        <v>57</v>
      </c>
      <c r="I642" s="19" t="s">
        <v>94</v>
      </c>
      <c r="J642" s="20">
        <v>45769</v>
      </c>
      <c r="K642" s="20">
        <v>45804</v>
      </c>
      <c r="L642" s="21">
        <v>300000</v>
      </c>
      <c r="M642" s="22">
        <f t="shared" si="553"/>
        <v>450000</v>
      </c>
      <c r="N642" s="23">
        <v>312000</v>
      </c>
      <c r="O642" s="23">
        <v>138000</v>
      </c>
      <c r="P642" s="24">
        <f t="shared" ref="P642:P643" si="558">L642-N642</f>
        <v>-12000</v>
      </c>
      <c r="Q642" s="25">
        <v>138000</v>
      </c>
      <c r="R642" s="26">
        <v>150000</v>
      </c>
      <c r="S642" s="91">
        <f t="shared" si="554"/>
        <v>0</v>
      </c>
      <c r="T642" s="91">
        <f t="shared" si="555"/>
        <v>0.92</v>
      </c>
      <c r="U642" s="27" t="s">
        <v>193</v>
      </c>
      <c r="V642" s="19" t="s">
        <v>51</v>
      </c>
      <c r="W642" s="20">
        <v>45843</v>
      </c>
      <c r="X642" s="22"/>
      <c r="Y642" s="19" t="s">
        <v>52</v>
      </c>
      <c r="Z642" s="19" t="s">
        <v>52</v>
      </c>
      <c r="AA642" s="19" t="s">
        <v>52</v>
      </c>
      <c r="AB642" s="28"/>
    </row>
    <row r="643" spans="1:33" s="29" customFormat="1" ht="15" customHeight="1" x14ac:dyDescent="0.25">
      <c r="A643" s="14">
        <v>5</v>
      </c>
      <c r="B643" s="15">
        <v>45857</v>
      </c>
      <c r="C643" s="15">
        <f t="shared" si="557"/>
        <v>45865</v>
      </c>
      <c r="D643" s="14">
        <v>13073</v>
      </c>
      <c r="E643" s="16" t="s">
        <v>297</v>
      </c>
      <c r="F643" s="17" t="s">
        <v>298</v>
      </c>
      <c r="G643" s="17" t="s">
        <v>102</v>
      </c>
      <c r="H643" s="18" t="s">
        <v>57</v>
      </c>
      <c r="I643" s="19" t="s">
        <v>94</v>
      </c>
      <c r="J643" s="20">
        <v>45825</v>
      </c>
      <c r="K643" s="20">
        <v>45853</v>
      </c>
      <c r="L643" s="21">
        <v>800000</v>
      </c>
      <c r="M643" s="22">
        <f t="shared" si="553"/>
        <v>804000</v>
      </c>
      <c r="N643" s="23">
        <v>690000</v>
      </c>
      <c r="O643" s="23">
        <v>114000</v>
      </c>
      <c r="P643" s="24">
        <f t="shared" si="558"/>
        <v>110000</v>
      </c>
      <c r="Q643" s="25">
        <v>114000</v>
      </c>
      <c r="R643" s="26">
        <v>30000</v>
      </c>
      <c r="S643" s="91">
        <f t="shared" si="554"/>
        <v>3.6666666666666665</v>
      </c>
      <c r="T643" s="91">
        <f t="shared" si="555"/>
        <v>3.8</v>
      </c>
      <c r="U643" s="27" t="s">
        <v>193</v>
      </c>
      <c r="V643" s="19" t="s">
        <v>51</v>
      </c>
      <c r="W643" s="20">
        <v>45845</v>
      </c>
      <c r="X643" s="22"/>
      <c r="Y643" s="19" t="s">
        <v>52</v>
      </c>
      <c r="Z643" s="19" t="s">
        <v>52</v>
      </c>
      <c r="AA643" s="19" t="s">
        <v>52</v>
      </c>
      <c r="AB643" s="28"/>
    </row>
    <row r="644" spans="1:33" s="29" customFormat="1" ht="15" customHeight="1" x14ac:dyDescent="0.25">
      <c r="A644" s="14">
        <v>4</v>
      </c>
      <c r="B644" s="15">
        <v>45857</v>
      </c>
      <c r="C644" s="15">
        <f>B644+8</f>
        <v>45865</v>
      </c>
      <c r="D644" s="14">
        <v>13132</v>
      </c>
      <c r="E644" s="16" t="s">
        <v>244</v>
      </c>
      <c r="F644" s="17" t="s">
        <v>243</v>
      </c>
      <c r="G644" s="17" t="s">
        <v>102</v>
      </c>
      <c r="H644" s="18" t="s">
        <v>542</v>
      </c>
      <c r="I644" s="19" t="s">
        <v>63</v>
      </c>
      <c r="J644" s="20">
        <v>45826</v>
      </c>
      <c r="K644" s="20">
        <v>45853</v>
      </c>
      <c r="L644" s="21">
        <v>504000</v>
      </c>
      <c r="M644" s="22">
        <f t="shared" si="553"/>
        <v>420000</v>
      </c>
      <c r="N644" s="23">
        <v>84000</v>
      </c>
      <c r="O644" s="23">
        <v>336000</v>
      </c>
      <c r="P644" s="24">
        <f>L644-N644</f>
        <v>420000</v>
      </c>
      <c r="Q644" s="25">
        <v>336000</v>
      </c>
      <c r="R644" s="26">
        <v>84000</v>
      </c>
      <c r="S644" s="91">
        <f t="shared" si="554"/>
        <v>5</v>
      </c>
      <c r="T644" s="91">
        <f t="shared" si="555"/>
        <v>4</v>
      </c>
      <c r="U644" s="27" t="s">
        <v>193</v>
      </c>
      <c r="V644" s="19" t="s">
        <v>51</v>
      </c>
      <c r="W644" s="20">
        <v>45845</v>
      </c>
      <c r="X644" s="22"/>
      <c r="Y644" s="19" t="s">
        <v>52</v>
      </c>
      <c r="Z644" s="19" t="s">
        <v>52</v>
      </c>
      <c r="AA644" s="19" t="s">
        <v>52</v>
      </c>
      <c r="AB644" s="28"/>
    </row>
    <row r="645" spans="1:33" ht="15" customHeight="1" x14ac:dyDescent="0.25">
      <c r="A645" s="33" t="s">
        <v>71</v>
      </c>
      <c r="B645" s="34"/>
      <c r="C645" s="34"/>
      <c r="D645" s="34"/>
      <c r="E645" s="34"/>
      <c r="F645" s="35"/>
      <c r="G645" s="35"/>
      <c r="H645" s="34"/>
      <c r="I645" s="34"/>
      <c r="J645" s="34"/>
      <c r="K645" s="34"/>
      <c r="L645" s="36"/>
      <c r="M645" s="36"/>
      <c r="N645" s="36"/>
      <c r="O645" s="36"/>
      <c r="P645" s="36"/>
      <c r="Q645" s="36">
        <f>SUM(Q633:Q644)</f>
        <v>2560370</v>
      </c>
      <c r="R645" s="36"/>
      <c r="S645" s="92"/>
      <c r="T645" s="93">
        <f>SUM(T633:T644)</f>
        <v>23.126100222069727</v>
      </c>
      <c r="U645" s="37"/>
      <c r="V645" s="38"/>
      <c r="W645" s="38"/>
      <c r="X645" s="38"/>
      <c r="Y645" s="34"/>
      <c r="Z645" s="34"/>
      <c r="AA645" s="39"/>
      <c r="AB645" s="29" t="s">
        <v>729</v>
      </c>
      <c r="AC645" s="81" t="s">
        <v>736</v>
      </c>
      <c r="AD645" s="83">
        <v>5000</v>
      </c>
      <c r="AF645" s="83">
        <v>0</v>
      </c>
      <c r="AG645" s="83">
        <f>SUM(AD645,AF645)</f>
        <v>5000</v>
      </c>
    </row>
    <row r="646" spans="1:33" s="29" customFormat="1" ht="15" customHeight="1" x14ac:dyDescent="0.25">
      <c r="A646" s="14">
        <v>2</v>
      </c>
      <c r="B646" s="15">
        <v>45857</v>
      </c>
      <c r="C646" s="15">
        <f>B646+8</f>
        <v>45865</v>
      </c>
      <c r="D646" s="14">
        <v>13071</v>
      </c>
      <c r="E646" s="16" t="s">
        <v>680</v>
      </c>
      <c r="F646" s="17" t="s">
        <v>681</v>
      </c>
      <c r="G646" s="17" t="s">
        <v>102</v>
      </c>
      <c r="H646" s="18" t="s">
        <v>542</v>
      </c>
      <c r="I646" s="19" t="s">
        <v>104</v>
      </c>
      <c r="J646" s="20">
        <v>45810</v>
      </c>
      <c r="K646" s="20">
        <v>45839</v>
      </c>
      <c r="L646" s="21">
        <v>1000000</v>
      </c>
      <c r="M646" s="22">
        <f>SUM(N646:O646)</f>
        <v>887000</v>
      </c>
      <c r="N646" s="23">
        <v>189000</v>
      </c>
      <c r="O646" s="23">
        <v>698000</v>
      </c>
      <c r="P646" s="24">
        <f>L646-N646</f>
        <v>811000</v>
      </c>
      <c r="Q646" s="25">
        <v>689000</v>
      </c>
      <c r="R646" s="26">
        <v>63000</v>
      </c>
      <c r="S646" s="91">
        <f t="shared" ref="S646:S648" si="559">IF(P646&gt;0,P646/$R646,0)</f>
        <v>12.873015873015873</v>
      </c>
      <c r="T646" s="91">
        <f t="shared" ref="T646:T648" si="560">IF(Q646&gt;0,Q646/$R646,0)</f>
        <v>10.936507936507937</v>
      </c>
      <c r="U646" s="27" t="s">
        <v>56</v>
      </c>
      <c r="V646" s="19" t="s">
        <v>51</v>
      </c>
      <c r="W646" s="20">
        <v>45842</v>
      </c>
      <c r="X646" s="22"/>
      <c r="Y646" s="19" t="s">
        <v>52</v>
      </c>
      <c r="Z646" s="19" t="s">
        <v>52</v>
      </c>
      <c r="AA646" s="19" t="s">
        <v>52</v>
      </c>
      <c r="AB646" s="28"/>
    </row>
    <row r="647" spans="1:33" s="29" customFormat="1" ht="15" customHeight="1" x14ac:dyDescent="0.25">
      <c r="A647" s="14">
        <v>8</v>
      </c>
      <c r="B647" s="15">
        <v>45857</v>
      </c>
      <c r="C647" s="15">
        <f t="shared" ref="C647" si="561">B647+8</f>
        <v>45865</v>
      </c>
      <c r="D647" s="14">
        <v>13115</v>
      </c>
      <c r="E647" s="16" t="s">
        <v>482</v>
      </c>
      <c r="F647" s="40" t="s">
        <v>483</v>
      </c>
      <c r="G647" s="17" t="s">
        <v>75</v>
      </c>
      <c r="H647" s="18" t="s">
        <v>57</v>
      </c>
      <c r="I647" s="19" t="s">
        <v>58</v>
      </c>
      <c r="J647" s="20">
        <v>45819</v>
      </c>
      <c r="K647" s="20">
        <v>45846</v>
      </c>
      <c r="L647" s="21">
        <v>1200000</v>
      </c>
      <c r="M647" s="22">
        <f t="shared" ref="M647" si="562">SUM(N647:O647)</f>
        <v>1246000</v>
      </c>
      <c r="N647" s="23">
        <v>500000</v>
      </c>
      <c r="O647" s="23">
        <v>746000</v>
      </c>
      <c r="P647" s="24">
        <f t="shared" ref="P647" si="563">L647-N647</f>
        <v>700000</v>
      </c>
      <c r="Q647" s="25">
        <v>246000</v>
      </c>
      <c r="R647" s="26">
        <v>50000</v>
      </c>
      <c r="S647" s="91">
        <f t="shared" si="559"/>
        <v>14</v>
      </c>
      <c r="T647" s="91">
        <f t="shared" si="560"/>
        <v>4.92</v>
      </c>
      <c r="U647" s="27" t="s">
        <v>56</v>
      </c>
      <c r="V647" s="19" t="s">
        <v>51</v>
      </c>
      <c r="W647" s="20">
        <v>45842</v>
      </c>
      <c r="X647" s="22"/>
      <c r="Y647" s="19" t="s">
        <v>52</v>
      </c>
      <c r="Z647" s="19" t="s">
        <v>52</v>
      </c>
      <c r="AA647" s="19" t="s">
        <v>52</v>
      </c>
      <c r="AB647" s="28"/>
    </row>
    <row r="648" spans="1:33" s="29" customFormat="1" ht="15" customHeight="1" x14ac:dyDescent="0.25">
      <c r="A648" s="14">
        <v>8</v>
      </c>
      <c r="B648" s="15">
        <v>45857</v>
      </c>
      <c r="C648" s="15">
        <f t="shared" ref="C648" si="564">B648+8</f>
        <v>45865</v>
      </c>
      <c r="D648" s="14">
        <v>13115</v>
      </c>
      <c r="E648" s="16" t="s">
        <v>482</v>
      </c>
      <c r="F648" s="40" t="s">
        <v>483</v>
      </c>
      <c r="G648" s="17" t="s">
        <v>75</v>
      </c>
      <c r="H648" s="18" t="s">
        <v>57</v>
      </c>
      <c r="I648" s="19" t="s">
        <v>58</v>
      </c>
      <c r="J648" s="20">
        <v>45819</v>
      </c>
      <c r="K648" s="20">
        <v>45846</v>
      </c>
      <c r="L648" s="21">
        <v>1200000</v>
      </c>
      <c r="M648" s="22">
        <f t="shared" ref="M648" si="565">SUM(N648:O648)</f>
        <v>1246000</v>
      </c>
      <c r="N648" s="23">
        <v>500000</v>
      </c>
      <c r="O648" s="23">
        <v>746000</v>
      </c>
      <c r="P648" s="24">
        <f t="shared" ref="P648" si="566">L648-N648</f>
        <v>700000</v>
      </c>
      <c r="Q648" s="25">
        <v>500000</v>
      </c>
      <c r="R648" s="26">
        <v>50000</v>
      </c>
      <c r="S648" s="91">
        <f t="shared" si="559"/>
        <v>14</v>
      </c>
      <c r="T648" s="91">
        <f t="shared" si="560"/>
        <v>10</v>
      </c>
      <c r="U648" s="27" t="s">
        <v>193</v>
      </c>
      <c r="V648" s="19" t="s">
        <v>51</v>
      </c>
      <c r="W648" s="20">
        <v>45842</v>
      </c>
      <c r="X648" s="22"/>
      <c r="Y648" s="19" t="s">
        <v>52</v>
      </c>
      <c r="Z648" s="19" t="s">
        <v>52</v>
      </c>
      <c r="AA648" s="19" t="s">
        <v>52</v>
      </c>
      <c r="AB648" s="28"/>
    </row>
    <row r="649" spans="1:33" ht="15" customHeight="1" x14ac:dyDescent="0.25">
      <c r="A649" s="33" t="s">
        <v>71</v>
      </c>
      <c r="B649" s="34"/>
      <c r="C649" s="34"/>
      <c r="D649" s="34"/>
      <c r="E649" s="34"/>
      <c r="F649" s="35"/>
      <c r="G649" s="35"/>
      <c r="H649" s="34"/>
      <c r="I649" s="34"/>
      <c r="J649" s="34"/>
      <c r="K649" s="34"/>
      <c r="L649" s="36"/>
      <c r="M649" s="36"/>
      <c r="N649" s="36"/>
      <c r="O649" s="36"/>
      <c r="P649" s="36"/>
      <c r="Q649" s="36">
        <f>SUM(Q646:Q648)</f>
        <v>1435000</v>
      </c>
      <c r="R649" s="36"/>
      <c r="S649" s="92"/>
      <c r="T649" s="93">
        <f>SUM(T646:T648)</f>
        <v>25.856507936507938</v>
      </c>
      <c r="U649" s="37"/>
      <c r="V649" s="38"/>
      <c r="W649" s="38"/>
      <c r="X649" s="38"/>
      <c r="Y649" s="34"/>
      <c r="Z649" s="34"/>
      <c r="AA649" s="39"/>
      <c r="AB649" s="29" t="s">
        <v>730</v>
      </c>
      <c r="AC649" s="81" t="s">
        <v>734</v>
      </c>
      <c r="AD649" s="83">
        <v>5000</v>
      </c>
      <c r="AF649" s="83">
        <v>0</v>
      </c>
      <c r="AG649" s="83">
        <f>SUM(AD649,AF649)</f>
        <v>5000</v>
      </c>
    </row>
    <row r="650" spans="1:33" s="29" customFormat="1" ht="15" customHeight="1" x14ac:dyDescent="0.25">
      <c r="A650" s="14">
        <v>3</v>
      </c>
      <c r="B650" s="15">
        <v>45860</v>
      </c>
      <c r="C650" s="15">
        <f t="shared" ref="C650:C658" si="567">B650+8</f>
        <v>45868</v>
      </c>
      <c r="D650" s="14">
        <v>13202</v>
      </c>
      <c r="E650" s="16" t="s">
        <v>263</v>
      </c>
      <c r="F650" s="17" t="s">
        <v>264</v>
      </c>
      <c r="G650" s="17" t="s">
        <v>47</v>
      </c>
      <c r="H650" s="18" t="s">
        <v>54</v>
      </c>
      <c r="I650" s="19" t="s">
        <v>55</v>
      </c>
      <c r="J650" s="20">
        <v>45845</v>
      </c>
      <c r="K650" s="20">
        <v>45866</v>
      </c>
      <c r="L650" s="21">
        <v>400000</v>
      </c>
      <c r="M650" s="22">
        <f t="shared" ref="M650:M658" si="568">SUM(N650:O650)</f>
        <v>444000</v>
      </c>
      <c r="N650" s="23">
        <v>204000</v>
      </c>
      <c r="O650" s="23">
        <v>240000</v>
      </c>
      <c r="P650" s="24">
        <f t="shared" ref="P650:P658" si="569">L650-N650</f>
        <v>196000</v>
      </c>
      <c r="Q650" s="25">
        <v>240000</v>
      </c>
      <c r="R650" s="26">
        <v>50000</v>
      </c>
      <c r="S650" s="91">
        <f t="shared" ref="S650:S658" si="570">IF(P650&gt;0,P650/$R650,0)</f>
        <v>3.92</v>
      </c>
      <c r="T650" s="91">
        <f t="shared" ref="T650:T658" si="571">IF(Q650&gt;0,Q650/$R650,0)</f>
        <v>4.8</v>
      </c>
      <c r="U650" s="27" t="s">
        <v>56</v>
      </c>
      <c r="V650" s="30" t="s">
        <v>59</v>
      </c>
      <c r="W650" s="31">
        <v>45859</v>
      </c>
      <c r="X650" s="22"/>
      <c r="Y650" s="19" t="s">
        <v>52</v>
      </c>
      <c r="Z650" s="19" t="s">
        <v>52</v>
      </c>
      <c r="AA650" s="19" t="s">
        <v>52</v>
      </c>
      <c r="AB650" s="42"/>
    </row>
    <row r="651" spans="1:33" s="29" customFormat="1" ht="15" customHeight="1" x14ac:dyDescent="0.25">
      <c r="A651" s="14">
        <v>11</v>
      </c>
      <c r="B651" s="15">
        <v>45860</v>
      </c>
      <c r="C651" s="15">
        <f t="shared" si="567"/>
        <v>45868</v>
      </c>
      <c r="D651" s="14">
        <v>13285</v>
      </c>
      <c r="E651" s="16" t="s">
        <v>375</v>
      </c>
      <c r="F651" s="40" t="s">
        <v>370</v>
      </c>
      <c r="G651" s="17" t="s">
        <v>75</v>
      </c>
      <c r="H651" s="18" t="s">
        <v>406</v>
      </c>
      <c r="I651" s="19" t="s">
        <v>79</v>
      </c>
      <c r="J651" s="20">
        <v>45854</v>
      </c>
      <c r="K651" s="20">
        <v>45859</v>
      </c>
      <c r="L651" s="21">
        <v>500000</v>
      </c>
      <c r="M651" s="22">
        <f t="shared" si="568"/>
        <v>100000</v>
      </c>
      <c r="N651" s="23">
        <v>0</v>
      </c>
      <c r="O651" s="23">
        <v>100000</v>
      </c>
      <c r="P651" s="24">
        <f t="shared" si="569"/>
        <v>500000</v>
      </c>
      <c r="Q651" s="25">
        <v>100000</v>
      </c>
      <c r="R651" s="26">
        <v>210000</v>
      </c>
      <c r="S651" s="91">
        <f t="shared" si="570"/>
        <v>2.3809523809523809</v>
      </c>
      <c r="T651" s="91">
        <f t="shared" si="571"/>
        <v>0.47619047619047616</v>
      </c>
      <c r="U651" s="27" t="s">
        <v>56</v>
      </c>
      <c r="V651" s="30" t="s">
        <v>68</v>
      </c>
      <c r="W651" s="31" t="s">
        <v>68</v>
      </c>
      <c r="X651" s="22"/>
      <c r="Y651" s="19" t="s">
        <v>52</v>
      </c>
      <c r="Z651" s="19" t="s">
        <v>52</v>
      </c>
      <c r="AA651" s="19" t="s">
        <v>52</v>
      </c>
      <c r="AB651" s="28"/>
    </row>
    <row r="652" spans="1:33" s="29" customFormat="1" ht="15" customHeight="1" x14ac:dyDescent="0.25">
      <c r="A652" s="14">
        <v>10</v>
      </c>
      <c r="B652" s="15">
        <v>45860</v>
      </c>
      <c r="C652" s="15">
        <f t="shared" si="567"/>
        <v>45868</v>
      </c>
      <c r="D652" s="14">
        <v>13091</v>
      </c>
      <c r="E652" s="16" t="s">
        <v>497</v>
      </c>
      <c r="F652" s="40" t="s">
        <v>498</v>
      </c>
      <c r="G652" s="17" t="s">
        <v>75</v>
      </c>
      <c r="H652" s="18" t="s">
        <v>133</v>
      </c>
      <c r="I652" s="19" t="s">
        <v>198</v>
      </c>
      <c r="J652" s="20">
        <v>45812</v>
      </c>
      <c r="K652" s="20">
        <v>45859</v>
      </c>
      <c r="L652" s="21">
        <v>60000</v>
      </c>
      <c r="M652" s="22">
        <f t="shared" si="568"/>
        <v>72000</v>
      </c>
      <c r="N652" s="23">
        <v>62000</v>
      </c>
      <c r="O652" s="23">
        <v>10000</v>
      </c>
      <c r="P652" s="24">
        <f t="shared" si="569"/>
        <v>-2000</v>
      </c>
      <c r="Q652" s="25">
        <v>10000</v>
      </c>
      <c r="R652" s="26">
        <v>60000</v>
      </c>
      <c r="S652" s="91">
        <f t="shared" si="570"/>
        <v>0</v>
      </c>
      <c r="T652" s="91">
        <f t="shared" si="571"/>
        <v>0.16666666666666666</v>
      </c>
      <c r="U652" s="27" t="s">
        <v>56</v>
      </c>
      <c r="V652" s="30" t="s">
        <v>59</v>
      </c>
      <c r="W652" s="31">
        <v>45854</v>
      </c>
      <c r="X652" s="22"/>
      <c r="Y652" s="19" t="s">
        <v>52</v>
      </c>
      <c r="Z652" s="19" t="s">
        <v>52</v>
      </c>
      <c r="AA652" s="19" t="s">
        <v>52</v>
      </c>
      <c r="AB652" s="28"/>
    </row>
    <row r="653" spans="1:33" s="29" customFormat="1" ht="15" customHeight="1" x14ac:dyDescent="0.25">
      <c r="A653" s="14">
        <v>1</v>
      </c>
      <c r="B653" s="15">
        <v>45860</v>
      </c>
      <c r="C653" s="15">
        <f t="shared" si="567"/>
        <v>45868</v>
      </c>
      <c r="D653" s="14">
        <v>13025</v>
      </c>
      <c r="E653" s="16" t="s">
        <v>105</v>
      </c>
      <c r="F653" s="17" t="s">
        <v>106</v>
      </c>
      <c r="G653" s="17" t="s">
        <v>102</v>
      </c>
      <c r="H653" s="18" t="s">
        <v>542</v>
      </c>
      <c r="I653" s="19" t="s">
        <v>49</v>
      </c>
      <c r="J653" s="20">
        <v>45799</v>
      </c>
      <c r="K653" s="20">
        <v>45839</v>
      </c>
      <c r="L653" s="21">
        <v>2100000</v>
      </c>
      <c r="M653" s="22">
        <f t="shared" si="568"/>
        <v>1034000</v>
      </c>
      <c r="N653" s="23">
        <v>484000</v>
      </c>
      <c r="O653" s="23">
        <v>550000</v>
      </c>
      <c r="P653" s="24">
        <f t="shared" si="569"/>
        <v>1616000</v>
      </c>
      <c r="Q653" s="25">
        <v>550000</v>
      </c>
      <c r="R653" s="26">
        <v>50000</v>
      </c>
      <c r="S653" s="91">
        <f t="shared" si="570"/>
        <v>32.32</v>
      </c>
      <c r="T653" s="91">
        <f t="shared" si="571"/>
        <v>11</v>
      </c>
      <c r="U653" s="27" t="s">
        <v>193</v>
      </c>
      <c r="V653" s="19" t="s">
        <v>51</v>
      </c>
      <c r="W653" s="20">
        <v>45833</v>
      </c>
      <c r="X653" s="22"/>
      <c r="Y653" s="19" t="s">
        <v>52</v>
      </c>
      <c r="Z653" s="19" t="s">
        <v>52</v>
      </c>
      <c r="AA653" s="19" t="s">
        <v>52</v>
      </c>
      <c r="AB653" s="28"/>
    </row>
    <row r="654" spans="1:33" s="29" customFormat="1" ht="15" customHeight="1" x14ac:dyDescent="0.25">
      <c r="A654" s="14">
        <v>3</v>
      </c>
      <c r="B654" s="15">
        <v>45860</v>
      </c>
      <c r="C654" s="15">
        <f t="shared" si="567"/>
        <v>45868</v>
      </c>
      <c r="D654" s="14">
        <v>13027</v>
      </c>
      <c r="E654" s="16" t="s">
        <v>462</v>
      </c>
      <c r="F654" s="40" t="s">
        <v>463</v>
      </c>
      <c r="G654" s="17" t="s">
        <v>75</v>
      </c>
      <c r="H654" s="18" t="s">
        <v>542</v>
      </c>
      <c r="I654" s="19" t="s">
        <v>49</v>
      </c>
      <c r="J654" s="20">
        <v>45799</v>
      </c>
      <c r="K654" s="20">
        <v>45828</v>
      </c>
      <c r="L654" s="21">
        <v>175000</v>
      </c>
      <c r="M654" s="22">
        <f t="shared" si="568"/>
        <v>174000</v>
      </c>
      <c r="N654" s="23">
        <v>114000</v>
      </c>
      <c r="O654" s="23">
        <v>60000</v>
      </c>
      <c r="P654" s="24">
        <f t="shared" si="569"/>
        <v>61000</v>
      </c>
      <c r="Q654" s="25">
        <v>60000</v>
      </c>
      <c r="R654" s="26">
        <v>150000</v>
      </c>
      <c r="S654" s="91">
        <f t="shared" si="570"/>
        <v>0.40666666666666668</v>
      </c>
      <c r="T654" s="91">
        <f t="shared" si="571"/>
        <v>0.4</v>
      </c>
      <c r="U654" s="27" t="s">
        <v>193</v>
      </c>
      <c r="V654" s="19" t="s">
        <v>51</v>
      </c>
      <c r="W654" s="20">
        <v>45847</v>
      </c>
      <c r="X654" s="22"/>
      <c r="Y654" s="19" t="s">
        <v>52</v>
      </c>
      <c r="Z654" s="19" t="s">
        <v>52</v>
      </c>
      <c r="AA654" s="19" t="s">
        <v>52</v>
      </c>
      <c r="AB654" s="28"/>
    </row>
    <row r="655" spans="1:33" s="29" customFormat="1" ht="15" customHeight="1" x14ac:dyDescent="0.25">
      <c r="A655" s="14">
        <v>6</v>
      </c>
      <c r="B655" s="15">
        <v>45860</v>
      </c>
      <c r="C655" s="15">
        <f t="shared" si="567"/>
        <v>45868</v>
      </c>
      <c r="D655" s="14">
        <v>13081</v>
      </c>
      <c r="E655" s="16" t="s">
        <v>390</v>
      </c>
      <c r="F655" s="40" t="s">
        <v>391</v>
      </c>
      <c r="G655" s="17" t="s">
        <v>75</v>
      </c>
      <c r="H655" s="18" t="s">
        <v>257</v>
      </c>
      <c r="I655" s="19" t="s">
        <v>70</v>
      </c>
      <c r="J655" s="20">
        <v>45810</v>
      </c>
      <c r="K655" s="20">
        <v>45840</v>
      </c>
      <c r="L655" s="21">
        <v>1000000</v>
      </c>
      <c r="M655" s="22">
        <f t="shared" si="568"/>
        <v>1050000</v>
      </c>
      <c r="N655" s="23">
        <v>450000</v>
      </c>
      <c r="O655" s="23">
        <v>600000</v>
      </c>
      <c r="P655" s="24">
        <f t="shared" si="569"/>
        <v>550000</v>
      </c>
      <c r="Q655" s="25">
        <v>600000</v>
      </c>
      <c r="R655" s="26">
        <v>150000</v>
      </c>
      <c r="S655" s="91">
        <f t="shared" si="570"/>
        <v>3.6666666666666665</v>
      </c>
      <c r="T655" s="91">
        <f t="shared" si="571"/>
        <v>4</v>
      </c>
      <c r="U655" s="27" t="s">
        <v>193</v>
      </c>
      <c r="V655" s="19" t="s">
        <v>51</v>
      </c>
      <c r="W655" s="20">
        <v>45833</v>
      </c>
      <c r="X655" s="22"/>
      <c r="Y655" s="19" t="s">
        <v>52</v>
      </c>
      <c r="Z655" s="19" t="s">
        <v>52</v>
      </c>
      <c r="AA655" s="19" t="s">
        <v>52</v>
      </c>
      <c r="AB655" s="28"/>
    </row>
    <row r="656" spans="1:33" s="29" customFormat="1" ht="15" customHeight="1" x14ac:dyDescent="0.25">
      <c r="A656" s="14">
        <v>4</v>
      </c>
      <c r="B656" s="15">
        <v>45860</v>
      </c>
      <c r="C656" s="15">
        <f t="shared" si="567"/>
        <v>45868</v>
      </c>
      <c r="D656" s="14">
        <v>13132</v>
      </c>
      <c r="E656" s="16" t="s">
        <v>244</v>
      </c>
      <c r="F656" s="17" t="s">
        <v>243</v>
      </c>
      <c r="G656" s="17" t="s">
        <v>102</v>
      </c>
      <c r="H656" s="18" t="s">
        <v>542</v>
      </c>
      <c r="I656" s="19" t="s">
        <v>63</v>
      </c>
      <c r="J656" s="20">
        <v>45826</v>
      </c>
      <c r="K656" s="20">
        <v>45853</v>
      </c>
      <c r="L656" s="21">
        <v>504000</v>
      </c>
      <c r="M656" s="22">
        <f t="shared" si="568"/>
        <v>496000</v>
      </c>
      <c r="N656" s="23">
        <v>420000</v>
      </c>
      <c r="O656" s="23">
        <v>76000</v>
      </c>
      <c r="P656" s="24">
        <f t="shared" si="569"/>
        <v>84000</v>
      </c>
      <c r="Q656" s="25">
        <v>76000</v>
      </c>
      <c r="R656" s="26">
        <v>84000</v>
      </c>
      <c r="S656" s="91">
        <f t="shared" si="570"/>
        <v>1</v>
      </c>
      <c r="T656" s="91">
        <f t="shared" si="571"/>
        <v>0.90476190476190477</v>
      </c>
      <c r="U656" s="27" t="s">
        <v>193</v>
      </c>
      <c r="V656" s="19" t="s">
        <v>51</v>
      </c>
      <c r="W656" s="20">
        <v>45845</v>
      </c>
      <c r="X656" s="22"/>
      <c r="Y656" s="19" t="s">
        <v>52</v>
      </c>
      <c r="Z656" s="19" t="s">
        <v>52</v>
      </c>
      <c r="AA656" s="19" t="s">
        <v>52</v>
      </c>
      <c r="AB656" s="28"/>
    </row>
    <row r="657" spans="1:33" s="29" customFormat="1" ht="15" customHeight="1" x14ac:dyDescent="0.25">
      <c r="A657" s="14">
        <v>2</v>
      </c>
      <c r="B657" s="15">
        <v>45860</v>
      </c>
      <c r="C657" s="15">
        <f t="shared" si="567"/>
        <v>45868</v>
      </c>
      <c r="D657" s="14">
        <v>13199</v>
      </c>
      <c r="E657" s="16" t="s">
        <v>196</v>
      </c>
      <c r="F657" s="17" t="s">
        <v>197</v>
      </c>
      <c r="G657" s="17" t="s">
        <v>47</v>
      </c>
      <c r="H657" s="18" t="s">
        <v>62</v>
      </c>
      <c r="I657" s="19" t="s">
        <v>63</v>
      </c>
      <c r="J657" s="20">
        <v>45838</v>
      </c>
      <c r="K657" s="20">
        <v>45863</v>
      </c>
      <c r="L657" s="21">
        <v>100000</v>
      </c>
      <c r="M657" s="22">
        <f t="shared" si="568"/>
        <v>134000</v>
      </c>
      <c r="N657" s="23">
        <v>0</v>
      </c>
      <c r="O657" s="23">
        <v>134000</v>
      </c>
      <c r="P657" s="24">
        <f t="shared" si="569"/>
        <v>100000</v>
      </c>
      <c r="Q657" s="25">
        <v>134000</v>
      </c>
      <c r="R657" s="26">
        <v>50000</v>
      </c>
      <c r="S657" s="91">
        <f t="shared" si="570"/>
        <v>2</v>
      </c>
      <c r="T657" s="91">
        <f t="shared" si="571"/>
        <v>2.68</v>
      </c>
      <c r="U657" s="27" t="s">
        <v>193</v>
      </c>
      <c r="V657" s="30" t="s">
        <v>59</v>
      </c>
      <c r="W657" s="31">
        <v>45854</v>
      </c>
      <c r="X657" s="22"/>
      <c r="Y657" s="19" t="s">
        <v>52</v>
      </c>
      <c r="Z657" s="19" t="s">
        <v>52</v>
      </c>
      <c r="AA657" s="19" t="s">
        <v>52</v>
      </c>
      <c r="AB657" s="42"/>
    </row>
    <row r="658" spans="1:33" s="29" customFormat="1" ht="15" customHeight="1" x14ac:dyDescent="0.25">
      <c r="A658" s="14">
        <v>14</v>
      </c>
      <c r="B658" s="15">
        <v>45860</v>
      </c>
      <c r="C658" s="15">
        <f t="shared" si="567"/>
        <v>45868</v>
      </c>
      <c r="D658" s="14">
        <v>12961</v>
      </c>
      <c r="E658" s="16" t="s">
        <v>407</v>
      </c>
      <c r="F658" s="17" t="s">
        <v>408</v>
      </c>
      <c r="G658" s="17" t="s">
        <v>47</v>
      </c>
      <c r="H658" s="18" t="s">
        <v>57</v>
      </c>
      <c r="I658" s="19" t="s">
        <v>58</v>
      </c>
      <c r="J658" s="20">
        <v>45785</v>
      </c>
      <c r="K658" s="20">
        <v>45839</v>
      </c>
      <c r="L658" s="21">
        <v>1000000</v>
      </c>
      <c r="M658" s="22">
        <f t="shared" si="568"/>
        <v>898000</v>
      </c>
      <c r="N658" s="23">
        <v>890000</v>
      </c>
      <c r="O658" s="23">
        <v>8000</v>
      </c>
      <c r="P658" s="24">
        <f t="shared" si="569"/>
        <v>110000</v>
      </c>
      <c r="Q658" s="25">
        <v>8000</v>
      </c>
      <c r="R658" s="26">
        <v>48000</v>
      </c>
      <c r="S658" s="91">
        <f t="shared" si="570"/>
        <v>2.2916666666666665</v>
      </c>
      <c r="T658" s="91">
        <f t="shared" si="571"/>
        <v>0.16666666666666666</v>
      </c>
      <c r="U658" s="27" t="s">
        <v>50</v>
      </c>
      <c r="V658" s="19" t="s">
        <v>51</v>
      </c>
      <c r="W658" s="20">
        <v>45817</v>
      </c>
      <c r="X658" s="22"/>
      <c r="Y658" s="19" t="s">
        <v>52</v>
      </c>
      <c r="Z658" s="19" t="s">
        <v>52</v>
      </c>
      <c r="AA658" s="19" t="s">
        <v>52</v>
      </c>
      <c r="AB658" s="42"/>
    </row>
    <row r="659" spans="1:33" ht="15" customHeight="1" x14ac:dyDescent="0.25">
      <c r="A659" s="33" t="s">
        <v>71</v>
      </c>
      <c r="B659" s="34"/>
      <c r="C659" s="34"/>
      <c r="D659" s="34"/>
      <c r="E659" s="34"/>
      <c r="F659" s="35"/>
      <c r="G659" s="35"/>
      <c r="H659" s="34"/>
      <c r="I659" s="34"/>
      <c r="J659" s="34"/>
      <c r="K659" s="34"/>
      <c r="L659" s="36"/>
      <c r="M659" s="36"/>
      <c r="N659" s="36"/>
      <c r="O659" s="36"/>
      <c r="P659" s="36"/>
      <c r="Q659" s="36">
        <f>SUM(Q650:Q658)</f>
        <v>1778000</v>
      </c>
      <c r="R659" s="36"/>
      <c r="S659" s="92"/>
      <c r="T659" s="93">
        <f>SUM(T650:T658)</f>
        <v>24.594285714285714</v>
      </c>
      <c r="U659" s="37"/>
      <c r="V659" s="38"/>
      <c r="W659" s="38"/>
      <c r="X659" s="38"/>
      <c r="Y659" s="34"/>
      <c r="Z659" s="34"/>
      <c r="AA659" s="39"/>
      <c r="AB659" s="29" t="s">
        <v>735</v>
      </c>
      <c r="AC659" s="81" t="s">
        <v>738</v>
      </c>
      <c r="AD659" s="83">
        <v>5000</v>
      </c>
      <c r="AF659" s="83">
        <v>0</v>
      </c>
      <c r="AG659" s="83">
        <f>SUM(AD659,AF659)</f>
        <v>5000</v>
      </c>
    </row>
    <row r="660" spans="1:33" s="29" customFormat="1" ht="15" customHeight="1" x14ac:dyDescent="0.25">
      <c r="A660" s="14">
        <v>1</v>
      </c>
      <c r="B660" s="15">
        <v>45864</v>
      </c>
      <c r="C660" s="15">
        <f t="shared" ref="C660:C666" si="572">B660+8</f>
        <v>45872</v>
      </c>
      <c r="D660" s="14">
        <v>12727</v>
      </c>
      <c r="E660" s="16" t="s">
        <v>83</v>
      </c>
      <c r="F660" s="40" t="s">
        <v>84</v>
      </c>
      <c r="G660" s="17" t="s">
        <v>75</v>
      </c>
      <c r="H660" s="18" t="s">
        <v>54</v>
      </c>
      <c r="I660" s="19" t="s">
        <v>421</v>
      </c>
      <c r="J660" s="20">
        <v>45737</v>
      </c>
      <c r="K660" s="20">
        <v>45779</v>
      </c>
      <c r="L660" s="21">
        <v>500000</v>
      </c>
      <c r="M660" s="22">
        <f t="shared" ref="M660:M666" si="573">SUM(N660:O660)</f>
        <v>287000</v>
      </c>
      <c r="N660" s="23">
        <v>207000</v>
      </c>
      <c r="O660" s="23">
        <v>80000</v>
      </c>
      <c r="P660" s="24">
        <f t="shared" ref="P660:P666" si="574">L660-N660</f>
        <v>293000</v>
      </c>
      <c r="Q660" s="25">
        <v>80000</v>
      </c>
      <c r="R660" s="26">
        <v>84000</v>
      </c>
      <c r="S660" s="91">
        <f t="shared" ref="S660:S666" si="575">IF(P660&gt;0,P660/$R660,0)</f>
        <v>3.4880952380952381</v>
      </c>
      <c r="T660" s="91">
        <f t="shared" ref="T660:T666" si="576">IF(Q660&gt;0,Q660/$R660,0)</f>
        <v>0.95238095238095233</v>
      </c>
      <c r="U660" s="27" t="s">
        <v>56</v>
      </c>
      <c r="V660" s="19" t="s">
        <v>51</v>
      </c>
      <c r="W660" s="20">
        <v>45772</v>
      </c>
      <c r="X660" s="22"/>
      <c r="Y660" s="19" t="s">
        <v>52</v>
      </c>
      <c r="Z660" s="19" t="s">
        <v>52</v>
      </c>
      <c r="AA660" s="19" t="s">
        <v>52</v>
      </c>
      <c r="AB660" s="28"/>
    </row>
    <row r="661" spans="1:33" s="29" customFormat="1" ht="15" customHeight="1" x14ac:dyDescent="0.25">
      <c r="A661" s="14">
        <v>3</v>
      </c>
      <c r="B661" s="15">
        <v>45864</v>
      </c>
      <c r="C661" s="15">
        <f>B661+8</f>
        <v>45872</v>
      </c>
      <c r="D661" s="14">
        <v>12908</v>
      </c>
      <c r="E661" s="16" t="s">
        <v>324</v>
      </c>
      <c r="F661" s="17" t="s">
        <v>325</v>
      </c>
      <c r="G661" s="17" t="s">
        <v>132</v>
      </c>
      <c r="H661" s="18" t="s">
        <v>162</v>
      </c>
      <c r="I661" s="19" t="s">
        <v>198</v>
      </c>
      <c r="J661" s="20">
        <v>45776</v>
      </c>
      <c r="K661" s="20">
        <v>45838</v>
      </c>
      <c r="L661" s="21">
        <v>1800000</v>
      </c>
      <c r="M661" s="22">
        <f>SUM(N661:O661)</f>
        <v>1824000</v>
      </c>
      <c r="N661" s="23">
        <v>528000</v>
      </c>
      <c r="O661" s="23">
        <v>1296000</v>
      </c>
      <c r="P661" s="24">
        <f>L661-N661</f>
        <v>1272000</v>
      </c>
      <c r="Q661" s="25">
        <v>1296000</v>
      </c>
      <c r="R661" s="26">
        <v>324000</v>
      </c>
      <c r="S661" s="91">
        <f t="shared" si="575"/>
        <v>3.925925925925926</v>
      </c>
      <c r="T661" s="91">
        <f t="shared" si="576"/>
        <v>4</v>
      </c>
      <c r="U661" s="27" t="s">
        <v>56</v>
      </c>
      <c r="V661" s="19" t="s">
        <v>51</v>
      </c>
      <c r="W661" s="20">
        <v>45845</v>
      </c>
      <c r="X661" s="22"/>
      <c r="Y661" s="19" t="s">
        <v>52</v>
      </c>
      <c r="Z661" s="19" t="s">
        <v>52</v>
      </c>
      <c r="AA661" s="19" t="s">
        <v>52</v>
      </c>
      <c r="AB661" s="28"/>
    </row>
    <row r="662" spans="1:33" s="29" customFormat="1" ht="15" customHeight="1" x14ac:dyDescent="0.25">
      <c r="A662" s="14">
        <v>10</v>
      </c>
      <c r="B662" s="15">
        <v>45864</v>
      </c>
      <c r="C662" s="15">
        <f>B662+8</f>
        <v>45872</v>
      </c>
      <c r="D662" s="14">
        <v>13144</v>
      </c>
      <c r="E662" s="16" t="s">
        <v>307</v>
      </c>
      <c r="F662" s="17" t="s">
        <v>308</v>
      </c>
      <c r="G662" s="17" t="s">
        <v>132</v>
      </c>
      <c r="H662" s="18" t="s">
        <v>133</v>
      </c>
      <c r="I662" s="19" t="s">
        <v>198</v>
      </c>
      <c r="J662" s="20">
        <v>45831</v>
      </c>
      <c r="K662" s="20">
        <v>45882</v>
      </c>
      <c r="L662" s="21">
        <v>450000</v>
      </c>
      <c r="M662" s="22">
        <f>SUM(N662:O662)</f>
        <v>238910</v>
      </c>
      <c r="N662" s="23">
        <v>0</v>
      </c>
      <c r="O662" s="23">
        <v>238910</v>
      </c>
      <c r="P662" s="24">
        <f>L662-N662</f>
        <v>450000</v>
      </c>
      <c r="Q662" s="25">
        <v>130000</v>
      </c>
      <c r="R662" s="26">
        <v>128000</v>
      </c>
      <c r="S662" s="91">
        <f t="shared" si="575"/>
        <v>3.515625</v>
      </c>
      <c r="T662" s="91">
        <f t="shared" si="576"/>
        <v>1.015625</v>
      </c>
      <c r="U662" s="27" t="s">
        <v>56</v>
      </c>
      <c r="V662" s="30" t="s">
        <v>59</v>
      </c>
      <c r="W662" s="31">
        <v>45862</v>
      </c>
      <c r="X662" s="22"/>
      <c r="Y662" s="19" t="s">
        <v>52</v>
      </c>
      <c r="Z662" s="19" t="s">
        <v>52</v>
      </c>
      <c r="AA662" s="19" t="s">
        <v>52</v>
      </c>
      <c r="AB662" s="28"/>
    </row>
    <row r="663" spans="1:33" s="29" customFormat="1" ht="15" customHeight="1" x14ac:dyDescent="0.25">
      <c r="A663" s="14">
        <v>10</v>
      </c>
      <c r="B663" s="15">
        <v>45864</v>
      </c>
      <c r="C663" s="15">
        <f t="shared" si="572"/>
        <v>45872</v>
      </c>
      <c r="D663" s="14">
        <v>13285</v>
      </c>
      <c r="E663" s="16" t="s">
        <v>375</v>
      </c>
      <c r="F663" s="40" t="s">
        <v>370</v>
      </c>
      <c r="G663" s="17" t="s">
        <v>75</v>
      </c>
      <c r="H663" s="18" t="s">
        <v>406</v>
      </c>
      <c r="I663" s="19" t="s">
        <v>79</v>
      </c>
      <c r="J663" s="20">
        <v>45854</v>
      </c>
      <c r="K663" s="20">
        <v>45859</v>
      </c>
      <c r="L663" s="21">
        <v>500000</v>
      </c>
      <c r="M663" s="22">
        <f t="shared" si="573"/>
        <v>280000</v>
      </c>
      <c r="N663" s="23">
        <v>100000</v>
      </c>
      <c r="O663" s="23">
        <v>180000</v>
      </c>
      <c r="P663" s="24">
        <f t="shared" si="574"/>
        <v>400000</v>
      </c>
      <c r="Q663" s="25">
        <v>180000</v>
      </c>
      <c r="R663" s="26">
        <v>210000</v>
      </c>
      <c r="S663" s="91">
        <f t="shared" si="575"/>
        <v>1.9047619047619047</v>
      </c>
      <c r="T663" s="91">
        <f t="shared" si="576"/>
        <v>0.8571428571428571</v>
      </c>
      <c r="U663" s="27" t="s">
        <v>56</v>
      </c>
      <c r="V663" s="19" t="s">
        <v>51</v>
      </c>
      <c r="W663" s="20">
        <v>45859</v>
      </c>
      <c r="X663" s="22"/>
      <c r="Y663" s="19" t="s">
        <v>52</v>
      </c>
      <c r="Z663" s="19" t="s">
        <v>52</v>
      </c>
      <c r="AA663" s="19" t="s">
        <v>52</v>
      </c>
      <c r="AB663" s="28"/>
    </row>
    <row r="664" spans="1:33" s="29" customFormat="1" ht="15" customHeight="1" x14ac:dyDescent="0.25">
      <c r="A664" s="14">
        <v>1</v>
      </c>
      <c r="B664" s="15">
        <v>45863</v>
      </c>
      <c r="C664" s="15">
        <f>B664+8</f>
        <v>45871</v>
      </c>
      <c r="D664" s="14">
        <v>13025</v>
      </c>
      <c r="E664" s="16" t="s">
        <v>105</v>
      </c>
      <c r="F664" s="17" t="s">
        <v>106</v>
      </c>
      <c r="G664" s="17" t="s">
        <v>102</v>
      </c>
      <c r="H664" s="18" t="s">
        <v>542</v>
      </c>
      <c r="I664" s="19" t="s">
        <v>49</v>
      </c>
      <c r="J664" s="20">
        <v>45799</v>
      </c>
      <c r="K664" s="20">
        <v>45839</v>
      </c>
      <c r="L664" s="21">
        <v>2100000</v>
      </c>
      <c r="M664" s="22">
        <f>SUM(N664:O664)</f>
        <v>1434000</v>
      </c>
      <c r="N664" s="23">
        <v>1034000</v>
      </c>
      <c r="O664" s="23">
        <v>400000</v>
      </c>
      <c r="P664" s="24">
        <f>L664-N664</f>
        <v>1066000</v>
      </c>
      <c r="Q664" s="25">
        <v>400000</v>
      </c>
      <c r="R664" s="26">
        <v>50000</v>
      </c>
      <c r="S664" s="91">
        <f t="shared" si="575"/>
        <v>21.32</v>
      </c>
      <c r="T664" s="91">
        <f t="shared" si="576"/>
        <v>8</v>
      </c>
      <c r="U664" s="27" t="s">
        <v>193</v>
      </c>
      <c r="V664" s="19" t="s">
        <v>51</v>
      </c>
      <c r="W664" s="20">
        <v>45833</v>
      </c>
      <c r="X664" s="22"/>
      <c r="Y664" s="19" t="s">
        <v>52</v>
      </c>
      <c r="Z664" s="19" t="s">
        <v>52</v>
      </c>
      <c r="AA664" s="19" t="s">
        <v>52</v>
      </c>
      <c r="AB664" s="28"/>
    </row>
    <row r="665" spans="1:33" s="29" customFormat="1" ht="15" customHeight="1" x14ac:dyDescent="0.25">
      <c r="A665" s="14">
        <v>3</v>
      </c>
      <c r="B665" s="15">
        <v>45864</v>
      </c>
      <c r="C665" s="15">
        <f>B665+8</f>
        <v>45872</v>
      </c>
      <c r="D665" s="14">
        <v>13114</v>
      </c>
      <c r="E665" s="16" t="s">
        <v>372</v>
      </c>
      <c r="F665" s="17" t="s">
        <v>478</v>
      </c>
      <c r="G665" s="17" t="s">
        <v>102</v>
      </c>
      <c r="H665" s="18" t="s">
        <v>57</v>
      </c>
      <c r="I665" s="19" t="s">
        <v>58</v>
      </c>
      <c r="J665" s="20">
        <v>45819</v>
      </c>
      <c r="K665" s="20">
        <v>45846</v>
      </c>
      <c r="L665" s="21">
        <v>1000000</v>
      </c>
      <c r="M665" s="22">
        <f>SUM(N665:O665)</f>
        <v>168000</v>
      </c>
      <c r="N665" s="23">
        <v>0</v>
      </c>
      <c r="O665" s="23">
        <v>168000</v>
      </c>
      <c r="P665" s="24">
        <f>L665-N665</f>
        <v>1000000</v>
      </c>
      <c r="Q665" s="25">
        <v>168000</v>
      </c>
      <c r="R665" s="26">
        <v>48000</v>
      </c>
      <c r="S665" s="91">
        <f t="shared" si="575"/>
        <v>20.833333333333332</v>
      </c>
      <c r="T665" s="91">
        <f t="shared" si="576"/>
        <v>3.5</v>
      </c>
      <c r="U665" s="27" t="s">
        <v>193</v>
      </c>
      <c r="V665" s="19" t="s">
        <v>51</v>
      </c>
      <c r="W665" s="20">
        <v>45859</v>
      </c>
      <c r="X665" s="22"/>
      <c r="Y665" s="19" t="s">
        <v>52</v>
      </c>
      <c r="Z665" s="19" t="s">
        <v>52</v>
      </c>
      <c r="AA665" s="19" t="s">
        <v>52</v>
      </c>
      <c r="AB665" s="28"/>
    </row>
    <row r="666" spans="1:33" s="29" customFormat="1" ht="15" customHeight="1" x14ac:dyDescent="0.25">
      <c r="A666" s="14">
        <v>12</v>
      </c>
      <c r="B666" s="15">
        <v>45864</v>
      </c>
      <c r="C666" s="15">
        <f t="shared" si="572"/>
        <v>45872</v>
      </c>
      <c r="D666" s="14">
        <v>13256</v>
      </c>
      <c r="E666" s="16" t="s">
        <v>339</v>
      </c>
      <c r="F666" s="40" t="s">
        <v>722</v>
      </c>
      <c r="G666" s="17" t="s">
        <v>75</v>
      </c>
      <c r="H666" s="18" t="s">
        <v>57</v>
      </c>
      <c r="I666" s="19" t="s">
        <v>58</v>
      </c>
      <c r="J666" s="20">
        <v>45849</v>
      </c>
      <c r="K666" s="20">
        <v>45876</v>
      </c>
      <c r="L666" s="21">
        <v>600000</v>
      </c>
      <c r="M666" s="22">
        <f t="shared" si="573"/>
        <v>378000</v>
      </c>
      <c r="N666" s="23">
        <v>0</v>
      </c>
      <c r="O666" s="23">
        <v>378000</v>
      </c>
      <c r="P666" s="24">
        <f t="shared" si="574"/>
        <v>600000</v>
      </c>
      <c r="Q666" s="25">
        <v>378000</v>
      </c>
      <c r="R666" s="26">
        <v>144000</v>
      </c>
      <c r="S666" s="91">
        <f t="shared" si="575"/>
        <v>4.166666666666667</v>
      </c>
      <c r="T666" s="91">
        <f t="shared" si="576"/>
        <v>2.625</v>
      </c>
      <c r="U666" s="27" t="s">
        <v>193</v>
      </c>
      <c r="V666" s="30" t="s">
        <v>59</v>
      </c>
      <c r="W666" s="31">
        <v>45865</v>
      </c>
      <c r="X666" s="22"/>
      <c r="Y666" s="19" t="s">
        <v>52</v>
      </c>
      <c r="Z666" s="19" t="s">
        <v>52</v>
      </c>
      <c r="AA666" s="19" t="s">
        <v>52</v>
      </c>
      <c r="AB666" s="28"/>
    </row>
    <row r="667" spans="1:33" ht="15" customHeight="1" x14ac:dyDescent="0.25">
      <c r="A667" s="33" t="s">
        <v>71</v>
      </c>
      <c r="B667" s="34"/>
      <c r="C667" s="34"/>
      <c r="D667" s="34"/>
      <c r="E667" s="34"/>
      <c r="F667" s="35"/>
      <c r="G667" s="35"/>
      <c r="H667" s="34"/>
      <c r="I667" s="34"/>
      <c r="J667" s="34"/>
      <c r="K667" s="34"/>
      <c r="L667" s="36"/>
      <c r="M667" s="36"/>
      <c r="N667" s="36"/>
      <c r="O667" s="36"/>
      <c r="P667" s="36"/>
      <c r="Q667" s="36">
        <f>SUM(Q660:Q666)</f>
        <v>2632000</v>
      </c>
      <c r="R667" s="36"/>
      <c r="S667" s="92"/>
      <c r="T667" s="93">
        <f>SUM(T660:T666)</f>
        <v>20.95014880952381</v>
      </c>
      <c r="U667" s="37"/>
      <c r="V667" s="38"/>
      <c r="W667" s="38"/>
      <c r="X667" s="38"/>
      <c r="Y667" s="34"/>
      <c r="Z667" s="34"/>
      <c r="AA667" s="39"/>
      <c r="AB667" s="29" t="s">
        <v>739</v>
      </c>
      <c r="AC667" s="81" t="s">
        <v>776</v>
      </c>
      <c r="AD667" s="83">
        <v>4791.67</v>
      </c>
      <c r="AF667" s="83">
        <v>0</v>
      </c>
      <c r="AG667" s="83">
        <f>SUM(AD667,AF667)</f>
        <v>4791.67</v>
      </c>
    </row>
    <row r="668" spans="1:33" s="29" customFormat="1" ht="15" customHeight="1" x14ac:dyDescent="0.25">
      <c r="A668" s="14">
        <v>4</v>
      </c>
      <c r="B668" s="15">
        <v>45867</v>
      </c>
      <c r="C668" s="15">
        <f t="shared" ref="C668:C673" si="577">B668+8</f>
        <v>45875</v>
      </c>
      <c r="D668" s="14">
        <v>13019</v>
      </c>
      <c r="E668" s="16" t="s">
        <v>87</v>
      </c>
      <c r="F668" s="40" t="s">
        <v>88</v>
      </c>
      <c r="G668" s="17" t="s">
        <v>75</v>
      </c>
      <c r="H668" s="18" t="s">
        <v>542</v>
      </c>
      <c r="I668" s="19" t="s">
        <v>49</v>
      </c>
      <c r="J668" s="20">
        <v>45799</v>
      </c>
      <c r="K668" s="20">
        <v>45831</v>
      </c>
      <c r="L668" s="21">
        <v>1300000</v>
      </c>
      <c r="M668" s="22">
        <f t="shared" ref="M668:M673" si="578">SUM(N668:O668)</f>
        <v>1260000</v>
      </c>
      <c r="N668" s="23">
        <v>1041000</v>
      </c>
      <c r="O668" s="23">
        <v>219000</v>
      </c>
      <c r="P668" s="24">
        <f t="shared" ref="P668:P673" si="579">L668-N668</f>
        <v>259000</v>
      </c>
      <c r="Q668" s="25">
        <v>219000</v>
      </c>
      <c r="R668" s="26">
        <v>150000</v>
      </c>
      <c r="S668" s="91">
        <f t="shared" ref="S668:S673" si="580">IF(P668&gt;0,P668/$R668,0)</f>
        <v>1.7266666666666666</v>
      </c>
      <c r="T668" s="91">
        <f t="shared" ref="T668:T673" si="581">IF(Q668&gt;0,Q668/$R668,0)</f>
        <v>1.46</v>
      </c>
      <c r="U668" s="27" t="s">
        <v>56</v>
      </c>
      <c r="V668" s="19" t="s">
        <v>51</v>
      </c>
      <c r="W668" s="20">
        <v>45821</v>
      </c>
      <c r="X668" s="22"/>
      <c r="Y668" s="19" t="s">
        <v>52</v>
      </c>
      <c r="Z668" s="19" t="s">
        <v>52</v>
      </c>
      <c r="AA668" s="19" t="s">
        <v>52</v>
      </c>
      <c r="AB668" s="28"/>
    </row>
    <row r="669" spans="1:33" s="29" customFormat="1" ht="15" customHeight="1" x14ac:dyDescent="0.25">
      <c r="A669" s="14">
        <v>8</v>
      </c>
      <c r="B669" s="15">
        <v>45867</v>
      </c>
      <c r="C669" s="15">
        <f t="shared" si="577"/>
        <v>45875</v>
      </c>
      <c r="D669" s="14">
        <v>13097</v>
      </c>
      <c r="E669" s="16" t="s">
        <v>430</v>
      </c>
      <c r="F669" s="40" t="s">
        <v>431</v>
      </c>
      <c r="G669" s="17" t="s">
        <v>75</v>
      </c>
      <c r="H669" s="18" t="s">
        <v>542</v>
      </c>
      <c r="I669" s="19" t="s">
        <v>70</v>
      </c>
      <c r="J669" s="20">
        <v>45814</v>
      </c>
      <c r="K669" s="20">
        <v>45848</v>
      </c>
      <c r="L669" s="21">
        <v>2000000</v>
      </c>
      <c r="M669" s="22">
        <f t="shared" si="578"/>
        <v>1914000</v>
      </c>
      <c r="N669" s="23">
        <v>1764000</v>
      </c>
      <c r="O669" s="23">
        <v>150000</v>
      </c>
      <c r="P669" s="24">
        <f t="shared" si="579"/>
        <v>236000</v>
      </c>
      <c r="Q669" s="25">
        <v>150000</v>
      </c>
      <c r="R669" s="26">
        <v>150000</v>
      </c>
      <c r="S669" s="91">
        <f t="shared" si="580"/>
        <v>1.5733333333333333</v>
      </c>
      <c r="T669" s="91">
        <f t="shared" si="581"/>
        <v>1</v>
      </c>
      <c r="U669" s="27" t="s">
        <v>56</v>
      </c>
      <c r="V669" s="19" t="s">
        <v>51</v>
      </c>
      <c r="W669" s="20">
        <v>45842</v>
      </c>
      <c r="X669" s="22"/>
      <c r="Y669" s="19" t="s">
        <v>52</v>
      </c>
      <c r="Z669" s="19" t="s">
        <v>52</v>
      </c>
      <c r="AA669" s="19" t="s">
        <v>52</v>
      </c>
      <c r="AB669" s="28"/>
    </row>
    <row r="670" spans="1:33" s="29" customFormat="1" ht="15" customHeight="1" x14ac:dyDescent="0.25">
      <c r="A670" s="14">
        <v>1</v>
      </c>
      <c r="B670" s="15">
        <v>45867</v>
      </c>
      <c r="C670" s="15">
        <f>B670+8</f>
        <v>45875</v>
      </c>
      <c r="D670" s="14">
        <v>13025</v>
      </c>
      <c r="E670" s="16" t="s">
        <v>105</v>
      </c>
      <c r="F670" s="17" t="s">
        <v>106</v>
      </c>
      <c r="G670" s="17" t="s">
        <v>102</v>
      </c>
      <c r="H670" s="18" t="s">
        <v>542</v>
      </c>
      <c r="I670" s="19" t="s">
        <v>49</v>
      </c>
      <c r="J670" s="20">
        <v>45799</v>
      </c>
      <c r="K670" s="20">
        <v>45839</v>
      </c>
      <c r="L670" s="21">
        <v>2100000</v>
      </c>
      <c r="M670" s="22">
        <f>SUM(N670:O670)</f>
        <v>1664000</v>
      </c>
      <c r="N670" s="23">
        <v>1034000</v>
      </c>
      <c r="O670" s="23">
        <v>630000</v>
      </c>
      <c r="P670" s="24">
        <f>L670-N670</f>
        <v>1066000</v>
      </c>
      <c r="Q670" s="25">
        <v>630000</v>
      </c>
      <c r="R670" s="26">
        <v>50000</v>
      </c>
      <c r="S670" s="91">
        <f t="shared" si="580"/>
        <v>21.32</v>
      </c>
      <c r="T670" s="91">
        <f t="shared" si="581"/>
        <v>12.6</v>
      </c>
      <c r="U670" s="27" t="s">
        <v>193</v>
      </c>
      <c r="V670" s="19" t="s">
        <v>51</v>
      </c>
      <c r="W670" s="20">
        <v>45833</v>
      </c>
      <c r="X670" s="22"/>
      <c r="Y670" s="19" t="s">
        <v>52</v>
      </c>
      <c r="Z670" s="19" t="s">
        <v>52</v>
      </c>
      <c r="AA670" s="19" t="s">
        <v>52</v>
      </c>
      <c r="AB670" s="28"/>
    </row>
    <row r="671" spans="1:33" s="29" customFormat="1" ht="15" customHeight="1" x14ac:dyDescent="0.25">
      <c r="A671" s="14">
        <v>3</v>
      </c>
      <c r="B671" s="15">
        <v>45867</v>
      </c>
      <c r="C671" s="15">
        <f>B671+8</f>
        <v>45875</v>
      </c>
      <c r="D671" s="14">
        <v>13114</v>
      </c>
      <c r="E671" s="16" t="s">
        <v>372</v>
      </c>
      <c r="F671" s="17" t="s">
        <v>478</v>
      </c>
      <c r="G671" s="17" t="s">
        <v>102</v>
      </c>
      <c r="H671" s="18" t="s">
        <v>57</v>
      </c>
      <c r="I671" s="19" t="s">
        <v>58</v>
      </c>
      <c r="J671" s="20">
        <v>45819</v>
      </c>
      <c r="K671" s="20">
        <v>45846</v>
      </c>
      <c r="L671" s="21">
        <v>1000000</v>
      </c>
      <c r="M671" s="22">
        <f>SUM(N671:O671)</f>
        <v>378000</v>
      </c>
      <c r="N671" s="23">
        <v>0</v>
      </c>
      <c r="O671" s="23">
        <v>378000</v>
      </c>
      <c r="P671" s="24">
        <f>L671-N671</f>
        <v>1000000</v>
      </c>
      <c r="Q671" s="25">
        <v>378000</v>
      </c>
      <c r="R671" s="26">
        <v>48000</v>
      </c>
      <c r="S671" s="91">
        <f t="shared" si="580"/>
        <v>20.833333333333332</v>
      </c>
      <c r="T671" s="91">
        <f t="shared" si="581"/>
        <v>7.875</v>
      </c>
      <c r="U671" s="27" t="s">
        <v>193</v>
      </c>
      <c r="V671" s="19" t="s">
        <v>51</v>
      </c>
      <c r="W671" s="20">
        <v>45859</v>
      </c>
      <c r="X671" s="22"/>
      <c r="Y671" s="19" t="s">
        <v>52</v>
      </c>
      <c r="Z671" s="19" t="s">
        <v>52</v>
      </c>
      <c r="AA671" s="19" t="s">
        <v>52</v>
      </c>
      <c r="AB671" s="28"/>
    </row>
    <row r="672" spans="1:33" s="29" customFormat="1" ht="15" customHeight="1" x14ac:dyDescent="0.25">
      <c r="A672" s="14">
        <v>12</v>
      </c>
      <c r="B672" s="15">
        <v>45867</v>
      </c>
      <c r="C672" s="15">
        <f t="shared" si="577"/>
        <v>45875</v>
      </c>
      <c r="D672" s="14">
        <v>13256</v>
      </c>
      <c r="E672" s="16" t="s">
        <v>339</v>
      </c>
      <c r="F672" s="40" t="s">
        <v>722</v>
      </c>
      <c r="G672" s="17" t="s">
        <v>75</v>
      </c>
      <c r="H672" s="18" t="s">
        <v>57</v>
      </c>
      <c r="I672" s="19" t="s">
        <v>58</v>
      </c>
      <c r="J672" s="20">
        <v>45849</v>
      </c>
      <c r="K672" s="20">
        <v>45876</v>
      </c>
      <c r="L672" s="21">
        <v>600000</v>
      </c>
      <c r="M672" s="22">
        <f t="shared" si="578"/>
        <v>210000</v>
      </c>
      <c r="N672" s="23">
        <v>0</v>
      </c>
      <c r="O672" s="23">
        <v>210000</v>
      </c>
      <c r="P672" s="24">
        <f t="shared" si="579"/>
        <v>600000</v>
      </c>
      <c r="Q672" s="25">
        <v>210000</v>
      </c>
      <c r="R672" s="26">
        <v>144000</v>
      </c>
      <c r="S672" s="91">
        <f t="shared" si="580"/>
        <v>4.166666666666667</v>
      </c>
      <c r="T672" s="91">
        <f t="shared" si="581"/>
        <v>1.4583333333333333</v>
      </c>
      <c r="U672" s="27" t="s">
        <v>193</v>
      </c>
      <c r="V672" s="30" t="s">
        <v>59</v>
      </c>
      <c r="W672" s="31">
        <v>45865</v>
      </c>
      <c r="X672" s="22"/>
      <c r="Y672" s="19" t="s">
        <v>52</v>
      </c>
      <c r="Z672" s="19" t="s">
        <v>52</v>
      </c>
      <c r="AA672" s="19" t="s">
        <v>52</v>
      </c>
      <c r="AB672" s="28"/>
    </row>
    <row r="673" spans="1:33" s="29" customFormat="1" ht="15" customHeight="1" x14ac:dyDescent="0.25">
      <c r="A673" s="14">
        <v>6</v>
      </c>
      <c r="B673" s="15">
        <v>45867</v>
      </c>
      <c r="C673" s="15">
        <f t="shared" si="577"/>
        <v>45875</v>
      </c>
      <c r="D673" s="14">
        <v>13203</v>
      </c>
      <c r="E673" s="16" t="s">
        <v>121</v>
      </c>
      <c r="F673" s="17" t="s">
        <v>122</v>
      </c>
      <c r="G673" s="17" t="s">
        <v>102</v>
      </c>
      <c r="H673" s="18" t="s">
        <v>542</v>
      </c>
      <c r="I673" s="19" t="s">
        <v>70</v>
      </c>
      <c r="J673" s="20">
        <v>45840</v>
      </c>
      <c r="K673" s="20">
        <v>45873</v>
      </c>
      <c r="L673" s="21">
        <v>300000</v>
      </c>
      <c r="M673" s="22">
        <f t="shared" si="578"/>
        <v>150000</v>
      </c>
      <c r="N673" s="23">
        <v>0</v>
      </c>
      <c r="O673" s="23">
        <v>150000</v>
      </c>
      <c r="P673" s="24">
        <f t="shared" si="579"/>
        <v>300000</v>
      </c>
      <c r="Q673" s="25">
        <v>150000</v>
      </c>
      <c r="R673" s="26">
        <v>50000</v>
      </c>
      <c r="S673" s="91">
        <f t="shared" si="580"/>
        <v>6</v>
      </c>
      <c r="T673" s="91">
        <f t="shared" si="581"/>
        <v>3</v>
      </c>
      <c r="U673" s="27" t="s">
        <v>193</v>
      </c>
      <c r="V673" s="30" t="s">
        <v>59</v>
      </c>
      <c r="W673" s="31">
        <v>45862</v>
      </c>
      <c r="X673" s="22"/>
      <c r="Y673" s="19" t="s">
        <v>52</v>
      </c>
      <c r="Z673" s="19" t="s">
        <v>52</v>
      </c>
      <c r="AA673" s="19" t="s">
        <v>52</v>
      </c>
      <c r="AB673" s="28"/>
    </row>
    <row r="674" spans="1:33" ht="15" customHeight="1" x14ac:dyDescent="0.25">
      <c r="A674" s="33" t="s">
        <v>71</v>
      </c>
      <c r="B674" s="34"/>
      <c r="C674" s="34"/>
      <c r="D674" s="34"/>
      <c r="E674" s="34"/>
      <c r="F674" s="35"/>
      <c r="G674" s="35"/>
      <c r="H674" s="34"/>
      <c r="I674" s="34"/>
      <c r="J674" s="34"/>
      <c r="K674" s="34"/>
      <c r="L674" s="36"/>
      <c r="M674" s="36"/>
      <c r="N674" s="36"/>
      <c r="O674" s="36"/>
      <c r="P674" s="36"/>
      <c r="Q674" s="36">
        <f>SUM(Q668:Q673)</f>
        <v>1737000</v>
      </c>
      <c r="R674" s="36"/>
      <c r="S674" s="92"/>
      <c r="T674" s="93">
        <f>SUM(T668:T673)</f>
        <v>27.393333333333331</v>
      </c>
      <c r="U674" s="37"/>
      <c r="V674" s="38"/>
      <c r="W674" s="38"/>
      <c r="X674" s="38"/>
      <c r="Y674" s="34"/>
      <c r="Z674" s="34"/>
      <c r="AA674" s="39"/>
      <c r="AB674" s="29" t="s">
        <v>741</v>
      </c>
      <c r="AC674" s="81" t="s">
        <v>742</v>
      </c>
      <c r="AD674" s="83">
        <v>5000</v>
      </c>
      <c r="AF674" s="83">
        <v>0</v>
      </c>
      <c r="AG674" s="83">
        <f>SUM(AD674,AF674)</f>
        <v>5000</v>
      </c>
    </row>
    <row r="675" spans="1:33" s="29" customFormat="1" ht="15" customHeight="1" x14ac:dyDescent="0.25">
      <c r="A675" s="14">
        <v>3</v>
      </c>
      <c r="B675" s="15">
        <v>45869</v>
      </c>
      <c r="C675" s="15">
        <f t="shared" ref="C675:C680" si="582">B675+8</f>
        <v>45877</v>
      </c>
      <c r="D675" s="14">
        <v>13114</v>
      </c>
      <c r="E675" s="16" t="s">
        <v>372</v>
      </c>
      <c r="F675" s="17" t="s">
        <v>478</v>
      </c>
      <c r="G675" s="17" t="s">
        <v>102</v>
      </c>
      <c r="H675" s="18" t="s">
        <v>57</v>
      </c>
      <c r="I675" s="19" t="s">
        <v>58</v>
      </c>
      <c r="J675" s="20">
        <v>45819</v>
      </c>
      <c r="K675" s="20">
        <v>45846</v>
      </c>
      <c r="L675" s="21">
        <v>1000000</v>
      </c>
      <c r="M675" s="22">
        <f>SUM(N675:O675)</f>
        <v>798000</v>
      </c>
      <c r="N675" s="23">
        <v>546000</v>
      </c>
      <c r="O675" s="23">
        <v>252000</v>
      </c>
      <c r="P675" s="24">
        <f t="shared" ref="P675:P680" si="583">L675-N675</f>
        <v>454000</v>
      </c>
      <c r="Q675" s="25">
        <v>252000</v>
      </c>
      <c r="R675" s="26">
        <v>48000</v>
      </c>
      <c r="S675" s="91">
        <f t="shared" ref="S675:S681" si="584">IF(P675&gt;0,P675/$R675,0)</f>
        <v>9.4583333333333339</v>
      </c>
      <c r="T675" s="91">
        <f t="shared" ref="T675:T681" si="585">IF(Q675&gt;0,Q675/$R675,0)</f>
        <v>5.25</v>
      </c>
      <c r="U675" s="27" t="s">
        <v>193</v>
      </c>
      <c r="V675" s="19" t="s">
        <v>51</v>
      </c>
      <c r="W675" s="20">
        <v>45859</v>
      </c>
      <c r="X675" s="22"/>
      <c r="Y675" s="19" t="s">
        <v>52</v>
      </c>
      <c r="Z675" s="19" t="s">
        <v>52</v>
      </c>
      <c r="AA675" s="19" t="s">
        <v>52</v>
      </c>
      <c r="AB675" s="28"/>
    </row>
    <row r="676" spans="1:33" s="29" customFormat="1" ht="15" customHeight="1" x14ac:dyDescent="0.25">
      <c r="A676" s="14">
        <v>5</v>
      </c>
      <c r="B676" s="15">
        <v>45869</v>
      </c>
      <c r="C676" s="15">
        <f t="shared" si="582"/>
        <v>45877</v>
      </c>
      <c r="D676" s="14">
        <v>13204</v>
      </c>
      <c r="E676" s="16" t="s">
        <v>403</v>
      </c>
      <c r="F676" s="17" t="s">
        <v>708</v>
      </c>
      <c r="G676" s="17" t="s">
        <v>47</v>
      </c>
      <c r="H676" s="18" t="s">
        <v>542</v>
      </c>
      <c r="I676" s="19" t="s">
        <v>70</v>
      </c>
      <c r="J676" s="20">
        <v>45840</v>
      </c>
      <c r="K676" s="20">
        <v>45877</v>
      </c>
      <c r="L676" s="21">
        <v>2000000</v>
      </c>
      <c r="M676" s="22">
        <f>SUM(N676:O676)</f>
        <v>100000</v>
      </c>
      <c r="N676" s="23">
        <v>0</v>
      </c>
      <c r="O676" s="23">
        <v>100000</v>
      </c>
      <c r="P676" s="24">
        <f t="shared" si="583"/>
        <v>2000000</v>
      </c>
      <c r="Q676" s="25">
        <v>100000</v>
      </c>
      <c r="R676" s="26">
        <v>50000</v>
      </c>
      <c r="S676" s="91">
        <f t="shared" si="584"/>
        <v>40</v>
      </c>
      <c r="T676" s="91">
        <f t="shared" si="585"/>
        <v>2</v>
      </c>
      <c r="U676" s="27" t="s">
        <v>193</v>
      </c>
      <c r="V676" s="19" t="s">
        <v>51</v>
      </c>
      <c r="W676" s="20">
        <v>45864</v>
      </c>
      <c r="X676" s="22"/>
      <c r="Y676" s="19" t="s">
        <v>52</v>
      </c>
      <c r="Z676" s="19" t="s">
        <v>52</v>
      </c>
      <c r="AA676" s="19" t="s">
        <v>52</v>
      </c>
      <c r="AB676" s="42"/>
    </row>
    <row r="677" spans="1:33" s="29" customFormat="1" ht="15" customHeight="1" x14ac:dyDescent="0.25">
      <c r="A677" s="14">
        <v>7</v>
      </c>
      <c r="B677" s="15">
        <v>45869</v>
      </c>
      <c r="C677" s="15">
        <f t="shared" si="582"/>
        <v>45877</v>
      </c>
      <c r="D677" s="14">
        <v>13228</v>
      </c>
      <c r="E677" s="16" t="s">
        <v>287</v>
      </c>
      <c r="F677" s="17" t="s">
        <v>288</v>
      </c>
      <c r="G677" s="17" t="s">
        <v>102</v>
      </c>
      <c r="H677" s="18" t="s">
        <v>62</v>
      </c>
      <c r="I677" s="19" t="s">
        <v>63</v>
      </c>
      <c r="J677" s="20">
        <v>45847</v>
      </c>
      <c r="K677" s="20">
        <v>45875</v>
      </c>
      <c r="L677" s="21">
        <v>1000000</v>
      </c>
      <c r="M677" s="22">
        <f>SUM(N677:O677)</f>
        <v>168000</v>
      </c>
      <c r="N677" s="23">
        <v>0</v>
      </c>
      <c r="O677" s="23">
        <v>168000</v>
      </c>
      <c r="P677" s="24">
        <f t="shared" si="583"/>
        <v>1000000</v>
      </c>
      <c r="Q677" s="25">
        <v>168000</v>
      </c>
      <c r="R677" s="26">
        <v>84000</v>
      </c>
      <c r="S677" s="91">
        <f t="shared" si="584"/>
        <v>11.904761904761905</v>
      </c>
      <c r="T677" s="91">
        <f t="shared" si="585"/>
        <v>2</v>
      </c>
      <c r="U677" s="27" t="s">
        <v>193</v>
      </c>
      <c r="V677" s="19" t="s">
        <v>51</v>
      </c>
      <c r="W677" s="20">
        <v>45862</v>
      </c>
      <c r="X677" s="22"/>
      <c r="Y677" s="19" t="s">
        <v>52</v>
      </c>
      <c r="Z677" s="19" t="s">
        <v>52</v>
      </c>
      <c r="AA677" s="19" t="s">
        <v>52</v>
      </c>
      <c r="AB677" s="28"/>
    </row>
    <row r="678" spans="1:33" s="29" customFormat="1" ht="15" customHeight="1" x14ac:dyDescent="0.25">
      <c r="A678" s="14">
        <v>10</v>
      </c>
      <c r="B678" s="15">
        <v>45869</v>
      </c>
      <c r="C678" s="15">
        <f t="shared" si="582"/>
        <v>45877</v>
      </c>
      <c r="D678" s="14">
        <v>13248</v>
      </c>
      <c r="E678" s="16" t="s">
        <v>360</v>
      </c>
      <c r="F678" s="17" t="s">
        <v>361</v>
      </c>
      <c r="G678" s="17" t="s">
        <v>102</v>
      </c>
      <c r="H678" s="18" t="s">
        <v>113</v>
      </c>
      <c r="I678" s="19" t="s">
        <v>698</v>
      </c>
      <c r="J678" s="20">
        <v>45848</v>
      </c>
      <c r="K678" s="20">
        <v>45877</v>
      </c>
      <c r="L678" s="21">
        <v>100000</v>
      </c>
      <c r="M678" s="22">
        <f>SUM(N678:O678)</f>
        <v>70000</v>
      </c>
      <c r="N678" s="23">
        <v>0</v>
      </c>
      <c r="O678" s="23">
        <v>70000</v>
      </c>
      <c r="P678" s="24">
        <f t="shared" si="583"/>
        <v>100000</v>
      </c>
      <c r="Q678" s="25">
        <v>68000</v>
      </c>
      <c r="R678" s="26">
        <v>100000</v>
      </c>
      <c r="S678" s="91">
        <f t="shared" si="584"/>
        <v>1</v>
      </c>
      <c r="T678" s="91">
        <f t="shared" si="585"/>
        <v>0.68</v>
      </c>
      <c r="U678" s="27" t="s">
        <v>193</v>
      </c>
      <c r="V678" s="30" t="s">
        <v>59</v>
      </c>
      <c r="W678" s="31">
        <v>45868</v>
      </c>
      <c r="X678" s="22"/>
      <c r="Y678" s="19" t="s">
        <v>52</v>
      </c>
      <c r="Z678" s="19" t="s">
        <v>52</v>
      </c>
      <c r="AA678" s="19" t="s">
        <v>52</v>
      </c>
      <c r="AB678" s="28"/>
    </row>
    <row r="679" spans="1:33" s="29" customFormat="1" ht="15" customHeight="1" x14ac:dyDescent="0.25">
      <c r="A679" s="14">
        <v>4</v>
      </c>
      <c r="B679" s="15">
        <v>45869</v>
      </c>
      <c r="C679" s="15">
        <f t="shared" si="582"/>
        <v>45877</v>
      </c>
      <c r="D679" s="14">
        <v>13252</v>
      </c>
      <c r="E679" s="16" t="s">
        <v>671</v>
      </c>
      <c r="F679" s="17" t="s">
        <v>672</v>
      </c>
      <c r="G679" s="17" t="s">
        <v>47</v>
      </c>
      <c r="H679" s="18" t="s">
        <v>57</v>
      </c>
      <c r="I679" s="19" t="s">
        <v>58</v>
      </c>
      <c r="J679" s="20">
        <v>45848</v>
      </c>
      <c r="K679" s="20">
        <v>45876</v>
      </c>
      <c r="L679" s="21">
        <v>400000</v>
      </c>
      <c r="M679" s="22">
        <f t="shared" ref="M679" si="586">SUM(N679:O679)</f>
        <v>418000</v>
      </c>
      <c r="N679" s="23">
        <v>0</v>
      </c>
      <c r="O679" s="23">
        <v>418000</v>
      </c>
      <c r="P679" s="24">
        <f t="shared" si="583"/>
        <v>400000</v>
      </c>
      <c r="Q679" s="25">
        <v>418000</v>
      </c>
      <c r="R679" s="26">
        <v>42000</v>
      </c>
      <c r="S679" s="91">
        <f t="shared" si="584"/>
        <v>9.5238095238095237</v>
      </c>
      <c r="T679" s="91">
        <f t="shared" si="585"/>
        <v>9.9523809523809526</v>
      </c>
      <c r="U679" s="27" t="s">
        <v>193</v>
      </c>
      <c r="V679" s="19" t="s">
        <v>51</v>
      </c>
      <c r="W679" s="20">
        <v>45864</v>
      </c>
      <c r="X679" s="22"/>
      <c r="Y679" s="19" t="s">
        <v>52</v>
      </c>
      <c r="Z679" s="19" t="s">
        <v>52</v>
      </c>
      <c r="AA679" s="19" t="s">
        <v>52</v>
      </c>
      <c r="AB679" s="42"/>
    </row>
    <row r="680" spans="1:33" s="29" customFormat="1" ht="15" customHeight="1" x14ac:dyDescent="0.25">
      <c r="A680" s="14">
        <v>6</v>
      </c>
      <c r="B680" s="15">
        <v>45869</v>
      </c>
      <c r="C680" s="15">
        <f t="shared" si="582"/>
        <v>45877</v>
      </c>
      <c r="D680" s="14">
        <v>13203</v>
      </c>
      <c r="E680" s="16" t="s">
        <v>121</v>
      </c>
      <c r="F680" s="17" t="s">
        <v>122</v>
      </c>
      <c r="G680" s="17" t="s">
        <v>102</v>
      </c>
      <c r="H680" s="18" t="s">
        <v>542</v>
      </c>
      <c r="I680" s="19" t="s">
        <v>70</v>
      </c>
      <c r="J680" s="20">
        <v>45840</v>
      </c>
      <c r="K680" s="20">
        <v>45873</v>
      </c>
      <c r="L680" s="21">
        <v>300000</v>
      </c>
      <c r="M680" s="22">
        <f>SUM(N680:O680)</f>
        <v>321000</v>
      </c>
      <c r="N680" s="23">
        <v>150000</v>
      </c>
      <c r="O680" s="23">
        <v>171000</v>
      </c>
      <c r="P680" s="24">
        <f t="shared" si="583"/>
        <v>150000</v>
      </c>
      <c r="Q680" s="25">
        <v>171000</v>
      </c>
      <c r="R680" s="26">
        <v>50000</v>
      </c>
      <c r="S680" s="91">
        <f t="shared" si="584"/>
        <v>3</v>
      </c>
      <c r="T680" s="91">
        <f t="shared" si="585"/>
        <v>3.42</v>
      </c>
      <c r="U680" s="27" t="s">
        <v>193</v>
      </c>
      <c r="V680" s="19" t="s">
        <v>51</v>
      </c>
      <c r="W680" s="20">
        <v>45862</v>
      </c>
      <c r="X680" s="22"/>
      <c r="Y680" s="19" t="s">
        <v>52</v>
      </c>
      <c r="Z680" s="19" t="s">
        <v>52</v>
      </c>
      <c r="AA680" s="19" t="s">
        <v>52</v>
      </c>
      <c r="AB680" s="28"/>
    </row>
    <row r="681" spans="1:33" s="29" customFormat="1" ht="15" customHeight="1" x14ac:dyDescent="0.25">
      <c r="A681" s="14">
        <v>13</v>
      </c>
      <c r="B681" s="15">
        <v>45869</v>
      </c>
      <c r="C681" s="15">
        <f t="shared" ref="C681" si="587">B681+8</f>
        <v>45877</v>
      </c>
      <c r="D681" s="14">
        <v>13246</v>
      </c>
      <c r="E681" s="16" t="s">
        <v>684</v>
      </c>
      <c r="F681" s="40" t="s">
        <v>720</v>
      </c>
      <c r="G681" s="17" t="s">
        <v>75</v>
      </c>
      <c r="H681" s="18" t="s">
        <v>57</v>
      </c>
      <c r="I681" s="19" t="s">
        <v>94</v>
      </c>
      <c r="J681" s="20">
        <v>45848</v>
      </c>
      <c r="K681" s="20">
        <v>45881</v>
      </c>
      <c r="L681" s="21">
        <v>400000</v>
      </c>
      <c r="M681" s="22">
        <f t="shared" ref="M681" si="588">SUM(N681:O681)</f>
        <v>400000</v>
      </c>
      <c r="N681" s="23">
        <v>0</v>
      </c>
      <c r="O681" s="23">
        <v>400000</v>
      </c>
      <c r="P681" s="24">
        <f t="shared" ref="P681" si="589">L681-N681</f>
        <v>400000</v>
      </c>
      <c r="Q681" s="25">
        <v>400000</v>
      </c>
      <c r="R681" s="26">
        <v>100000</v>
      </c>
      <c r="S681" s="91">
        <f t="shared" si="584"/>
        <v>4</v>
      </c>
      <c r="T681" s="91">
        <f t="shared" si="585"/>
        <v>4</v>
      </c>
      <c r="U681" s="27" t="s">
        <v>193</v>
      </c>
      <c r="V681" s="19" t="s">
        <v>51</v>
      </c>
      <c r="W681" s="20">
        <v>45864</v>
      </c>
      <c r="X681" s="22"/>
      <c r="Y681" s="19" t="s">
        <v>52</v>
      </c>
      <c r="Z681" s="19" t="s">
        <v>52</v>
      </c>
      <c r="AA681" s="19" t="s">
        <v>52</v>
      </c>
      <c r="AB681" s="28"/>
    </row>
    <row r="682" spans="1:33" ht="15" customHeight="1" x14ac:dyDescent="0.25">
      <c r="A682" s="33" t="s">
        <v>71</v>
      </c>
      <c r="B682" s="34"/>
      <c r="C682" s="34"/>
      <c r="D682" s="34"/>
      <c r="E682" s="34"/>
      <c r="F682" s="35"/>
      <c r="G682" s="35"/>
      <c r="H682" s="34"/>
      <c r="I682" s="34"/>
      <c r="J682" s="34"/>
      <c r="K682" s="34"/>
      <c r="L682" s="36"/>
      <c r="M682" s="36"/>
      <c r="N682" s="36"/>
      <c r="O682" s="36"/>
      <c r="P682" s="36"/>
      <c r="Q682" s="36">
        <f>SUM(Q675:Q681)</f>
        <v>1577000</v>
      </c>
      <c r="R682" s="36"/>
      <c r="S682" s="92"/>
      <c r="T682" s="93">
        <f>SUM(T675:T681)</f>
        <v>27.30238095238095</v>
      </c>
      <c r="U682" s="37"/>
      <c r="V682" s="38"/>
      <c r="W682" s="38"/>
      <c r="X682" s="38"/>
      <c r="Y682" s="34"/>
      <c r="Z682" s="34"/>
      <c r="AA682" s="39"/>
      <c r="AB682" s="29" t="s">
        <v>748</v>
      </c>
      <c r="AC682" s="81" t="s">
        <v>752</v>
      </c>
      <c r="AD682" s="83">
        <v>5000</v>
      </c>
      <c r="AF682" s="83">
        <v>0</v>
      </c>
      <c r="AG682" s="83">
        <f>SUM(AD682,AF682)</f>
        <v>5000</v>
      </c>
    </row>
    <row r="683" spans="1:33" s="29" customFormat="1" ht="15" customHeight="1" x14ac:dyDescent="0.25">
      <c r="A683" s="14">
        <v>5</v>
      </c>
      <c r="B683" s="15">
        <v>45869</v>
      </c>
      <c r="C683" s="15">
        <f>B683+8</f>
        <v>45877</v>
      </c>
      <c r="D683" s="14">
        <v>13208</v>
      </c>
      <c r="E683" s="16" t="s">
        <v>626</v>
      </c>
      <c r="F683" s="17" t="s">
        <v>627</v>
      </c>
      <c r="G683" s="17" t="s">
        <v>102</v>
      </c>
      <c r="H683" s="18" t="s">
        <v>57</v>
      </c>
      <c r="I683" s="19" t="s">
        <v>94</v>
      </c>
      <c r="J683" s="20">
        <v>45841</v>
      </c>
      <c r="K683" s="20">
        <v>45868</v>
      </c>
      <c r="L683" s="21">
        <v>200000</v>
      </c>
      <c r="M683" s="22">
        <f>SUM(N683:O683)</f>
        <v>196000</v>
      </c>
      <c r="N683" s="23">
        <v>0</v>
      </c>
      <c r="O683" s="23">
        <v>196000</v>
      </c>
      <c r="P683" s="24">
        <f>L683-N683</f>
        <v>200000</v>
      </c>
      <c r="Q683" s="25">
        <v>148000</v>
      </c>
      <c r="R683" s="26">
        <v>50000</v>
      </c>
      <c r="S683" s="91">
        <f t="shared" ref="S683:S684" si="590">IF(P683&gt;0,P683/$R683,0)</f>
        <v>4</v>
      </c>
      <c r="T683" s="91">
        <f t="shared" ref="T683:T684" si="591">IF(Q683&gt;0,Q683/$R683,0)</f>
        <v>2.96</v>
      </c>
      <c r="U683" s="27" t="s">
        <v>193</v>
      </c>
      <c r="V683" s="19" t="s">
        <v>51</v>
      </c>
      <c r="W683" s="20">
        <v>45862</v>
      </c>
      <c r="X683" s="22"/>
      <c r="Y683" s="19" t="s">
        <v>52</v>
      </c>
      <c r="Z683" s="19" t="s">
        <v>52</v>
      </c>
      <c r="AA683" s="19" t="s">
        <v>52</v>
      </c>
      <c r="AB683" s="28"/>
    </row>
    <row r="684" spans="1:33" s="29" customFormat="1" ht="15" customHeight="1" x14ac:dyDescent="0.25">
      <c r="A684" s="14">
        <v>8</v>
      </c>
      <c r="B684" s="15">
        <v>45869</v>
      </c>
      <c r="C684" s="15">
        <f t="shared" ref="C684" si="592">B684+8</f>
        <v>45877</v>
      </c>
      <c r="D684" s="14">
        <v>13097</v>
      </c>
      <c r="E684" s="16" t="s">
        <v>430</v>
      </c>
      <c r="F684" s="40" t="s">
        <v>431</v>
      </c>
      <c r="G684" s="17" t="s">
        <v>75</v>
      </c>
      <c r="H684" s="18" t="s">
        <v>542</v>
      </c>
      <c r="I684" s="19" t="s">
        <v>70</v>
      </c>
      <c r="J684" s="20">
        <v>45814</v>
      </c>
      <c r="K684" s="20">
        <v>45848</v>
      </c>
      <c r="L684" s="21">
        <v>2000000</v>
      </c>
      <c r="M684" s="22">
        <f t="shared" ref="M684" si="593">SUM(N684:O684)</f>
        <v>1947000</v>
      </c>
      <c r="N684" s="23">
        <v>1914000</v>
      </c>
      <c r="O684" s="23">
        <v>33000</v>
      </c>
      <c r="P684" s="24">
        <f t="shared" ref="P684" si="594">L684-N684</f>
        <v>86000</v>
      </c>
      <c r="Q684" s="25">
        <v>33000</v>
      </c>
      <c r="R684" s="26">
        <v>150000</v>
      </c>
      <c r="S684" s="91">
        <f t="shared" si="590"/>
        <v>0.57333333333333336</v>
      </c>
      <c r="T684" s="91">
        <f t="shared" si="591"/>
        <v>0.22</v>
      </c>
      <c r="U684" s="27" t="s">
        <v>193</v>
      </c>
      <c r="V684" s="19" t="s">
        <v>51</v>
      </c>
      <c r="W684" s="20">
        <v>45842</v>
      </c>
      <c r="X684" s="22"/>
      <c r="Y684" s="19" t="s">
        <v>52</v>
      </c>
      <c r="Z684" s="19" t="s">
        <v>52</v>
      </c>
      <c r="AA684" s="19" t="s">
        <v>52</v>
      </c>
      <c r="AB684" s="28"/>
    </row>
    <row r="685" spans="1:33" ht="15" customHeight="1" x14ac:dyDescent="0.25">
      <c r="A685" s="33" t="s">
        <v>71</v>
      </c>
      <c r="B685" s="34"/>
      <c r="C685" s="34"/>
      <c r="D685" s="34"/>
      <c r="E685" s="34"/>
      <c r="F685" s="35"/>
      <c r="G685" s="35"/>
      <c r="H685" s="34"/>
      <c r="I685" s="34"/>
      <c r="J685" s="34"/>
      <c r="K685" s="34"/>
      <c r="L685" s="36"/>
      <c r="M685" s="36"/>
      <c r="N685" s="36"/>
      <c r="O685" s="36"/>
      <c r="P685" s="36"/>
      <c r="Q685" s="36">
        <f>SUM(Q683:Q684)</f>
        <v>181000</v>
      </c>
      <c r="R685" s="36"/>
      <c r="S685" s="92"/>
      <c r="T685" s="93">
        <f>SUM(T683:T684)</f>
        <v>3.18</v>
      </c>
      <c r="U685" s="37"/>
      <c r="V685" s="38"/>
      <c r="W685" s="38"/>
      <c r="X685" s="38"/>
      <c r="Y685" s="34"/>
      <c r="Z685" s="34"/>
      <c r="AA685" s="39"/>
      <c r="AB685" s="29" t="s">
        <v>749</v>
      </c>
      <c r="AC685" s="81" t="s">
        <v>762</v>
      </c>
      <c r="AD685" s="83">
        <v>833.33</v>
      </c>
      <c r="AF685" s="83">
        <v>0</v>
      </c>
      <c r="AG685" s="83">
        <f>SUM(AD685,AF685)</f>
        <v>833.33</v>
      </c>
    </row>
    <row r="686" spans="1:33" s="29" customFormat="1" ht="15" customHeight="1" x14ac:dyDescent="0.25">
      <c r="A686" s="14">
        <v>1</v>
      </c>
      <c r="B686" s="15">
        <v>45874</v>
      </c>
      <c r="C686" s="15">
        <f t="shared" ref="C686:C690" si="595">B686+8</f>
        <v>45882</v>
      </c>
      <c r="D686" s="14">
        <v>12880</v>
      </c>
      <c r="E686" s="16" t="s">
        <v>291</v>
      </c>
      <c r="F686" s="17" t="s">
        <v>292</v>
      </c>
      <c r="G686" s="17" t="s">
        <v>47</v>
      </c>
      <c r="H686" s="18" t="s">
        <v>542</v>
      </c>
      <c r="I686" s="19" t="s">
        <v>104</v>
      </c>
      <c r="J686" s="20">
        <v>45771</v>
      </c>
      <c r="K686" s="20">
        <v>45828</v>
      </c>
      <c r="L686" s="21">
        <v>350000</v>
      </c>
      <c r="M686" s="22">
        <f t="shared" ref="M686:M687" si="596">SUM(N686:O686)</f>
        <v>273000</v>
      </c>
      <c r="N686" s="23">
        <v>210000</v>
      </c>
      <c r="O686" s="23">
        <v>63000</v>
      </c>
      <c r="P686" s="24">
        <f t="shared" ref="P686:P690" si="597">L686-N686</f>
        <v>140000</v>
      </c>
      <c r="Q686" s="25">
        <v>63000</v>
      </c>
      <c r="R686" s="26">
        <v>72000</v>
      </c>
      <c r="S686" s="91">
        <f t="shared" ref="S686:S690" si="598">IF(P686&gt;0,P686/$R686,0)</f>
        <v>1.9444444444444444</v>
      </c>
      <c r="T686" s="91">
        <f t="shared" ref="T686:T690" si="599">IF(Q686&gt;0,Q686/$R686,0)</f>
        <v>0.875</v>
      </c>
      <c r="U686" s="27" t="s">
        <v>193</v>
      </c>
      <c r="V686" s="19" t="s">
        <v>51</v>
      </c>
      <c r="W686" s="20">
        <v>45846</v>
      </c>
      <c r="X686" s="22"/>
      <c r="Y686" s="19" t="s">
        <v>52</v>
      </c>
      <c r="Z686" s="19" t="s">
        <v>52</v>
      </c>
      <c r="AA686" s="19" t="s">
        <v>52</v>
      </c>
      <c r="AB686" s="42"/>
    </row>
    <row r="687" spans="1:33" s="29" customFormat="1" ht="15" customHeight="1" x14ac:dyDescent="0.25">
      <c r="A687" s="14">
        <v>5</v>
      </c>
      <c r="B687" s="15">
        <v>45874</v>
      </c>
      <c r="C687" s="15">
        <f t="shared" si="595"/>
        <v>45882</v>
      </c>
      <c r="D687" s="14">
        <v>13204</v>
      </c>
      <c r="E687" s="16" t="s">
        <v>403</v>
      </c>
      <c r="F687" s="17" t="s">
        <v>708</v>
      </c>
      <c r="G687" s="17" t="s">
        <v>47</v>
      </c>
      <c r="H687" s="18" t="s">
        <v>542</v>
      </c>
      <c r="I687" s="19" t="s">
        <v>70</v>
      </c>
      <c r="J687" s="20">
        <v>45840</v>
      </c>
      <c r="K687" s="20">
        <v>45877</v>
      </c>
      <c r="L687" s="21">
        <v>2000000</v>
      </c>
      <c r="M687" s="22">
        <f t="shared" si="596"/>
        <v>700000</v>
      </c>
      <c r="N687" s="23">
        <v>100000</v>
      </c>
      <c r="O687" s="23">
        <v>600000</v>
      </c>
      <c r="P687" s="24">
        <f t="shared" si="597"/>
        <v>1900000</v>
      </c>
      <c r="Q687" s="25">
        <v>600000</v>
      </c>
      <c r="R687" s="26">
        <v>50000</v>
      </c>
      <c r="S687" s="91">
        <f t="shared" si="598"/>
        <v>38</v>
      </c>
      <c r="T687" s="91">
        <f t="shared" si="599"/>
        <v>12</v>
      </c>
      <c r="U687" s="27" t="s">
        <v>193</v>
      </c>
      <c r="V687" s="19" t="s">
        <v>51</v>
      </c>
      <c r="W687" s="20">
        <v>45864</v>
      </c>
      <c r="X687" s="22"/>
      <c r="Y687" s="19" t="s">
        <v>52</v>
      </c>
      <c r="Z687" s="19" t="s">
        <v>52</v>
      </c>
      <c r="AA687" s="19" t="s">
        <v>52</v>
      </c>
      <c r="AB687" s="42"/>
    </row>
    <row r="688" spans="1:33" s="29" customFormat="1" ht="15" customHeight="1" x14ac:dyDescent="0.25">
      <c r="A688" s="14">
        <v>7</v>
      </c>
      <c r="B688" s="15">
        <v>45874</v>
      </c>
      <c r="C688" s="15">
        <f>B688+8</f>
        <v>45882</v>
      </c>
      <c r="D688" s="14">
        <v>13228</v>
      </c>
      <c r="E688" s="16" t="s">
        <v>287</v>
      </c>
      <c r="F688" s="17" t="s">
        <v>288</v>
      </c>
      <c r="G688" s="17" t="s">
        <v>102</v>
      </c>
      <c r="H688" s="18" t="s">
        <v>62</v>
      </c>
      <c r="I688" s="19" t="s">
        <v>63</v>
      </c>
      <c r="J688" s="20">
        <v>45847</v>
      </c>
      <c r="K688" s="20">
        <v>45875</v>
      </c>
      <c r="L688" s="21">
        <v>1000000</v>
      </c>
      <c r="M688" s="22">
        <f>SUM(N688:O688)</f>
        <v>924000</v>
      </c>
      <c r="N688" s="23">
        <v>168000</v>
      </c>
      <c r="O688" s="23">
        <v>756000</v>
      </c>
      <c r="P688" s="24">
        <f>L688-N688</f>
        <v>832000</v>
      </c>
      <c r="Q688" s="25">
        <v>756000</v>
      </c>
      <c r="R688" s="26">
        <v>84000</v>
      </c>
      <c r="S688" s="91">
        <f t="shared" si="598"/>
        <v>9.9047619047619051</v>
      </c>
      <c r="T688" s="91">
        <f t="shared" si="599"/>
        <v>9</v>
      </c>
      <c r="U688" s="27" t="s">
        <v>193</v>
      </c>
      <c r="V688" s="19" t="s">
        <v>51</v>
      </c>
      <c r="W688" s="20">
        <v>45862</v>
      </c>
      <c r="X688" s="22"/>
      <c r="Y688" s="19" t="s">
        <v>52</v>
      </c>
      <c r="Z688" s="19" t="s">
        <v>52</v>
      </c>
      <c r="AA688" s="19" t="s">
        <v>52</v>
      </c>
      <c r="AB688" s="28"/>
    </row>
    <row r="689" spans="1:33" s="29" customFormat="1" ht="15" customHeight="1" x14ac:dyDescent="0.25">
      <c r="A689" s="14">
        <v>4</v>
      </c>
      <c r="B689" s="15">
        <v>45874</v>
      </c>
      <c r="C689" s="15">
        <f>B689+8</f>
        <v>45882</v>
      </c>
      <c r="D689" s="14">
        <v>13175</v>
      </c>
      <c r="E689" s="16" t="s">
        <v>760</v>
      </c>
      <c r="F689" s="17" t="s">
        <v>286</v>
      </c>
      <c r="G689" s="17" t="s">
        <v>102</v>
      </c>
      <c r="H689" s="18" t="s">
        <v>57</v>
      </c>
      <c r="I689" s="19" t="s">
        <v>94</v>
      </c>
      <c r="J689" s="20">
        <v>45833</v>
      </c>
      <c r="K689" s="20">
        <v>45861</v>
      </c>
      <c r="L689" s="21">
        <v>150000</v>
      </c>
      <c r="M689" s="22">
        <f>SUM(N689:O689)</f>
        <v>70000</v>
      </c>
      <c r="N689" s="23">
        <v>0</v>
      </c>
      <c r="O689" s="23">
        <v>70000</v>
      </c>
      <c r="P689" s="24">
        <f>L689-N689</f>
        <v>150000</v>
      </c>
      <c r="Q689" s="25">
        <v>70000</v>
      </c>
      <c r="R689" s="26">
        <v>30000</v>
      </c>
      <c r="S689" s="91">
        <f t="shared" si="598"/>
        <v>5</v>
      </c>
      <c r="T689" s="91">
        <f t="shared" si="599"/>
        <v>2.3333333333333335</v>
      </c>
      <c r="U689" s="27" t="s">
        <v>50</v>
      </c>
      <c r="V689" s="30" t="s">
        <v>59</v>
      </c>
      <c r="W689" s="31">
        <v>45868</v>
      </c>
      <c r="X689" s="22"/>
      <c r="Y689" s="19" t="s">
        <v>52</v>
      </c>
      <c r="Z689" s="19" t="s">
        <v>52</v>
      </c>
      <c r="AA689" s="19" t="s">
        <v>52</v>
      </c>
      <c r="AB689" s="28"/>
    </row>
    <row r="690" spans="1:33" s="29" customFormat="1" ht="15" customHeight="1" x14ac:dyDescent="0.25">
      <c r="A690" s="14">
        <v>14</v>
      </c>
      <c r="B690" s="15">
        <v>45874</v>
      </c>
      <c r="C690" s="15">
        <f t="shared" si="595"/>
        <v>45882</v>
      </c>
      <c r="D690" s="14">
        <v>13276</v>
      </c>
      <c r="E690" s="16" t="s">
        <v>190</v>
      </c>
      <c r="F690" s="40" t="s">
        <v>191</v>
      </c>
      <c r="G690" s="17" t="s">
        <v>75</v>
      </c>
      <c r="H690" s="18" t="s">
        <v>542</v>
      </c>
      <c r="I690" s="19" t="s">
        <v>49</v>
      </c>
      <c r="J690" s="20">
        <v>45855</v>
      </c>
      <c r="K690" s="20">
        <v>45894</v>
      </c>
      <c r="L690" s="21">
        <v>250000</v>
      </c>
      <c r="M690" s="22">
        <f t="shared" ref="M690" si="600">SUM(N690:O690)</f>
        <v>257000</v>
      </c>
      <c r="N690" s="23">
        <v>0</v>
      </c>
      <c r="O690" s="23">
        <v>257000</v>
      </c>
      <c r="P690" s="24">
        <f t="shared" si="597"/>
        <v>250000</v>
      </c>
      <c r="Q690" s="25">
        <v>257000</v>
      </c>
      <c r="R690" s="26">
        <v>50000</v>
      </c>
      <c r="S690" s="91">
        <f t="shared" si="598"/>
        <v>5</v>
      </c>
      <c r="T690" s="91">
        <f t="shared" si="599"/>
        <v>5.14</v>
      </c>
      <c r="U690" s="27" t="s">
        <v>193</v>
      </c>
      <c r="V690" s="30" t="s">
        <v>59</v>
      </c>
      <c r="W690" s="31">
        <v>45878</v>
      </c>
      <c r="X690" s="22"/>
      <c r="Y690" s="19" t="s">
        <v>52</v>
      </c>
      <c r="Z690" s="19" t="s">
        <v>52</v>
      </c>
      <c r="AA690" s="19" t="s">
        <v>52</v>
      </c>
      <c r="AB690" s="28"/>
    </row>
    <row r="691" spans="1:33" ht="15" customHeight="1" x14ac:dyDescent="0.25">
      <c r="A691" s="33" t="s">
        <v>71</v>
      </c>
      <c r="B691" s="34"/>
      <c r="C691" s="34"/>
      <c r="D691" s="34"/>
      <c r="E691" s="34"/>
      <c r="F691" s="35"/>
      <c r="G691" s="35"/>
      <c r="H691" s="34"/>
      <c r="I691" s="34"/>
      <c r="J691" s="34"/>
      <c r="K691" s="34"/>
      <c r="L691" s="36"/>
      <c r="M691" s="36"/>
      <c r="N691" s="36"/>
      <c r="O691" s="36"/>
      <c r="P691" s="36"/>
      <c r="Q691" s="36">
        <f>SUM(Q686:Q690)</f>
        <v>1746000</v>
      </c>
      <c r="R691" s="36"/>
      <c r="S691" s="92"/>
      <c r="T691" s="93">
        <f>SUM(T686:T690)</f>
        <v>29.348333333333333</v>
      </c>
      <c r="U691" s="37"/>
      <c r="V691" s="38"/>
      <c r="W691" s="38"/>
      <c r="X691" s="38"/>
      <c r="Y691" s="34"/>
      <c r="Z691" s="34"/>
      <c r="AA691" s="39"/>
      <c r="AB691" s="29" t="s">
        <v>755</v>
      </c>
      <c r="AC691" s="81" t="s">
        <v>763</v>
      </c>
      <c r="AD691" s="83">
        <v>5000</v>
      </c>
      <c r="AF691" s="83">
        <v>0</v>
      </c>
      <c r="AG691" s="83">
        <f>SUM(AD691,AF691)</f>
        <v>5000</v>
      </c>
    </row>
    <row r="692" spans="1:33" s="29" customFormat="1" ht="15" customHeight="1" x14ac:dyDescent="0.25">
      <c r="A692" s="14">
        <v>18</v>
      </c>
      <c r="B692" s="15">
        <v>45874</v>
      </c>
      <c r="C692" s="15">
        <f>B692+8</f>
        <v>45882</v>
      </c>
      <c r="D692" s="14">
        <v>13234</v>
      </c>
      <c r="E692" s="16" t="s">
        <v>199</v>
      </c>
      <c r="F692" s="40" t="s">
        <v>200</v>
      </c>
      <c r="G692" s="17" t="s">
        <v>75</v>
      </c>
      <c r="H692" s="18" t="s">
        <v>133</v>
      </c>
      <c r="I692" s="19" t="s">
        <v>198</v>
      </c>
      <c r="J692" s="20">
        <v>45849</v>
      </c>
      <c r="K692" s="20">
        <v>45910</v>
      </c>
      <c r="L692" s="21">
        <v>150000</v>
      </c>
      <c r="M692" s="22">
        <f>SUM(N692:O692)</f>
        <v>110000</v>
      </c>
      <c r="N692" s="23">
        <v>0</v>
      </c>
      <c r="O692" s="23">
        <v>110000</v>
      </c>
      <c r="P692" s="24">
        <f>L692-N692</f>
        <v>150000</v>
      </c>
      <c r="Q692" s="25">
        <v>110000</v>
      </c>
      <c r="R692" s="26">
        <v>60000</v>
      </c>
      <c r="S692" s="91">
        <f t="shared" ref="S692:S698" si="601">IF(P692&gt;0,P692/$R692,0)</f>
        <v>2.5</v>
      </c>
      <c r="T692" s="91">
        <f t="shared" ref="T692:T698" si="602">IF(Q692&gt;0,Q692/$R692,0)</f>
        <v>1.8333333333333333</v>
      </c>
      <c r="U692" s="27" t="s">
        <v>56</v>
      </c>
      <c r="V692" s="30" t="s">
        <v>59</v>
      </c>
      <c r="W692" s="31">
        <v>45868</v>
      </c>
      <c r="X692" s="22"/>
      <c r="Y692" s="19" t="s">
        <v>52</v>
      </c>
      <c r="Z692" s="19" t="s">
        <v>52</v>
      </c>
      <c r="AA692" s="19" t="s">
        <v>52</v>
      </c>
      <c r="AB692" s="28"/>
    </row>
    <row r="693" spans="1:33" s="29" customFormat="1" ht="15" customHeight="1" x14ac:dyDescent="0.25">
      <c r="A693" s="14">
        <v>5</v>
      </c>
      <c r="B693" s="15">
        <v>45874</v>
      </c>
      <c r="C693" s="15">
        <f t="shared" ref="C693:C696" si="603">B693+8</f>
        <v>45882</v>
      </c>
      <c r="D693" s="14">
        <v>13204</v>
      </c>
      <c r="E693" s="16" t="s">
        <v>403</v>
      </c>
      <c r="F693" s="17" t="s">
        <v>708</v>
      </c>
      <c r="G693" s="17" t="s">
        <v>47</v>
      </c>
      <c r="H693" s="18" t="s">
        <v>542</v>
      </c>
      <c r="I693" s="19" t="s">
        <v>70</v>
      </c>
      <c r="J693" s="20">
        <v>45840</v>
      </c>
      <c r="K693" s="20">
        <v>45877</v>
      </c>
      <c r="L693" s="21">
        <v>2000000</v>
      </c>
      <c r="M693" s="22">
        <f t="shared" ref="M693:M695" si="604">SUM(N693:O693)</f>
        <v>900000</v>
      </c>
      <c r="N693" s="23">
        <v>100000</v>
      </c>
      <c r="O693" s="23">
        <v>800000</v>
      </c>
      <c r="P693" s="24">
        <f t="shared" ref="P693:P698" si="605">L693-N693</f>
        <v>1900000</v>
      </c>
      <c r="Q693" s="25">
        <v>700000</v>
      </c>
      <c r="R693" s="26">
        <v>50000</v>
      </c>
      <c r="S693" s="91">
        <f t="shared" si="601"/>
        <v>38</v>
      </c>
      <c r="T693" s="91">
        <f t="shared" si="602"/>
        <v>14</v>
      </c>
      <c r="U693" s="27" t="s">
        <v>56</v>
      </c>
      <c r="V693" s="19" t="s">
        <v>51</v>
      </c>
      <c r="W693" s="20">
        <v>45864</v>
      </c>
      <c r="X693" s="22"/>
      <c r="Y693" s="19" t="s">
        <v>52</v>
      </c>
      <c r="Z693" s="19" t="s">
        <v>52</v>
      </c>
      <c r="AA693" s="19" t="s">
        <v>52</v>
      </c>
      <c r="AB693" s="42"/>
    </row>
    <row r="694" spans="1:33" s="29" customFormat="1" ht="15" customHeight="1" x14ac:dyDescent="0.25">
      <c r="A694" s="14">
        <v>11</v>
      </c>
      <c r="B694" s="15">
        <v>45874</v>
      </c>
      <c r="C694" s="15">
        <f>B694+8</f>
        <v>45882</v>
      </c>
      <c r="D694" s="14">
        <v>13272</v>
      </c>
      <c r="E694" s="16" t="s">
        <v>105</v>
      </c>
      <c r="F694" s="17" t="s">
        <v>106</v>
      </c>
      <c r="G694" s="17" t="s">
        <v>102</v>
      </c>
      <c r="H694" s="18" t="s">
        <v>542</v>
      </c>
      <c r="I694" s="19" t="s">
        <v>49</v>
      </c>
      <c r="J694" s="20">
        <v>45854</v>
      </c>
      <c r="K694" s="20">
        <v>45884</v>
      </c>
      <c r="L694" s="21">
        <v>2000000</v>
      </c>
      <c r="M694" s="22">
        <f>SUM(N694:O694)</f>
        <v>150000</v>
      </c>
      <c r="N694" s="23">
        <v>0</v>
      </c>
      <c r="O694" s="23">
        <v>150000</v>
      </c>
      <c r="P694" s="24">
        <f>L694-N694</f>
        <v>2000000</v>
      </c>
      <c r="Q694" s="25">
        <v>15000</v>
      </c>
      <c r="R694" s="26">
        <v>50000</v>
      </c>
      <c r="S694" s="91">
        <f t="shared" si="601"/>
        <v>40</v>
      </c>
      <c r="T694" s="91">
        <f t="shared" si="602"/>
        <v>0.3</v>
      </c>
      <c r="U694" s="27" t="s">
        <v>56</v>
      </c>
      <c r="V694" s="30" t="s">
        <v>59</v>
      </c>
      <c r="W694" s="31">
        <v>45871</v>
      </c>
      <c r="X694" s="22"/>
      <c r="Y694" s="19" t="s">
        <v>52</v>
      </c>
      <c r="Z694" s="19" t="s">
        <v>52</v>
      </c>
      <c r="AA694" s="19" t="s">
        <v>52</v>
      </c>
      <c r="AB694" s="28"/>
    </row>
    <row r="695" spans="1:33" s="29" customFormat="1" ht="15" customHeight="1" x14ac:dyDescent="0.25">
      <c r="A695" s="14">
        <v>9</v>
      </c>
      <c r="B695" s="15">
        <v>45874</v>
      </c>
      <c r="C695" s="15">
        <f t="shared" si="603"/>
        <v>45882</v>
      </c>
      <c r="D695" s="14">
        <v>13304</v>
      </c>
      <c r="E695" s="16" t="s">
        <v>60</v>
      </c>
      <c r="F695" s="17" t="s">
        <v>61</v>
      </c>
      <c r="G695" s="17" t="s">
        <v>47</v>
      </c>
      <c r="H695" s="18" t="s">
        <v>62</v>
      </c>
      <c r="I695" s="19" t="s">
        <v>63</v>
      </c>
      <c r="J695" s="20">
        <v>45859</v>
      </c>
      <c r="K695" s="20">
        <v>45884</v>
      </c>
      <c r="L695" s="21">
        <v>200000</v>
      </c>
      <c r="M695" s="22">
        <f t="shared" si="604"/>
        <v>80000</v>
      </c>
      <c r="N695" s="23">
        <v>0</v>
      </c>
      <c r="O695" s="23">
        <v>80000</v>
      </c>
      <c r="P695" s="24">
        <f t="shared" si="605"/>
        <v>200000</v>
      </c>
      <c r="Q695" s="25">
        <v>80000</v>
      </c>
      <c r="R695" s="26">
        <v>40000</v>
      </c>
      <c r="S695" s="91">
        <f t="shared" si="601"/>
        <v>5</v>
      </c>
      <c r="T695" s="91">
        <f t="shared" si="602"/>
        <v>2</v>
      </c>
      <c r="U695" s="27" t="s">
        <v>193</v>
      </c>
      <c r="V695" s="30" t="s">
        <v>59</v>
      </c>
      <c r="W695" s="31">
        <v>45868</v>
      </c>
      <c r="X695" s="22"/>
      <c r="Y695" s="19" t="s">
        <v>52</v>
      </c>
      <c r="Z695" s="19" t="s">
        <v>52</v>
      </c>
      <c r="AA695" s="19" t="s">
        <v>52</v>
      </c>
      <c r="AB695" s="42"/>
    </row>
    <row r="696" spans="1:33" s="29" customFormat="1" ht="15" customHeight="1" x14ac:dyDescent="0.25">
      <c r="A696" s="14">
        <v>11</v>
      </c>
      <c r="B696" s="15">
        <v>45874</v>
      </c>
      <c r="C696" s="15">
        <f t="shared" si="603"/>
        <v>45882</v>
      </c>
      <c r="D696" s="14">
        <v>13236</v>
      </c>
      <c r="E696" s="16" t="s">
        <v>717</v>
      </c>
      <c r="F696" s="40" t="s">
        <v>80</v>
      </c>
      <c r="G696" s="17" t="s">
        <v>75</v>
      </c>
      <c r="H696" s="18" t="s">
        <v>57</v>
      </c>
      <c r="I696" s="19" t="s">
        <v>58</v>
      </c>
      <c r="J696" s="20">
        <v>45847</v>
      </c>
      <c r="K696" s="20">
        <v>45874</v>
      </c>
      <c r="L696" s="21">
        <v>600000</v>
      </c>
      <c r="M696" s="22">
        <f t="shared" ref="M696:M698" si="606">SUM(N696:O696)</f>
        <v>300000</v>
      </c>
      <c r="N696" s="23">
        <v>0</v>
      </c>
      <c r="O696" s="23">
        <v>300000</v>
      </c>
      <c r="P696" s="24">
        <f t="shared" si="605"/>
        <v>600000</v>
      </c>
      <c r="Q696" s="25">
        <v>300000</v>
      </c>
      <c r="R696" s="26">
        <v>150000</v>
      </c>
      <c r="S696" s="91">
        <f t="shared" si="601"/>
        <v>4</v>
      </c>
      <c r="T696" s="91">
        <f t="shared" si="602"/>
        <v>2</v>
      </c>
      <c r="U696" s="27" t="s">
        <v>193</v>
      </c>
      <c r="V696" s="30" t="s">
        <v>59</v>
      </c>
      <c r="W696" s="31">
        <v>45868</v>
      </c>
      <c r="X696" s="22"/>
      <c r="Y696" s="19" t="s">
        <v>52</v>
      </c>
      <c r="Z696" s="19" t="s">
        <v>52</v>
      </c>
      <c r="AA696" s="19" t="s">
        <v>52</v>
      </c>
      <c r="AB696" s="28"/>
    </row>
    <row r="697" spans="1:33" s="29" customFormat="1" ht="15" customHeight="1" x14ac:dyDescent="0.25">
      <c r="A697" s="14">
        <v>3</v>
      </c>
      <c r="B697" s="15">
        <v>45874</v>
      </c>
      <c r="C697" s="15">
        <f t="shared" ref="C697:C698" si="607">B697+8</f>
        <v>45882</v>
      </c>
      <c r="D697" s="14">
        <v>13114</v>
      </c>
      <c r="E697" s="16" t="s">
        <v>372</v>
      </c>
      <c r="F697" s="17" t="s">
        <v>478</v>
      </c>
      <c r="G697" s="17" t="s">
        <v>102</v>
      </c>
      <c r="H697" s="18" t="s">
        <v>57</v>
      </c>
      <c r="I697" s="19" t="s">
        <v>58</v>
      </c>
      <c r="J697" s="20">
        <v>45819</v>
      </c>
      <c r="K697" s="20">
        <v>45846</v>
      </c>
      <c r="L697" s="21">
        <v>1000000</v>
      </c>
      <c r="M697" s="22">
        <f t="shared" si="606"/>
        <v>1007000</v>
      </c>
      <c r="N697" s="23">
        <v>798000</v>
      </c>
      <c r="O697" s="23">
        <v>209000</v>
      </c>
      <c r="P697" s="24">
        <f t="shared" si="605"/>
        <v>202000</v>
      </c>
      <c r="Q697" s="25">
        <v>209000</v>
      </c>
      <c r="R697" s="26">
        <v>48000</v>
      </c>
      <c r="S697" s="91">
        <f t="shared" si="601"/>
        <v>4.208333333333333</v>
      </c>
      <c r="T697" s="91">
        <f t="shared" si="602"/>
        <v>4.354166666666667</v>
      </c>
      <c r="U697" s="27" t="s">
        <v>193</v>
      </c>
      <c r="V697" s="19" t="s">
        <v>51</v>
      </c>
      <c r="W697" s="20">
        <v>45859</v>
      </c>
      <c r="X697" s="22"/>
      <c r="Y697" s="19" t="s">
        <v>52</v>
      </c>
      <c r="Z697" s="19" t="s">
        <v>52</v>
      </c>
      <c r="AA697" s="19" t="s">
        <v>52</v>
      </c>
      <c r="AB697" s="28"/>
    </row>
    <row r="698" spans="1:33" s="29" customFormat="1" ht="15" customHeight="1" x14ac:dyDescent="0.25">
      <c r="A698" s="14">
        <v>13</v>
      </c>
      <c r="B698" s="15">
        <v>45874</v>
      </c>
      <c r="C698" s="15">
        <f t="shared" si="607"/>
        <v>45882</v>
      </c>
      <c r="D698" s="14">
        <v>13310</v>
      </c>
      <c r="E698" s="16" t="s">
        <v>218</v>
      </c>
      <c r="F698" s="17" t="s">
        <v>219</v>
      </c>
      <c r="G698" s="17" t="s">
        <v>102</v>
      </c>
      <c r="H698" s="18" t="s">
        <v>542</v>
      </c>
      <c r="I698" s="19" t="s">
        <v>104</v>
      </c>
      <c r="J698" s="20">
        <v>45861</v>
      </c>
      <c r="K698" s="20">
        <v>45891</v>
      </c>
      <c r="L698" s="21">
        <v>200000</v>
      </c>
      <c r="M698" s="22">
        <f t="shared" si="606"/>
        <v>110000</v>
      </c>
      <c r="N698" s="23">
        <v>0</v>
      </c>
      <c r="O698" s="23">
        <v>110000</v>
      </c>
      <c r="P698" s="24">
        <f t="shared" si="605"/>
        <v>200000</v>
      </c>
      <c r="Q698" s="25">
        <v>110000</v>
      </c>
      <c r="R698" s="26">
        <v>50000</v>
      </c>
      <c r="S698" s="91">
        <f t="shared" si="601"/>
        <v>4</v>
      </c>
      <c r="T698" s="91">
        <f t="shared" si="602"/>
        <v>2.2000000000000002</v>
      </c>
      <c r="U698" s="27" t="s">
        <v>193</v>
      </c>
      <c r="V698" s="30" t="s">
        <v>59</v>
      </c>
      <c r="W698" s="31">
        <v>45880</v>
      </c>
      <c r="X698" s="22"/>
      <c r="Y698" s="19" t="s">
        <v>52</v>
      </c>
      <c r="Z698" s="19" t="s">
        <v>52</v>
      </c>
      <c r="AA698" s="19" t="s">
        <v>52</v>
      </c>
      <c r="AB698" s="28"/>
    </row>
    <row r="699" spans="1:33" ht="15" customHeight="1" x14ac:dyDescent="0.25">
      <c r="A699" s="33" t="s">
        <v>71</v>
      </c>
      <c r="B699" s="34"/>
      <c r="C699" s="34"/>
      <c r="D699" s="34"/>
      <c r="E699" s="34"/>
      <c r="F699" s="35"/>
      <c r="G699" s="35"/>
      <c r="H699" s="34"/>
      <c r="I699" s="34"/>
      <c r="J699" s="34"/>
      <c r="K699" s="34"/>
      <c r="L699" s="36"/>
      <c r="M699" s="36"/>
      <c r="N699" s="36"/>
      <c r="O699" s="36"/>
      <c r="P699" s="36"/>
      <c r="Q699" s="36">
        <f>SUM(Q692:Q698)</f>
        <v>1524000</v>
      </c>
      <c r="R699" s="36"/>
      <c r="S699" s="92"/>
      <c r="T699" s="93">
        <f>SUM(T692:T698)</f>
        <v>26.6875</v>
      </c>
      <c r="U699" s="37"/>
      <c r="V699" s="38"/>
      <c r="W699" s="38"/>
      <c r="X699" s="38"/>
      <c r="Y699" s="34"/>
      <c r="Z699" s="34"/>
      <c r="AA699" s="39"/>
      <c r="AB699" s="29" t="s">
        <v>758</v>
      </c>
      <c r="AC699" s="81" t="s">
        <v>777</v>
      </c>
      <c r="AD699" s="83">
        <v>5000</v>
      </c>
      <c r="AF699" s="83">
        <v>0</v>
      </c>
      <c r="AG699" s="83">
        <f>SUM(AD699,AF699)</f>
        <v>5000</v>
      </c>
    </row>
    <row r="700" spans="1:33" s="29" customFormat="1" ht="15" customHeight="1" x14ac:dyDescent="0.25">
      <c r="A700" s="14">
        <v>1</v>
      </c>
      <c r="B700" s="15">
        <v>45875</v>
      </c>
      <c r="C700" s="15">
        <f t="shared" ref="C700:C708" si="608">B700+8</f>
        <v>45883</v>
      </c>
      <c r="D700" s="14">
        <v>12727</v>
      </c>
      <c r="E700" s="16" t="s">
        <v>83</v>
      </c>
      <c r="F700" s="40" t="s">
        <v>84</v>
      </c>
      <c r="G700" s="17" t="s">
        <v>75</v>
      </c>
      <c r="H700" s="18" t="s">
        <v>54</v>
      </c>
      <c r="I700" s="19" t="s">
        <v>421</v>
      </c>
      <c r="J700" s="20">
        <v>45737</v>
      </c>
      <c r="K700" s="20">
        <v>45779</v>
      </c>
      <c r="L700" s="21">
        <v>500000</v>
      </c>
      <c r="M700" s="22">
        <f>SUM(N700:O700)</f>
        <v>316000</v>
      </c>
      <c r="N700" s="23">
        <v>287000</v>
      </c>
      <c r="O700" s="23">
        <v>29000</v>
      </c>
      <c r="P700" s="24">
        <f t="shared" ref="P700:P709" si="609">L700-N700</f>
        <v>213000</v>
      </c>
      <c r="Q700" s="25">
        <v>29000</v>
      </c>
      <c r="R700" s="26">
        <v>84000</v>
      </c>
      <c r="S700" s="91">
        <f t="shared" ref="S700:S701" si="610">IF(P700&gt;0,P700/$R700,0)</f>
        <v>2.5357142857142856</v>
      </c>
      <c r="T700" s="91">
        <f t="shared" ref="T700:T701" si="611">IF(Q700&gt;0,Q700/$R700,0)</f>
        <v>0.34523809523809523</v>
      </c>
      <c r="U700" s="27" t="s">
        <v>56</v>
      </c>
      <c r="V700" s="19" t="s">
        <v>51</v>
      </c>
      <c r="W700" s="20">
        <v>45772</v>
      </c>
      <c r="X700" s="22"/>
      <c r="Y700" s="19" t="s">
        <v>52</v>
      </c>
      <c r="Z700" s="19" t="s">
        <v>52</v>
      </c>
      <c r="AA700" s="19" t="s">
        <v>52</v>
      </c>
      <c r="AB700" s="28"/>
    </row>
    <row r="701" spans="1:33" s="29" customFormat="1" ht="15" customHeight="1" x14ac:dyDescent="0.25">
      <c r="A701" s="14">
        <v>5</v>
      </c>
      <c r="B701" s="15">
        <v>45875</v>
      </c>
      <c r="C701" s="15">
        <f t="shared" si="608"/>
        <v>45883</v>
      </c>
      <c r="D701" s="14">
        <v>13162</v>
      </c>
      <c r="E701" s="16" t="s">
        <v>226</v>
      </c>
      <c r="F701" s="17" t="s">
        <v>227</v>
      </c>
      <c r="G701" s="17" t="s">
        <v>132</v>
      </c>
      <c r="H701" s="18" t="s">
        <v>54</v>
      </c>
      <c r="I701" s="19" t="s">
        <v>135</v>
      </c>
      <c r="J701" s="20">
        <v>45833</v>
      </c>
      <c r="K701" s="20">
        <v>45877</v>
      </c>
      <c r="L701" s="21">
        <v>32000</v>
      </c>
      <c r="M701" s="22">
        <f>SUM(N701:O701)</f>
        <v>35820</v>
      </c>
      <c r="N701" s="23">
        <v>0</v>
      </c>
      <c r="O701" s="23">
        <v>35820</v>
      </c>
      <c r="P701" s="24">
        <f t="shared" si="609"/>
        <v>32000</v>
      </c>
      <c r="Q701" s="25">
        <v>35820</v>
      </c>
      <c r="R701" s="26">
        <v>57330</v>
      </c>
      <c r="S701" s="91">
        <f t="shared" si="610"/>
        <v>0.55817198674341528</v>
      </c>
      <c r="T701" s="91">
        <f t="shared" si="611"/>
        <v>0.6248037676609105</v>
      </c>
      <c r="U701" s="27" t="s">
        <v>56</v>
      </c>
      <c r="V701" s="30" t="s">
        <v>59</v>
      </c>
      <c r="W701" s="31">
        <v>45868</v>
      </c>
      <c r="X701" s="22"/>
      <c r="Y701" s="19" t="s">
        <v>52</v>
      </c>
      <c r="Z701" s="19" t="s">
        <v>52</v>
      </c>
      <c r="AA701" s="19" t="s">
        <v>52</v>
      </c>
      <c r="AB701" s="28"/>
    </row>
    <row r="702" spans="1:33" s="29" customFormat="1" ht="15" customHeight="1" x14ac:dyDescent="0.25">
      <c r="A702" s="14">
        <v>6</v>
      </c>
      <c r="B702" s="15">
        <v>45875</v>
      </c>
      <c r="C702" s="15">
        <f t="shared" si="608"/>
        <v>45883</v>
      </c>
      <c r="D702" s="14">
        <v>13163</v>
      </c>
      <c r="E702" s="16" t="s">
        <v>248</v>
      </c>
      <c r="F702" s="17" t="s">
        <v>249</v>
      </c>
      <c r="G702" s="17" t="s">
        <v>132</v>
      </c>
      <c r="H702" s="18" t="s">
        <v>54</v>
      </c>
      <c r="I702" s="19" t="s">
        <v>135</v>
      </c>
      <c r="J702" s="20">
        <v>45833</v>
      </c>
      <c r="K702" s="20">
        <v>45877</v>
      </c>
      <c r="L702" s="21">
        <v>87000</v>
      </c>
      <c r="M702" s="22">
        <f>SUM(N702:O702)</f>
        <v>97420</v>
      </c>
      <c r="N702" s="23">
        <v>0</v>
      </c>
      <c r="O702" s="23">
        <v>97420</v>
      </c>
      <c r="P702" s="24">
        <f t="shared" si="609"/>
        <v>87000</v>
      </c>
      <c r="Q702" s="25">
        <v>97420</v>
      </c>
      <c r="R702" s="26">
        <v>57330</v>
      </c>
      <c r="S702" s="91">
        <f t="shared" ref="S702:S710" si="612">IF(P702&gt;0,P702/$R702,0)</f>
        <v>1.5175300889586605</v>
      </c>
      <c r="T702" s="91">
        <f t="shared" ref="T702:T710" si="613">IF(Q702&gt;0,Q702/$R702,0)</f>
        <v>1.6992848421419851</v>
      </c>
      <c r="U702" s="27" t="s">
        <v>56</v>
      </c>
      <c r="V702" s="30" t="s">
        <v>59</v>
      </c>
      <c r="W702" s="31">
        <v>45868</v>
      </c>
      <c r="X702" s="22"/>
      <c r="Y702" s="19" t="s">
        <v>52</v>
      </c>
      <c r="Z702" s="19" t="s">
        <v>52</v>
      </c>
      <c r="AA702" s="19" t="s">
        <v>52</v>
      </c>
      <c r="AB702" s="28"/>
    </row>
    <row r="703" spans="1:33" s="29" customFormat="1" ht="15" customHeight="1" x14ac:dyDescent="0.25">
      <c r="A703" s="14">
        <v>7</v>
      </c>
      <c r="B703" s="15">
        <v>45875</v>
      </c>
      <c r="C703" s="15">
        <f t="shared" si="608"/>
        <v>45883</v>
      </c>
      <c r="D703" s="14">
        <v>13164</v>
      </c>
      <c r="E703" s="16" t="s">
        <v>150</v>
      </c>
      <c r="F703" s="17" t="s">
        <v>151</v>
      </c>
      <c r="G703" s="17" t="s">
        <v>132</v>
      </c>
      <c r="H703" s="18" t="s">
        <v>54</v>
      </c>
      <c r="I703" s="19" t="s">
        <v>135</v>
      </c>
      <c r="J703" s="20">
        <v>45833</v>
      </c>
      <c r="K703" s="20">
        <v>45877</v>
      </c>
      <c r="L703" s="21">
        <v>65000</v>
      </c>
      <c r="M703" s="22">
        <f>SUM(N703:O703)</f>
        <v>75370</v>
      </c>
      <c r="N703" s="23">
        <v>0</v>
      </c>
      <c r="O703" s="23">
        <v>75370</v>
      </c>
      <c r="P703" s="24">
        <f t="shared" si="609"/>
        <v>65000</v>
      </c>
      <c r="Q703" s="25">
        <v>75370</v>
      </c>
      <c r="R703" s="26">
        <v>57330</v>
      </c>
      <c r="S703" s="91">
        <f t="shared" si="612"/>
        <v>1.1337868480725624</v>
      </c>
      <c r="T703" s="91">
        <f t="shared" si="613"/>
        <v>1.3146694575266005</v>
      </c>
      <c r="U703" s="27" t="s">
        <v>56</v>
      </c>
      <c r="V703" s="30" t="s">
        <v>59</v>
      </c>
      <c r="W703" s="31">
        <v>45868</v>
      </c>
      <c r="X703" s="22"/>
      <c r="Y703" s="19" t="s">
        <v>52</v>
      </c>
      <c r="Z703" s="19" t="s">
        <v>52</v>
      </c>
      <c r="AA703" s="19" t="s">
        <v>52</v>
      </c>
      <c r="AB703" s="28"/>
    </row>
    <row r="704" spans="1:33" s="29" customFormat="1" ht="15" customHeight="1" x14ac:dyDescent="0.25">
      <c r="A704" s="14">
        <v>9</v>
      </c>
      <c r="B704" s="15">
        <v>45875</v>
      </c>
      <c r="C704" s="15">
        <f t="shared" si="608"/>
        <v>45883</v>
      </c>
      <c r="D704" s="14">
        <v>13172</v>
      </c>
      <c r="E704" s="16" t="s">
        <v>160</v>
      </c>
      <c r="F704" s="17" t="s">
        <v>161</v>
      </c>
      <c r="G704" s="17" t="s">
        <v>132</v>
      </c>
      <c r="H704" s="18" t="s">
        <v>54</v>
      </c>
      <c r="I704" s="19" t="s">
        <v>135</v>
      </c>
      <c r="J704" s="20">
        <v>45835</v>
      </c>
      <c r="K704" s="20">
        <v>45880</v>
      </c>
      <c r="L704" s="21">
        <v>250000</v>
      </c>
      <c r="M704" s="22">
        <f>SUM(N704:O704)</f>
        <v>239250</v>
      </c>
      <c r="N704" s="23">
        <v>0</v>
      </c>
      <c r="O704" s="23">
        <v>239250</v>
      </c>
      <c r="P704" s="24">
        <f t="shared" si="609"/>
        <v>250000</v>
      </c>
      <c r="Q704" s="25">
        <v>239250</v>
      </c>
      <c r="R704" s="26">
        <v>175500</v>
      </c>
      <c r="S704" s="91">
        <f t="shared" si="612"/>
        <v>1.4245014245014245</v>
      </c>
      <c r="T704" s="91">
        <f t="shared" si="613"/>
        <v>1.3632478632478633</v>
      </c>
      <c r="U704" s="27" t="s">
        <v>56</v>
      </c>
      <c r="V704" s="30" t="s">
        <v>59</v>
      </c>
      <c r="W704" s="31">
        <v>45868</v>
      </c>
      <c r="X704" s="22"/>
      <c r="Y704" s="19" t="s">
        <v>52</v>
      </c>
      <c r="Z704" s="19" t="s">
        <v>52</v>
      </c>
      <c r="AA704" s="19" t="s">
        <v>52</v>
      </c>
      <c r="AB704" s="28"/>
    </row>
    <row r="705" spans="1:33" s="29" customFormat="1" ht="15" customHeight="1" x14ac:dyDescent="0.25">
      <c r="A705" s="14">
        <v>10</v>
      </c>
      <c r="B705" s="15">
        <v>45875</v>
      </c>
      <c r="C705" s="15">
        <f t="shared" si="608"/>
        <v>45883</v>
      </c>
      <c r="D705" s="14">
        <v>13196</v>
      </c>
      <c r="E705" s="16" t="s">
        <v>314</v>
      </c>
      <c r="F705" s="17" t="s">
        <v>315</v>
      </c>
      <c r="G705" s="17" t="s">
        <v>47</v>
      </c>
      <c r="H705" s="18" t="s">
        <v>133</v>
      </c>
      <c r="I705" s="19" t="s">
        <v>198</v>
      </c>
      <c r="J705" s="20">
        <v>45839</v>
      </c>
      <c r="K705" s="20">
        <v>45894</v>
      </c>
      <c r="L705" s="21">
        <v>70000</v>
      </c>
      <c r="M705" s="22">
        <f t="shared" ref="M705" si="614">SUM(N705:O705)</f>
        <v>76000</v>
      </c>
      <c r="N705" s="23">
        <v>0</v>
      </c>
      <c r="O705" s="23">
        <v>76000</v>
      </c>
      <c r="P705" s="24">
        <f t="shared" si="609"/>
        <v>70000</v>
      </c>
      <c r="Q705" s="25">
        <v>76000</v>
      </c>
      <c r="R705" s="26">
        <v>32000</v>
      </c>
      <c r="S705" s="91">
        <f t="shared" si="612"/>
        <v>2.1875</v>
      </c>
      <c r="T705" s="91">
        <f t="shared" si="613"/>
        <v>2.375</v>
      </c>
      <c r="U705" s="27" t="s">
        <v>56</v>
      </c>
      <c r="V705" s="30" t="s">
        <v>59</v>
      </c>
      <c r="W705" s="31">
        <v>45868</v>
      </c>
      <c r="X705" s="22"/>
      <c r="Y705" s="19" t="s">
        <v>52</v>
      </c>
      <c r="Z705" s="19" t="s">
        <v>52</v>
      </c>
      <c r="AA705" s="19" t="s">
        <v>52</v>
      </c>
      <c r="AB705" s="42"/>
    </row>
    <row r="706" spans="1:33" s="29" customFormat="1" ht="15" customHeight="1" x14ac:dyDescent="0.25">
      <c r="A706" s="14">
        <v>8</v>
      </c>
      <c r="B706" s="15">
        <v>45875</v>
      </c>
      <c r="C706" s="15">
        <f t="shared" si="608"/>
        <v>45883</v>
      </c>
      <c r="D706" s="14">
        <v>13165</v>
      </c>
      <c r="E706" s="16" t="s">
        <v>222</v>
      </c>
      <c r="F706" s="17" t="s">
        <v>223</v>
      </c>
      <c r="G706" s="17" t="s">
        <v>132</v>
      </c>
      <c r="H706" s="18" t="s">
        <v>54</v>
      </c>
      <c r="I706" s="19" t="s">
        <v>135</v>
      </c>
      <c r="J706" s="20">
        <v>45833</v>
      </c>
      <c r="K706" s="20">
        <v>45877</v>
      </c>
      <c r="L706" s="21">
        <v>140000</v>
      </c>
      <c r="M706" s="22">
        <f>SUM(N706:O706)</f>
        <v>57330</v>
      </c>
      <c r="N706" s="23">
        <v>0</v>
      </c>
      <c r="O706" s="23">
        <v>57330</v>
      </c>
      <c r="P706" s="24">
        <f t="shared" si="609"/>
        <v>140000</v>
      </c>
      <c r="Q706" s="25">
        <v>57330</v>
      </c>
      <c r="R706" s="26">
        <v>57330</v>
      </c>
      <c r="S706" s="91">
        <f t="shared" si="612"/>
        <v>2.4420024420024422</v>
      </c>
      <c r="T706" s="91">
        <f t="shared" si="613"/>
        <v>1</v>
      </c>
      <c r="U706" s="27" t="s">
        <v>56</v>
      </c>
      <c r="V706" s="30" t="s">
        <v>59</v>
      </c>
      <c r="W706" s="31">
        <v>45868</v>
      </c>
      <c r="X706" s="22"/>
      <c r="Y706" s="19" t="s">
        <v>52</v>
      </c>
      <c r="Z706" s="19" t="s">
        <v>52</v>
      </c>
      <c r="AA706" s="19" t="s">
        <v>52</v>
      </c>
      <c r="AB706" s="28"/>
    </row>
    <row r="707" spans="1:33" s="29" customFormat="1" ht="15" customHeight="1" x14ac:dyDescent="0.25">
      <c r="A707" s="14">
        <v>12</v>
      </c>
      <c r="B707" s="15">
        <v>45875</v>
      </c>
      <c r="C707" s="15">
        <f t="shared" si="608"/>
        <v>45883</v>
      </c>
      <c r="D707" s="14">
        <v>13229</v>
      </c>
      <c r="E707" s="16" t="s">
        <v>322</v>
      </c>
      <c r="F707" s="17" t="s">
        <v>323</v>
      </c>
      <c r="G707" s="17" t="s">
        <v>132</v>
      </c>
      <c r="H707" s="18" t="s">
        <v>133</v>
      </c>
      <c r="I707" s="19" t="s">
        <v>198</v>
      </c>
      <c r="J707" s="20">
        <v>45849</v>
      </c>
      <c r="K707" s="20">
        <v>45889</v>
      </c>
      <c r="L707" s="21">
        <v>300000</v>
      </c>
      <c r="M707" s="22">
        <f>SUM(N707:O707)</f>
        <v>279010</v>
      </c>
      <c r="N707" s="23">
        <v>0</v>
      </c>
      <c r="O707" s="23">
        <v>279010</v>
      </c>
      <c r="P707" s="24">
        <f t="shared" si="609"/>
        <v>300000</v>
      </c>
      <c r="Q707" s="25">
        <v>279010</v>
      </c>
      <c r="R707" s="26">
        <v>160000</v>
      </c>
      <c r="S707" s="91">
        <f t="shared" si="612"/>
        <v>1.875</v>
      </c>
      <c r="T707" s="91">
        <f t="shared" si="613"/>
        <v>1.7438125</v>
      </c>
      <c r="U707" s="27" t="s">
        <v>56</v>
      </c>
      <c r="V707" s="30" t="s">
        <v>59</v>
      </c>
      <c r="W707" s="31">
        <v>45868</v>
      </c>
      <c r="X707" s="22"/>
      <c r="Y707" s="19" t="s">
        <v>52</v>
      </c>
      <c r="Z707" s="19" t="s">
        <v>52</v>
      </c>
      <c r="AA707" s="19" t="s">
        <v>52</v>
      </c>
      <c r="AB707" s="28"/>
    </row>
    <row r="708" spans="1:33" s="29" customFormat="1" ht="15" customHeight="1" x14ac:dyDescent="0.25">
      <c r="A708" s="14">
        <v>18</v>
      </c>
      <c r="B708" s="15">
        <v>45875</v>
      </c>
      <c r="C708" s="15">
        <f t="shared" si="608"/>
        <v>45883</v>
      </c>
      <c r="D708" s="14">
        <v>13234</v>
      </c>
      <c r="E708" s="16" t="s">
        <v>199</v>
      </c>
      <c r="F708" s="40" t="s">
        <v>200</v>
      </c>
      <c r="G708" s="17" t="s">
        <v>75</v>
      </c>
      <c r="H708" s="18" t="s">
        <v>133</v>
      </c>
      <c r="I708" s="19" t="s">
        <v>198</v>
      </c>
      <c r="J708" s="20">
        <v>45849</v>
      </c>
      <c r="K708" s="20">
        <v>45910</v>
      </c>
      <c r="L708" s="21">
        <v>150000</v>
      </c>
      <c r="M708" s="22">
        <f>SUM(N708:O708)</f>
        <v>110000</v>
      </c>
      <c r="N708" s="23">
        <v>0</v>
      </c>
      <c r="O708" s="23">
        <v>110000</v>
      </c>
      <c r="P708" s="24">
        <f t="shared" si="609"/>
        <v>150000</v>
      </c>
      <c r="Q708" s="25">
        <v>110000</v>
      </c>
      <c r="R708" s="26">
        <v>60000</v>
      </c>
      <c r="S708" s="91">
        <f t="shared" si="612"/>
        <v>2.5</v>
      </c>
      <c r="T708" s="91">
        <f t="shared" si="613"/>
        <v>1.8333333333333333</v>
      </c>
      <c r="U708" s="27" t="s">
        <v>56</v>
      </c>
      <c r="V708" s="30" t="s">
        <v>59</v>
      </c>
      <c r="W708" s="31">
        <v>45868</v>
      </c>
      <c r="X708" s="22"/>
      <c r="Y708" s="19" t="s">
        <v>52</v>
      </c>
      <c r="Z708" s="19" t="s">
        <v>52</v>
      </c>
      <c r="AA708" s="19" t="s">
        <v>52</v>
      </c>
      <c r="AB708" s="28"/>
    </row>
    <row r="709" spans="1:33" s="29" customFormat="1" ht="15" customHeight="1" x14ac:dyDescent="0.25">
      <c r="A709" s="14">
        <v>19</v>
      </c>
      <c r="B709" s="15">
        <v>45875</v>
      </c>
      <c r="C709" s="15">
        <f t="shared" ref="C709" si="615">B709+8</f>
        <v>45883</v>
      </c>
      <c r="D709" s="14">
        <v>13284</v>
      </c>
      <c r="E709" s="16" t="s">
        <v>154</v>
      </c>
      <c r="F709" s="17" t="s">
        <v>155</v>
      </c>
      <c r="G709" s="17" t="s">
        <v>132</v>
      </c>
      <c r="H709" s="18" t="s">
        <v>54</v>
      </c>
      <c r="I709" s="19" t="s">
        <v>135</v>
      </c>
      <c r="J709" s="20">
        <v>45859</v>
      </c>
      <c r="K709" s="20">
        <v>45904</v>
      </c>
      <c r="L709" s="21">
        <v>75000</v>
      </c>
      <c r="M709" s="22">
        <f>SUM(N709:O709)</f>
        <v>74950</v>
      </c>
      <c r="N709" s="23">
        <v>0</v>
      </c>
      <c r="O709" s="23">
        <v>74950</v>
      </c>
      <c r="P709" s="24">
        <f t="shared" si="609"/>
        <v>75000</v>
      </c>
      <c r="Q709" s="25">
        <v>74950</v>
      </c>
      <c r="R709" s="26">
        <v>57330</v>
      </c>
      <c r="S709" s="91">
        <f t="shared" si="612"/>
        <v>1.3082155939298796</v>
      </c>
      <c r="T709" s="91">
        <f t="shared" si="613"/>
        <v>1.3073434502005929</v>
      </c>
      <c r="U709" s="27" t="s">
        <v>56</v>
      </c>
      <c r="V709" s="30" t="s">
        <v>59</v>
      </c>
      <c r="W709" s="31">
        <v>45878</v>
      </c>
      <c r="X709" s="22"/>
      <c r="Y709" s="19" t="s">
        <v>52</v>
      </c>
      <c r="Z709" s="19" t="s">
        <v>52</v>
      </c>
      <c r="AA709" s="19" t="s">
        <v>52</v>
      </c>
      <c r="AB709" s="28"/>
    </row>
    <row r="710" spans="1:33" s="29" customFormat="1" ht="15" customHeight="1" x14ac:dyDescent="0.25">
      <c r="A710" s="14">
        <v>17</v>
      </c>
      <c r="B710" s="15">
        <v>45875</v>
      </c>
      <c r="C710" s="15">
        <f t="shared" ref="C710" si="616">B710+8</f>
        <v>45883</v>
      </c>
      <c r="D710" s="14">
        <v>13298</v>
      </c>
      <c r="E710" s="16" t="s">
        <v>261</v>
      </c>
      <c r="F710" s="40" t="s">
        <v>262</v>
      </c>
      <c r="G710" s="17" t="s">
        <v>75</v>
      </c>
      <c r="H710" s="18" t="s">
        <v>54</v>
      </c>
      <c r="I710" s="19" t="s">
        <v>86</v>
      </c>
      <c r="J710" s="20">
        <v>45859</v>
      </c>
      <c r="K710" s="20">
        <v>45898</v>
      </c>
      <c r="L710" s="21">
        <v>200000</v>
      </c>
      <c r="M710" s="22">
        <f t="shared" ref="M710" si="617">SUM(N710:O710)</f>
        <v>261000</v>
      </c>
      <c r="N710" s="23">
        <v>0</v>
      </c>
      <c r="O710" s="23">
        <v>261000</v>
      </c>
      <c r="P710" s="24">
        <f t="shared" ref="P710" si="618">L710-N710</f>
        <v>200000</v>
      </c>
      <c r="Q710" s="25">
        <v>261000</v>
      </c>
      <c r="R710" s="26">
        <v>63000</v>
      </c>
      <c r="S710" s="91">
        <f t="shared" si="612"/>
        <v>3.1746031746031744</v>
      </c>
      <c r="T710" s="91">
        <f t="shared" si="613"/>
        <v>4.1428571428571432</v>
      </c>
      <c r="U710" s="27" t="s">
        <v>56</v>
      </c>
      <c r="V710" s="30" t="s">
        <v>59</v>
      </c>
      <c r="W710" s="31">
        <v>45884</v>
      </c>
      <c r="X710" s="22"/>
      <c r="Y710" s="19" t="s">
        <v>52</v>
      </c>
      <c r="Z710" s="19" t="s">
        <v>52</v>
      </c>
      <c r="AA710" s="19" t="s">
        <v>52</v>
      </c>
      <c r="AB710" s="28"/>
    </row>
    <row r="711" spans="1:33" ht="15" customHeight="1" x14ac:dyDescent="0.25">
      <c r="A711" s="33" t="s">
        <v>71</v>
      </c>
      <c r="B711" s="34"/>
      <c r="C711" s="34"/>
      <c r="D711" s="34"/>
      <c r="E711" s="34"/>
      <c r="F711" s="35"/>
      <c r="G711" s="35"/>
      <c r="H711" s="34"/>
      <c r="I711" s="34"/>
      <c r="J711" s="34"/>
      <c r="K711" s="34"/>
      <c r="L711" s="36"/>
      <c r="M711" s="36"/>
      <c r="N711" s="36"/>
      <c r="O711" s="36"/>
      <c r="P711" s="36"/>
      <c r="Q711" s="36">
        <f>SUM(Q700:Q710)</f>
        <v>1335150</v>
      </c>
      <c r="R711" s="36"/>
      <c r="S711" s="92"/>
      <c r="T711" s="93">
        <f>SUM(T700:T710)</f>
        <v>17.749590452206526</v>
      </c>
      <c r="U711" s="37"/>
      <c r="V711" s="38"/>
      <c r="W711" s="38"/>
      <c r="X711" s="38"/>
      <c r="Y711" s="34"/>
      <c r="Z711" s="34"/>
      <c r="AA711" s="39"/>
      <c r="AB711" s="29" t="s">
        <v>759</v>
      </c>
      <c r="AC711" s="81" t="s">
        <v>782</v>
      </c>
      <c r="AD711" s="83">
        <v>4791.67</v>
      </c>
      <c r="AF711" s="83">
        <v>0</v>
      </c>
      <c r="AG711" s="83">
        <f>SUM(AD711,AF711)</f>
        <v>4791.67</v>
      </c>
    </row>
    <row r="712" spans="1:33" s="29" customFormat="1" ht="15" customHeight="1" x14ac:dyDescent="0.25">
      <c r="A712" s="14">
        <v>4</v>
      </c>
      <c r="B712" s="15">
        <v>45881</v>
      </c>
      <c r="C712" s="15">
        <f>B712+8</f>
        <v>45889</v>
      </c>
      <c r="D712" s="14">
        <v>13250</v>
      </c>
      <c r="E712" s="16" t="s">
        <v>111</v>
      </c>
      <c r="F712" s="17" t="s">
        <v>481</v>
      </c>
      <c r="G712" s="17" t="s">
        <v>102</v>
      </c>
      <c r="H712" s="18" t="s">
        <v>57</v>
      </c>
      <c r="I712" s="19" t="s">
        <v>94</v>
      </c>
      <c r="J712" s="20">
        <v>45848</v>
      </c>
      <c r="K712" s="20">
        <v>45876</v>
      </c>
      <c r="L712" s="21">
        <v>120000</v>
      </c>
      <c r="M712" s="22">
        <f>SUM(N712:O712)</f>
        <v>112000</v>
      </c>
      <c r="N712" s="23">
        <v>0</v>
      </c>
      <c r="O712" s="23">
        <v>112000</v>
      </c>
      <c r="P712" s="24">
        <f>L712-N712</f>
        <v>120000</v>
      </c>
      <c r="Q712" s="25">
        <v>42000</v>
      </c>
      <c r="R712" s="26">
        <v>42000</v>
      </c>
      <c r="S712" s="91">
        <f t="shared" ref="S712:S716" si="619">IF(P712&gt;0,P712/$R712,0)</f>
        <v>2.8571428571428572</v>
      </c>
      <c r="T712" s="91">
        <f t="shared" ref="T712:T716" si="620">IF(Q712&gt;0,Q712/$R712,0)</f>
        <v>1</v>
      </c>
      <c r="U712" s="27" t="s">
        <v>192</v>
      </c>
      <c r="V712" s="30" t="s">
        <v>59</v>
      </c>
      <c r="W712" s="31">
        <v>45877</v>
      </c>
      <c r="X712" s="22"/>
      <c r="Y712" s="19" t="s">
        <v>52</v>
      </c>
      <c r="Z712" s="19" t="s">
        <v>52</v>
      </c>
      <c r="AA712" s="19" t="s">
        <v>52</v>
      </c>
      <c r="AB712" s="28"/>
    </row>
    <row r="713" spans="1:33" s="29" customFormat="1" ht="15" customHeight="1" x14ac:dyDescent="0.25">
      <c r="A713" s="14">
        <v>6</v>
      </c>
      <c r="B713" s="15">
        <v>45881</v>
      </c>
      <c r="C713" s="15">
        <f t="shared" ref="C713" si="621">B713+8</f>
        <v>45889</v>
      </c>
      <c r="D713" s="14">
        <v>13294</v>
      </c>
      <c r="E713" s="16" t="s">
        <v>731</v>
      </c>
      <c r="F713" s="17" t="s">
        <v>408</v>
      </c>
      <c r="G713" s="17" t="s">
        <v>47</v>
      </c>
      <c r="H713" s="18" t="s">
        <v>57</v>
      </c>
      <c r="I713" s="19" t="s">
        <v>58</v>
      </c>
      <c r="J713" s="20">
        <v>45855</v>
      </c>
      <c r="K713" s="20">
        <v>45883</v>
      </c>
      <c r="L713" s="21">
        <v>1000000</v>
      </c>
      <c r="M713" s="22">
        <f>SUM(N713:O713)</f>
        <v>1024000</v>
      </c>
      <c r="N713" s="23">
        <v>0</v>
      </c>
      <c r="O713" s="23">
        <v>1024000</v>
      </c>
      <c r="P713" s="24">
        <f t="shared" ref="P713" si="622">L713-N713</f>
        <v>1000000</v>
      </c>
      <c r="Q713" s="25">
        <v>832000</v>
      </c>
      <c r="R713" s="26">
        <v>48000</v>
      </c>
      <c r="S713" s="91">
        <f t="shared" si="619"/>
        <v>20.833333333333332</v>
      </c>
      <c r="T713" s="91">
        <f t="shared" si="620"/>
        <v>17.333333333333332</v>
      </c>
      <c r="U713" s="27" t="s">
        <v>192</v>
      </c>
      <c r="V713" s="30" t="s">
        <v>59</v>
      </c>
      <c r="W713" s="31">
        <v>45877</v>
      </c>
      <c r="X713" s="22"/>
      <c r="Y713" s="19" t="s">
        <v>52</v>
      </c>
      <c r="Z713" s="19" t="s">
        <v>52</v>
      </c>
      <c r="AA713" s="19" t="s">
        <v>52</v>
      </c>
      <c r="AB713" s="42"/>
    </row>
    <row r="714" spans="1:33" s="29" customFormat="1" ht="15" customHeight="1" x14ac:dyDescent="0.25">
      <c r="A714" s="14">
        <v>4</v>
      </c>
      <c r="B714" s="15">
        <v>45881</v>
      </c>
      <c r="C714" s="15">
        <f>B714+8</f>
        <v>45889</v>
      </c>
      <c r="D714" s="14">
        <v>13250</v>
      </c>
      <c r="E714" s="16" t="s">
        <v>111</v>
      </c>
      <c r="F714" s="17" t="s">
        <v>481</v>
      </c>
      <c r="G714" s="17" t="s">
        <v>102</v>
      </c>
      <c r="H714" s="18" t="s">
        <v>57</v>
      </c>
      <c r="I714" s="19" t="s">
        <v>94</v>
      </c>
      <c r="J714" s="20">
        <v>45848</v>
      </c>
      <c r="K714" s="20">
        <v>45876</v>
      </c>
      <c r="L714" s="21">
        <v>120000</v>
      </c>
      <c r="M714" s="22">
        <f>SUM(N714:O714)</f>
        <v>112000</v>
      </c>
      <c r="N714" s="23">
        <v>0</v>
      </c>
      <c r="O714" s="23">
        <v>112000</v>
      </c>
      <c r="P714" s="24">
        <f>L714-N714</f>
        <v>120000</v>
      </c>
      <c r="Q714" s="25">
        <v>70000</v>
      </c>
      <c r="R714" s="26">
        <v>42000</v>
      </c>
      <c r="S714" s="91">
        <f t="shared" si="619"/>
        <v>2.8571428571428572</v>
      </c>
      <c r="T714" s="91">
        <f t="shared" si="620"/>
        <v>1.6666666666666667</v>
      </c>
      <c r="U714" s="27" t="s">
        <v>193</v>
      </c>
      <c r="V714" s="30" t="s">
        <v>59</v>
      </c>
      <c r="W714" s="31">
        <v>45877</v>
      </c>
      <c r="X714" s="22"/>
      <c r="Y714" s="19" t="s">
        <v>52</v>
      </c>
      <c r="Z714" s="19" t="s">
        <v>52</v>
      </c>
      <c r="AA714" s="19" t="s">
        <v>52</v>
      </c>
      <c r="AB714" s="28"/>
    </row>
    <row r="715" spans="1:33" s="29" customFormat="1" ht="15" customHeight="1" x14ac:dyDescent="0.25">
      <c r="A715" s="14">
        <v>6</v>
      </c>
      <c r="B715" s="15">
        <v>45881</v>
      </c>
      <c r="C715" s="15">
        <f>B715+8</f>
        <v>45889</v>
      </c>
      <c r="D715" s="14">
        <v>13294</v>
      </c>
      <c r="E715" s="16" t="s">
        <v>731</v>
      </c>
      <c r="F715" s="17" t="s">
        <v>408</v>
      </c>
      <c r="G715" s="17" t="s">
        <v>47</v>
      </c>
      <c r="H715" s="18" t="s">
        <v>57</v>
      </c>
      <c r="I715" s="19" t="s">
        <v>58</v>
      </c>
      <c r="J715" s="20">
        <v>45855</v>
      </c>
      <c r="K715" s="20">
        <v>45883</v>
      </c>
      <c r="L715" s="21">
        <v>1000000</v>
      </c>
      <c r="M715" s="22">
        <f>SUM(N715:O715)</f>
        <v>1024000</v>
      </c>
      <c r="N715" s="23">
        <v>0</v>
      </c>
      <c r="O715" s="23">
        <v>1024000</v>
      </c>
      <c r="P715" s="24">
        <f>L715-N715</f>
        <v>1000000</v>
      </c>
      <c r="Q715" s="25">
        <v>192000</v>
      </c>
      <c r="R715" s="26">
        <v>48000</v>
      </c>
      <c r="S715" s="91">
        <f t="shared" si="619"/>
        <v>20.833333333333332</v>
      </c>
      <c r="T715" s="91">
        <f t="shared" si="620"/>
        <v>4</v>
      </c>
      <c r="U715" s="27" t="s">
        <v>193</v>
      </c>
      <c r="V715" s="30" t="s">
        <v>59</v>
      </c>
      <c r="W715" s="31">
        <v>45877</v>
      </c>
      <c r="X715" s="22"/>
      <c r="Y715" s="19" t="s">
        <v>52</v>
      </c>
      <c r="Z715" s="19" t="s">
        <v>52</v>
      </c>
      <c r="AA715" s="19" t="s">
        <v>52</v>
      </c>
      <c r="AB715" s="42"/>
    </row>
    <row r="716" spans="1:33" s="29" customFormat="1" ht="15" customHeight="1" x14ac:dyDescent="0.25">
      <c r="A716" s="14">
        <v>4</v>
      </c>
      <c r="B716" s="15">
        <v>45881</v>
      </c>
      <c r="C716" s="15">
        <f>B716+8</f>
        <v>45889</v>
      </c>
      <c r="D716" s="14">
        <v>13304</v>
      </c>
      <c r="E716" s="16" t="s">
        <v>60</v>
      </c>
      <c r="F716" s="17" t="s">
        <v>61</v>
      </c>
      <c r="G716" s="17" t="s">
        <v>47</v>
      </c>
      <c r="H716" s="18" t="s">
        <v>62</v>
      </c>
      <c r="I716" s="19" t="s">
        <v>63</v>
      </c>
      <c r="J716" s="20">
        <v>45859</v>
      </c>
      <c r="K716" s="20">
        <v>45884</v>
      </c>
      <c r="L716" s="21">
        <v>200000</v>
      </c>
      <c r="M716" s="22">
        <f>SUM(N716:O716)</f>
        <v>196000</v>
      </c>
      <c r="N716" s="23">
        <v>80000</v>
      </c>
      <c r="O716" s="23">
        <v>116000</v>
      </c>
      <c r="P716" s="24">
        <f>L716-N716</f>
        <v>120000</v>
      </c>
      <c r="Q716" s="25">
        <v>116000</v>
      </c>
      <c r="R716" s="26">
        <v>40000</v>
      </c>
      <c r="S716" s="91">
        <f t="shared" si="619"/>
        <v>3</v>
      </c>
      <c r="T716" s="91">
        <f t="shared" si="620"/>
        <v>2.9</v>
      </c>
      <c r="U716" s="27" t="s">
        <v>193</v>
      </c>
      <c r="V716" s="19" t="s">
        <v>51</v>
      </c>
      <c r="W716" s="20">
        <v>45868</v>
      </c>
      <c r="X716" s="22"/>
      <c r="Y716" s="19" t="s">
        <v>52</v>
      </c>
      <c r="Z716" s="19" t="s">
        <v>52</v>
      </c>
      <c r="AA716" s="19" t="s">
        <v>52</v>
      </c>
      <c r="AB716" s="42"/>
    </row>
    <row r="717" spans="1:33" ht="15" customHeight="1" x14ac:dyDescent="0.25">
      <c r="A717" s="33" t="s">
        <v>71</v>
      </c>
      <c r="B717" s="34"/>
      <c r="C717" s="34"/>
      <c r="D717" s="34"/>
      <c r="E717" s="34"/>
      <c r="F717" s="35"/>
      <c r="G717" s="35"/>
      <c r="H717" s="34"/>
      <c r="I717" s="34"/>
      <c r="J717" s="34"/>
      <c r="K717" s="34"/>
      <c r="L717" s="36"/>
      <c r="M717" s="36"/>
      <c r="N717" s="36"/>
      <c r="O717" s="36"/>
      <c r="P717" s="36"/>
      <c r="Q717" s="36">
        <f>SUM(Q712:Q716)</f>
        <v>1252000</v>
      </c>
      <c r="R717" s="36"/>
      <c r="S717" s="92"/>
      <c r="T717" s="93">
        <f>SUM(T712:T716)</f>
        <v>26.9</v>
      </c>
      <c r="U717" s="37"/>
      <c r="V717" s="38"/>
      <c r="W717" s="38"/>
      <c r="X717" s="38"/>
      <c r="Y717" s="34"/>
      <c r="Z717" s="34"/>
      <c r="AA717" s="39"/>
      <c r="AB717" s="29" t="s">
        <v>764</v>
      </c>
      <c r="AC717" s="81" t="s">
        <v>778</v>
      </c>
      <c r="AD717" s="83">
        <v>5000</v>
      </c>
      <c r="AF717" s="83">
        <v>0</v>
      </c>
      <c r="AG717" s="83">
        <f>SUM(AD717,AF717)</f>
        <v>5000</v>
      </c>
    </row>
    <row r="718" spans="1:33" s="29" customFormat="1" ht="15" customHeight="1" x14ac:dyDescent="0.25">
      <c r="A718" s="14">
        <v>5</v>
      </c>
      <c r="B718" s="15">
        <v>45881</v>
      </c>
      <c r="C718" s="15">
        <f>B718+8</f>
        <v>45889</v>
      </c>
      <c r="D718" s="14">
        <v>13287</v>
      </c>
      <c r="E718" s="16" t="s">
        <v>728</v>
      </c>
      <c r="F718" s="17" t="s">
        <v>469</v>
      </c>
      <c r="G718" s="17" t="s">
        <v>47</v>
      </c>
      <c r="H718" s="18" t="s">
        <v>57</v>
      </c>
      <c r="I718" s="19" t="s">
        <v>58</v>
      </c>
      <c r="J718" s="20">
        <v>45855</v>
      </c>
      <c r="K718" s="20">
        <v>45883</v>
      </c>
      <c r="L718" s="21">
        <v>2000000</v>
      </c>
      <c r="M718" s="22">
        <f>SUM(N718:O718)</f>
        <v>1100000</v>
      </c>
      <c r="N718" s="23">
        <v>0</v>
      </c>
      <c r="O718" s="23">
        <v>1100000</v>
      </c>
      <c r="P718" s="24">
        <f>L718-N718</f>
        <v>2000000</v>
      </c>
      <c r="Q718" s="25">
        <v>1100000</v>
      </c>
      <c r="R718" s="26">
        <v>96000</v>
      </c>
      <c r="S718" s="91">
        <f t="shared" ref="S718:S722" si="623">IF(P718&gt;0,P718/$R718,0)</f>
        <v>20.833333333333332</v>
      </c>
      <c r="T718" s="91">
        <f t="shared" ref="T718:T722" si="624">IF(Q718&gt;0,Q718/$R718,0)</f>
        <v>11.458333333333334</v>
      </c>
      <c r="U718" s="27" t="s">
        <v>193</v>
      </c>
      <c r="V718" s="30" t="s">
        <v>59</v>
      </c>
      <c r="W718" s="31">
        <v>45877</v>
      </c>
      <c r="X718" s="22"/>
      <c r="Y718" s="19" t="s">
        <v>52</v>
      </c>
      <c r="Z718" s="19" t="s">
        <v>52</v>
      </c>
      <c r="AA718" s="19" t="s">
        <v>52</v>
      </c>
      <c r="AB718" s="42"/>
    </row>
    <row r="719" spans="1:33" s="29" customFormat="1" ht="15" customHeight="1" x14ac:dyDescent="0.25">
      <c r="A719" s="14">
        <v>11</v>
      </c>
      <c r="B719" s="15">
        <v>45881</v>
      </c>
      <c r="C719" s="15">
        <f>B719+8</f>
        <v>45889</v>
      </c>
      <c r="D719" s="14">
        <v>13310</v>
      </c>
      <c r="E719" s="16" t="s">
        <v>218</v>
      </c>
      <c r="F719" s="17" t="s">
        <v>219</v>
      </c>
      <c r="G719" s="17" t="s">
        <v>102</v>
      </c>
      <c r="H719" s="18" t="s">
        <v>542</v>
      </c>
      <c r="I719" s="19" t="s">
        <v>104</v>
      </c>
      <c r="J719" s="20">
        <v>45861</v>
      </c>
      <c r="K719" s="20">
        <v>45891</v>
      </c>
      <c r="L719" s="21">
        <v>200000</v>
      </c>
      <c r="M719" s="22">
        <f>SUM(N719:O719)</f>
        <v>213000</v>
      </c>
      <c r="N719" s="23">
        <v>110000</v>
      </c>
      <c r="O719" s="23">
        <v>103000</v>
      </c>
      <c r="P719" s="24">
        <f>L719-N719</f>
        <v>90000</v>
      </c>
      <c r="Q719" s="25">
        <v>103000</v>
      </c>
      <c r="R719" s="26">
        <v>50000</v>
      </c>
      <c r="S719" s="91">
        <f t="shared" si="623"/>
        <v>1.8</v>
      </c>
      <c r="T719" s="91">
        <f t="shared" si="624"/>
        <v>2.06</v>
      </c>
      <c r="U719" s="27" t="s">
        <v>193</v>
      </c>
      <c r="V719" s="19" t="s">
        <v>51</v>
      </c>
      <c r="W719" s="20">
        <v>45870</v>
      </c>
      <c r="X719" s="22"/>
      <c r="Y719" s="19" t="s">
        <v>52</v>
      </c>
      <c r="Z719" s="19" t="s">
        <v>52</v>
      </c>
      <c r="AA719" s="19" t="s">
        <v>52</v>
      </c>
      <c r="AB719" s="28"/>
    </row>
    <row r="720" spans="1:33" s="29" customFormat="1" ht="15" customHeight="1" x14ac:dyDescent="0.25">
      <c r="A720" s="14">
        <v>3</v>
      </c>
      <c r="B720" s="15">
        <v>45881</v>
      </c>
      <c r="C720" s="15">
        <f>B720+8</f>
        <v>45889</v>
      </c>
      <c r="D720" s="14">
        <v>13266</v>
      </c>
      <c r="E720" s="16" t="s">
        <v>702</v>
      </c>
      <c r="F720" s="17" t="s">
        <v>703</v>
      </c>
      <c r="G720" s="17" t="s">
        <v>47</v>
      </c>
      <c r="H720" s="18" t="s">
        <v>542</v>
      </c>
      <c r="I720" s="19" t="s">
        <v>104</v>
      </c>
      <c r="J720" s="20">
        <v>45853</v>
      </c>
      <c r="K720" s="20">
        <v>45882</v>
      </c>
      <c r="L720" s="21">
        <v>1200000</v>
      </c>
      <c r="M720" s="22">
        <f t="shared" ref="M720" si="625">SUM(N720:O720)</f>
        <v>189000</v>
      </c>
      <c r="N720" s="23">
        <v>0</v>
      </c>
      <c r="O720" s="23">
        <v>189000</v>
      </c>
      <c r="P720" s="24">
        <f>L720-N720</f>
        <v>1200000</v>
      </c>
      <c r="Q720" s="25">
        <v>189000</v>
      </c>
      <c r="R720" s="26">
        <v>94500</v>
      </c>
      <c r="S720" s="91">
        <f t="shared" si="623"/>
        <v>12.698412698412698</v>
      </c>
      <c r="T720" s="91">
        <f t="shared" si="624"/>
        <v>2</v>
      </c>
      <c r="U720" s="27" t="s">
        <v>193</v>
      </c>
      <c r="V720" s="30" t="s">
        <v>59</v>
      </c>
      <c r="W720" s="31">
        <v>45876</v>
      </c>
      <c r="X720" s="22"/>
      <c r="Y720" s="19" t="s">
        <v>52</v>
      </c>
      <c r="Z720" s="19" t="s">
        <v>52</v>
      </c>
      <c r="AA720" s="19" t="s">
        <v>52</v>
      </c>
      <c r="AB720" s="42"/>
    </row>
    <row r="721" spans="1:33" s="29" customFormat="1" ht="15" customHeight="1" x14ac:dyDescent="0.25">
      <c r="A721" s="14">
        <v>5</v>
      </c>
      <c r="B721" s="15">
        <v>45881</v>
      </c>
      <c r="C721" s="15">
        <f>B721+8</f>
        <v>45889</v>
      </c>
      <c r="D721" s="14">
        <v>13246</v>
      </c>
      <c r="E721" s="16" t="s">
        <v>684</v>
      </c>
      <c r="F721" s="40" t="s">
        <v>720</v>
      </c>
      <c r="G721" s="17" t="s">
        <v>75</v>
      </c>
      <c r="H721" s="18" t="s">
        <v>57</v>
      </c>
      <c r="I721" s="19" t="s">
        <v>94</v>
      </c>
      <c r="J721" s="20">
        <v>45848</v>
      </c>
      <c r="K721" s="20">
        <v>45881</v>
      </c>
      <c r="L721" s="21">
        <v>400000</v>
      </c>
      <c r="M721" s="22">
        <f>SUM(N721:O721)</f>
        <v>414000</v>
      </c>
      <c r="N721" s="23">
        <v>400000</v>
      </c>
      <c r="O721" s="23">
        <v>14000</v>
      </c>
      <c r="P721" s="24">
        <f>L721-N721</f>
        <v>0</v>
      </c>
      <c r="Q721" s="25">
        <v>14000</v>
      </c>
      <c r="R721" s="26">
        <v>100000</v>
      </c>
      <c r="S721" s="91">
        <f t="shared" si="623"/>
        <v>0</v>
      </c>
      <c r="T721" s="91">
        <f t="shared" si="624"/>
        <v>0.14000000000000001</v>
      </c>
      <c r="U721" s="27" t="s">
        <v>193</v>
      </c>
      <c r="V721" s="19" t="s">
        <v>51</v>
      </c>
      <c r="W721" s="20">
        <v>45864</v>
      </c>
      <c r="X721" s="22"/>
      <c r="Y721" s="19" t="s">
        <v>52</v>
      </c>
      <c r="Z721" s="19" t="s">
        <v>52</v>
      </c>
      <c r="AA721" s="19" t="s">
        <v>52</v>
      </c>
      <c r="AB721" s="28"/>
    </row>
    <row r="722" spans="1:33" s="29" customFormat="1" ht="15" customHeight="1" x14ac:dyDescent="0.25">
      <c r="A722" s="14">
        <v>8</v>
      </c>
      <c r="B722" s="15">
        <v>45881</v>
      </c>
      <c r="C722" s="15">
        <f t="shared" ref="C722" si="626">B722+8</f>
        <v>45889</v>
      </c>
      <c r="D722" s="14">
        <v>13259</v>
      </c>
      <c r="E722" s="16" t="s">
        <v>721</v>
      </c>
      <c r="F722" s="17" t="s">
        <v>124</v>
      </c>
      <c r="G722" s="17" t="s">
        <v>102</v>
      </c>
      <c r="H722" s="18" t="s">
        <v>57</v>
      </c>
      <c r="I722" s="19" t="s">
        <v>58</v>
      </c>
      <c r="J722" s="20">
        <v>45849</v>
      </c>
      <c r="K722" s="20">
        <v>45876</v>
      </c>
      <c r="L722" s="21">
        <v>400000</v>
      </c>
      <c r="M722" s="22">
        <f t="shared" ref="M722" si="627">SUM(N722:O722)</f>
        <v>408000</v>
      </c>
      <c r="N722" s="23">
        <v>0</v>
      </c>
      <c r="O722" s="23">
        <v>408000</v>
      </c>
      <c r="P722" s="24">
        <f t="shared" ref="P722" si="628">L722-N722</f>
        <v>400000</v>
      </c>
      <c r="Q722" s="25">
        <v>408000</v>
      </c>
      <c r="R722" s="26">
        <v>36000</v>
      </c>
      <c r="S722" s="91">
        <f t="shared" si="623"/>
        <v>11.111111111111111</v>
      </c>
      <c r="T722" s="91">
        <f t="shared" si="624"/>
        <v>11.333333333333334</v>
      </c>
      <c r="U722" s="27" t="s">
        <v>192</v>
      </c>
      <c r="V722" s="19" t="s">
        <v>51</v>
      </c>
      <c r="W722" s="20">
        <v>45868</v>
      </c>
      <c r="X722" s="22"/>
      <c r="Y722" s="19" t="s">
        <v>52</v>
      </c>
      <c r="Z722" s="19" t="s">
        <v>52</v>
      </c>
      <c r="AA722" s="19" t="s">
        <v>52</v>
      </c>
      <c r="AB722" s="28"/>
    </row>
    <row r="723" spans="1:33" ht="15" customHeight="1" x14ac:dyDescent="0.25">
      <c r="A723" s="33" t="s">
        <v>71</v>
      </c>
      <c r="B723" s="34"/>
      <c r="C723" s="34"/>
      <c r="D723" s="34"/>
      <c r="E723" s="34"/>
      <c r="F723" s="35"/>
      <c r="G723" s="35"/>
      <c r="H723" s="34"/>
      <c r="I723" s="34"/>
      <c r="J723" s="34"/>
      <c r="K723" s="34"/>
      <c r="L723" s="36"/>
      <c r="M723" s="36"/>
      <c r="N723" s="36"/>
      <c r="O723" s="36"/>
      <c r="P723" s="36"/>
      <c r="Q723" s="36">
        <f>SUM(Q718:Q722)</f>
        <v>1814000</v>
      </c>
      <c r="R723" s="36"/>
      <c r="S723" s="92"/>
      <c r="T723" s="93">
        <f>SUM(T718:T722)</f>
        <v>26.991666666666667</v>
      </c>
      <c r="U723" s="37"/>
      <c r="V723" s="38"/>
      <c r="W723" s="38"/>
      <c r="X723" s="38"/>
      <c r="Y723" s="34"/>
      <c r="Z723" s="34"/>
      <c r="AA723" s="39"/>
      <c r="AB723" s="29" t="s">
        <v>765</v>
      </c>
      <c r="AC723" s="81" t="s">
        <v>781</v>
      </c>
      <c r="AD723" s="83">
        <v>5000</v>
      </c>
      <c r="AF723" s="83">
        <v>0</v>
      </c>
      <c r="AG723" s="83">
        <f>SUM(AD723,AF723)</f>
        <v>5000</v>
      </c>
    </row>
    <row r="724" spans="1:33" s="29" customFormat="1" ht="15" customHeight="1" x14ac:dyDescent="0.25">
      <c r="A724" s="14">
        <v>2</v>
      </c>
      <c r="B724" s="15">
        <v>45880</v>
      </c>
      <c r="C724" s="15">
        <f t="shared" ref="C724:C726" si="629">B724+8</f>
        <v>45888</v>
      </c>
      <c r="D724" s="14">
        <v>13204</v>
      </c>
      <c r="E724" s="16" t="s">
        <v>403</v>
      </c>
      <c r="F724" s="17" t="s">
        <v>708</v>
      </c>
      <c r="G724" s="17" t="s">
        <v>47</v>
      </c>
      <c r="H724" s="18" t="s">
        <v>542</v>
      </c>
      <c r="I724" s="19" t="s">
        <v>70</v>
      </c>
      <c r="J724" s="20">
        <v>45840</v>
      </c>
      <c r="K724" s="20">
        <v>45877</v>
      </c>
      <c r="L724" s="21">
        <v>2000000</v>
      </c>
      <c r="M724" s="22">
        <f t="shared" ref="M724" si="630">SUM(N724:O724)</f>
        <v>2062000</v>
      </c>
      <c r="N724" s="23">
        <v>1400000</v>
      </c>
      <c r="O724" s="23">
        <v>662000</v>
      </c>
      <c r="P724" s="24">
        <f t="shared" ref="P724:P726" si="631">L724-N724</f>
        <v>600000</v>
      </c>
      <c r="Q724" s="25">
        <v>662000</v>
      </c>
      <c r="R724" s="26">
        <v>50000</v>
      </c>
      <c r="S724" s="91">
        <f t="shared" ref="S724:S726" si="632">IF(P724&gt;0,P724/$R724,0)</f>
        <v>12</v>
      </c>
      <c r="T724" s="91">
        <f t="shared" ref="T724:T726" si="633">IF(Q724&gt;0,Q724/$R724,0)</f>
        <v>13.24</v>
      </c>
      <c r="U724" s="27" t="s">
        <v>193</v>
      </c>
      <c r="V724" s="19" t="s">
        <v>51</v>
      </c>
      <c r="W724" s="20">
        <v>45864</v>
      </c>
      <c r="X724" s="22"/>
      <c r="Y724" s="19" t="s">
        <v>52</v>
      </c>
      <c r="Z724" s="19" t="s">
        <v>52</v>
      </c>
      <c r="AA724" s="19" t="s">
        <v>52</v>
      </c>
      <c r="AB724" s="42"/>
    </row>
    <row r="725" spans="1:33" s="29" customFormat="1" ht="15" customHeight="1" x14ac:dyDescent="0.25">
      <c r="A725" s="14">
        <v>9</v>
      </c>
      <c r="B725" s="15">
        <v>45880</v>
      </c>
      <c r="C725" s="15">
        <f t="shared" si="629"/>
        <v>45888</v>
      </c>
      <c r="D725" s="14">
        <v>13272</v>
      </c>
      <c r="E725" s="16" t="s">
        <v>105</v>
      </c>
      <c r="F725" s="17" t="s">
        <v>106</v>
      </c>
      <c r="G725" s="17" t="s">
        <v>102</v>
      </c>
      <c r="H725" s="18" t="s">
        <v>542</v>
      </c>
      <c r="I725" s="19" t="s">
        <v>49</v>
      </c>
      <c r="J725" s="20">
        <v>45854</v>
      </c>
      <c r="K725" s="20">
        <v>45884</v>
      </c>
      <c r="L725" s="21">
        <v>2000000</v>
      </c>
      <c r="M725" s="22">
        <f t="shared" ref="M725" si="634">SUM(N725:O725)</f>
        <v>950000</v>
      </c>
      <c r="N725" s="23">
        <v>150000</v>
      </c>
      <c r="O725" s="23">
        <v>800000</v>
      </c>
      <c r="P725" s="24">
        <f t="shared" si="631"/>
        <v>1850000</v>
      </c>
      <c r="Q725" s="25">
        <v>650000</v>
      </c>
      <c r="R725" s="26">
        <v>50000</v>
      </c>
      <c r="S725" s="91">
        <f t="shared" si="632"/>
        <v>37</v>
      </c>
      <c r="T725" s="91">
        <f t="shared" si="633"/>
        <v>13</v>
      </c>
      <c r="U725" s="27" t="s">
        <v>193</v>
      </c>
      <c r="V725" s="19" t="s">
        <v>51</v>
      </c>
      <c r="W725" s="20">
        <v>45870</v>
      </c>
      <c r="X725" s="22"/>
      <c r="Y725" s="19" t="s">
        <v>52</v>
      </c>
      <c r="Z725" s="19" t="s">
        <v>52</v>
      </c>
      <c r="AA725" s="19" t="s">
        <v>52</v>
      </c>
      <c r="AB725" s="28"/>
    </row>
    <row r="726" spans="1:33" s="29" customFormat="1" ht="15" customHeight="1" x14ac:dyDescent="0.25">
      <c r="A726" s="14">
        <v>2</v>
      </c>
      <c r="B726" s="15">
        <v>45880</v>
      </c>
      <c r="C726" s="15">
        <f t="shared" si="629"/>
        <v>45888</v>
      </c>
      <c r="D726" s="14">
        <v>13266</v>
      </c>
      <c r="E726" s="16" t="s">
        <v>702</v>
      </c>
      <c r="F726" s="17" t="s">
        <v>703</v>
      </c>
      <c r="G726" s="17" t="s">
        <v>47</v>
      </c>
      <c r="H726" s="18" t="s">
        <v>542</v>
      </c>
      <c r="I726" s="19" t="s">
        <v>104</v>
      </c>
      <c r="J726" s="20">
        <v>45853</v>
      </c>
      <c r="K726" s="20">
        <v>45882</v>
      </c>
      <c r="L726" s="21">
        <v>1200000</v>
      </c>
      <c r="M726" s="22">
        <f t="shared" ref="M726" si="635">SUM(N726:O726)</f>
        <v>1425000</v>
      </c>
      <c r="N726" s="23">
        <v>472500</v>
      </c>
      <c r="O726" s="23">
        <v>952500</v>
      </c>
      <c r="P726" s="24">
        <f t="shared" si="631"/>
        <v>727500</v>
      </c>
      <c r="Q726" s="25">
        <v>283500</v>
      </c>
      <c r="R726" s="26">
        <v>94500</v>
      </c>
      <c r="S726" s="91">
        <f t="shared" si="632"/>
        <v>7.6984126984126986</v>
      </c>
      <c r="T726" s="91">
        <f t="shared" si="633"/>
        <v>3</v>
      </c>
      <c r="U726" s="27" t="s">
        <v>193</v>
      </c>
      <c r="V726" s="19" t="s">
        <v>51</v>
      </c>
      <c r="W726" s="20">
        <v>45874</v>
      </c>
      <c r="X726" s="22"/>
      <c r="Y726" s="19" t="s">
        <v>52</v>
      </c>
      <c r="Z726" s="19" t="s">
        <v>52</v>
      </c>
      <c r="AA726" s="19" t="s">
        <v>52</v>
      </c>
      <c r="AB726" s="42"/>
    </row>
    <row r="727" spans="1:33" ht="15" customHeight="1" x14ac:dyDescent="0.25">
      <c r="A727" s="33" t="s">
        <v>71</v>
      </c>
      <c r="B727" s="34"/>
      <c r="C727" s="34"/>
      <c r="D727" s="34"/>
      <c r="E727" s="34"/>
      <c r="F727" s="35"/>
      <c r="G727" s="35"/>
      <c r="H727" s="34"/>
      <c r="I727" s="34"/>
      <c r="J727" s="34"/>
      <c r="K727" s="34"/>
      <c r="L727" s="36"/>
      <c r="M727" s="36"/>
      <c r="N727" s="36"/>
      <c r="O727" s="36"/>
      <c r="P727" s="36"/>
      <c r="Q727" s="36">
        <f>SUM(Q724:Q726)</f>
        <v>1595500</v>
      </c>
      <c r="R727" s="36"/>
      <c r="S727" s="92"/>
      <c r="T727" s="93">
        <f>SUM(T724:T726)</f>
        <v>29.240000000000002</v>
      </c>
      <c r="U727" s="37"/>
      <c r="V727" s="38"/>
      <c r="W727" s="38"/>
      <c r="X727" s="38"/>
      <c r="Y727" s="34"/>
      <c r="Z727" s="34"/>
      <c r="AA727" s="39"/>
      <c r="AB727" s="29" t="s">
        <v>766</v>
      </c>
      <c r="AC727" s="81" t="s">
        <v>779</v>
      </c>
      <c r="AD727" s="83">
        <v>5000</v>
      </c>
      <c r="AF727" s="83">
        <v>0</v>
      </c>
      <c r="AG727" s="83">
        <f>SUM(AD727,AF727)</f>
        <v>5000</v>
      </c>
    </row>
    <row r="728" spans="1:33" s="29" customFormat="1" ht="15" customHeight="1" x14ac:dyDescent="0.25">
      <c r="A728" s="14">
        <v>4</v>
      </c>
      <c r="B728" s="15">
        <v>45884</v>
      </c>
      <c r="C728" s="15">
        <f t="shared" ref="C728:C733" si="636">B728+8</f>
        <v>45892</v>
      </c>
      <c r="D728" s="14">
        <v>13160</v>
      </c>
      <c r="E728" s="16" t="s">
        <v>305</v>
      </c>
      <c r="F728" s="17" t="s">
        <v>306</v>
      </c>
      <c r="G728" s="17" t="s">
        <v>132</v>
      </c>
      <c r="H728" s="18" t="s">
        <v>54</v>
      </c>
      <c r="I728" s="19" t="s">
        <v>135</v>
      </c>
      <c r="J728" s="20">
        <v>45833</v>
      </c>
      <c r="K728" s="20">
        <v>45877</v>
      </c>
      <c r="L728" s="21">
        <v>25000</v>
      </c>
      <c r="M728" s="22">
        <f t="shared" ref="M728:M733" si="637">SUM(N728:O728)</f>
        <v>27340</v>
      </c>
      <c r="N728" s="23">
        <v>0</v>
      </c>
      <c r="O728" s="23">
        <v>27340</v>
      </c>
      <c r="P728" s="24">
        <f t="shared" ref="P728:P734" si="638">L728-N728</f>
        <v>25000</v>
      </c>
      <c r="Q728" s="25">
        <v>27340</v>
      </c>
      <c r="R728" s="26">
        <v>75078</v>
      </c>
      <c r="S728" s="91">
        <f t="shared" ref="S728:S735" si="639">IF(P728&gt;0,P728/$R728,0)</f>
        <v>0.33298702682543491</v>
      </c>
      <c r="T728" s="91">
        <f t="shared" ref="T728:T735" si="640">IF(Q728&gt;0,Q728/$R728,0)</f>
        <v>0.36415461253629561</v>
      </c>
      <c r="U728" s="27" t="s">
        <v>56</v>
      </c>
      <c r="V728" s="30" t="s">
        <v>59</v>
      </c>
      <c r="W728" s="31">
        <v>45882</v>
      </c>
      <c r="X728" s="22"/>
      <c r="Y728" s="19" t="s">
        <v>52</v>
      </c>
      <c r="Z728" s="19" t="s">
        <v>52</v>
      </c>
      <c r="AA728" s="19" t="s">
        <v>52</v>
      </c>
      <c r="AB728" s="28"/>
    </row>
    <row r="729" spans="1:33" s="29" customFormat="1" ht="15" customHeight="1" x14ac:dyDescent="0.25">
      <c r="A729" s="14">
        <v>5</v>
      </c>
      <c r="B729" s="15">
        <v>45884</v>
      </c>
      <c r="C729" s="15">
        <f t="shared" si="636"/>
        <v>45892</v>
      </c>
      <c r="D729" s="14">
        <v>13165</v>
      </c>
      <c r="E729" s="16" t="s">
        <v>222</v>
      </c>
      <c r="F729" s="17" t="s">
        <v>223</v>
      </c>
      <c r="G729" s="17" t="s">
        <v>132</v>
      </c>
      <c r="H729" s="18" t="s">
        <v>54</v>
      </c>
      <c r="I729" s="19" t="s">
        <v>135</v>
      </c>
      <c r="J729" s="20">
        <v>45833</v>
      </c>
      <c r="K729" s="20">
        <v>45877</v>
      </c>
      <c r="L729" s="21">
        <v>140000</v>
      </c>
      <c r="M729" s="22">
        <f t="shared" si="637"/>
        <v>159250</v>
      </c>
      <c r="N729" s="23">
        <v>57330</v>
      </c>
      <c r="O729" s="23">
        <v>101920</v>
      </c>
      <c r="P729" s="24">
        <f t="shared" si="638"/>
        <v>82670</v>
      </c>
      <c r="Q729" s="25">
        <v>101920</v>
      </c>
      <c r="R729" s="26">
        <v>57330</v>
      </c>
      <c r="S729" s="91">
        <f t="shared" si="639"/>
        <v>1.442002442002442</v>
      </c>
      <c r="T729" s="91">
        <f t="shared" si="640"/>
        <v>1.7777777777777777</v>
      </c>
      <c r="U729" s="27" t="s">
        <v>56</v>
      </c>
      <c r="V729" s="19" t="s">
        <v>51</v>
      </c>
      <c r="W729" s="20">
        <v>45868</v>
      </c>
      <c r="X729" s="22"/>
      <c r="Y729" s="19" t="s">
        <v>52</v>
      </c>
      <c r="Z729" s="19" t="s">
        <v>52</v>
      </c>
      <c r="AA729" s="19" t="s">
        <v>52</v>
      </c>
      <c r="AB729" s="28"/>
    </row>
    <row r="730" spans="1:33" s="29" customFormat="1" ht="15" customHeight="1" x14ac:dyDescent="0.25">
      <c r="A730" s="14">
        <v>1</v>
      </c>
      <c r="B730" s="15">
        <v>45884</v>
      </c>
      <c r="C730" s="15">
        <f t="shared" si="636"/>
        <v>45892</v>
      </c>
      <c r="D730" s="14">
        <v>13285</v>
      </c>
      <c r="E730" s="16" t="s">
        <v>375</v>
      </c>
      <c r="F730" s="40" t="s">
        <v>370</v>
      </c>
      <c r="G730" s="17" t="s">
        <v>75</v>
      </c>
      <c r="H730" s="18" t="s">
        <v>406</v>
      </c>
      <c r="I730" s="19" t="s">
        <v>79</v>
      </c>
      <c r="J730" s="20">
        <v>45854</v>
      </c>
      <c r="K730" s="20">
        <v>45859</v>
      </c>
      <c r="L730" s="21">
        <v>500000</v>
      </c>
      <c r="M730" s="22">
        <f t="shared" si="637"/>
        <v>635000</v>
      </c>
      <c r="N730" s="23">
        <v>330000</v>
      </c>
      <c r="O730" s="23">
        <v>305000</v>
      </c>
      <c r="P730" s="24">
        <f t="shared" si="638"/>
        <v>170000</v>
      </c>
      <c r="Q730" s="25">
        <v>225000</v>
      </c>
      <c r="R730" s="26">
        <v>210000</v>
      </c>
      <c r="S730" s="91">
        <f t="shared" si="639"/>
        <v>0.80952380952380953</v>
      </c>
      <c r="T730" s="91">
        <f t="shared" si="640"/>
        <v>1.0714285714285714</v>
      </c>
      <c r="U730" s="27" t="s">
        <v>56</v>
      </c>
      <c r="V730" s="19" t="s">
        <v>51</v>
      </c>
      <c r="W730" s="20">
        <v>45859</v>
      </c>
      <c r="X730" s="22"/>
      <c r="Y730" s="19" t="s">
        <v>52</v>
      </c>
      <c r="Z730" s="19" t="s">
        <v>52</v>
      </c>
      <c r="AA730" s="19" t="s">
        <v>52</v>
      </c>
      <c r="AB730" s="28"/>
    </row>
    <row r="731" spans="1:33" s="29" customFormat="1" ht="15" customHeight="1" x14ac:dyDescent="0.25">
      <c r="A731" s="14">
        <v>8</v>
      </c>
      <c r="B731" s="15">
        <v>45884</v>
      </c>
      <c r="C731" s="15">
        <f t="shared" si="636"/>
        <v>45892</v>
      </c>
      <c r="D731" s="14">
        <v>13283</v>
      </c>
      <c r="E731" s="16" t="s">
        <v>329</v>
      </c>
      <c r="F731" s="17" t="s">
        <v>330</v>
      </c>
      <c r="G731" s="17" t="s">
        <v>132</v>
      </c>
      <c r="H731" s="18" t="s">
        <v>54</v>
      </c>
      <c r="I731" s="19" t="s">
        <v>135</v>
      </c>
      <c r="J731" s="20">
        <v>45859</v>
      </c>
      <c r="K731" s="20">
        <v>45904</v>
      </c>
      <c r="L731" s="21">
        <v>25000</v>
      </c>
      <c r="M731" s="22">
        <f t="shared" si="637"/>
        <v>28280</v>
      </c>
      <c r="N731" s="23">
        <v>0</v>
      </c>
      <c r="O731" s="23">
        <v>28280</v>
      </c>
      <c r="P731" s="24">
        <f t="shared" si="638"/>
        <v>25000</v>
      </c>
      <c r="Q731" s="25">
        <v>28280</v>
      </c>
      <c r="R731" s="26">
        <v>75078</v>
      </c>
      <c r="S731" s="91">
        <f t="shared" si="639"/>
        <v>0.33298702682543491</v>
      </c>
      <c r="T731" s="91">
        <f t="shared" si="640"/>
        <v>0.37667492474493192</v>
      </c>
      <c r="U731" s="27" t="s">
        <v>56</v>
      </c>
      <c r="V731" s="30" t="s">
        <v>59</v>
      </c>
      <c r="W731" s="31">
        <v>45884</v>
      </c>
      <c r="X731" s="22"/>
      <c r="Y731" s="19" t="s">
        <v>52</v>
      </c>
      <c r="Z731" s="19" t="s">
        <v>52</v>
      </c>
      <c r="AA731" s="19" t="s">
        <v>52</v>
      </c>
      <c r="AB731" s="28"/>
    </row>
    <row r="732" spans="1:33" s="29" customFormat="1" ht="15" customHeight="1" x14ac:dyDescent="0.25">
      <c r="A732" s="14">
        <v>12</v>
      </c>
      <c r="B732" s="15">
        <v>45884</v>
      </c>
      <c r="C732" s="15">
        <f t="shared" si="636"/>
        <v>45892</v>
      </c>
      <c r="D732" s="14">
        <v>13281</v>
      </c>
      <c r="E732" s="16" t="s">
        <v>240</v>
      </c>
      <c r="F732" s="17" t="s">
        <v>241</v>
      </c>
      <c r="G732" s="17" t="s">
        <v>132</v>
      </c>
      <c r="H732" s="18" t="s">
        <v>54</v>
      </c>
      <c r="I732" s="19" t="s">
        <v>135</v>
      </c>
      <c r="J732" s="20">
        <v>45859</v>
      </c>
      <c r="K732" s="20">
        <v>45904</v>
      </c>
      <c r="L732" s="21">
        <v>475000</v>
      </c>
      <c r="M732" s="22">
        <f t="shared" si="637"/>
        <v>457550</v>
      </c>
      <c r="N732" s="23">
        <v>0</v>
      </c>
      <c r="O732" s="23">
        <v>457550</v>
      </c>
      <c r="P732" s="24">
        <f t="shared" si="638"/>
        <v>475000</v>
      </c>
      <c r="Q732" s="25">
        <v>457550</v>
      </c>
      <c r="R732" s="26">
        <v>175500</v>
      </c>
      <c r="S732" s="91">
        <f t="shared" si="639"/>
        <v>2.7065527065527064</v>
      </c>
      <c r="T732" s="91">
        <f t="shared" si="640"/>
        <v>2.607122507122507</v>
      </c>
      <c r="U732" s="27" t="s">
        <v>56</v>
      </c>
      <c r="V732" s="30" t="s">
        <v>59</v>
      </c>
      <c r="W732" s="31">
        <v>45884</v>
      </c>
      <c r="X732" s="22"/>
      <c r="Y732" s="19" t="s">
        <v>52</v>
      </c>
      <c r="Z732" s="19" t="s">
        <v>52</v>
      </c>
      <c r="AA732" s="19" t="s">
        <v>52</v>
      </c>
      <c r="AB732" s="28"/>
    </row>
    <row r="733" spans="1:33" s="29" customFormat="1" ht="15" customHeight="1" x14ac:dyDescent="0.25">
      <c r="A733" s="14">
        <v>9</v>
      </c>
      <c r="B733" s="15">
        <v>45884</v>
      </c>
      <c r="C733" s="15">
        <f t="shared" si="636"/>
        <v>45892</v>
      </c>
      <c r="D733" s="14">
        <v>13292</v>
      </c>
      <c r="E733" s="16" t="s">
        <v>139</v>
      </c>
      <c r="F733" s="17" t="s">
        <v>140</v>
      </c>
      <c r="G733" s="17" t="s">
        <v>132</v>
      </c>
      <c r="H733" s="18" t="s">
        <v>54</v>
      </c>
      <c r="I733" s="19" t="s">
        <v>135</v>
      </c>
      <c r="J733" s="20">
        <v>45859</v>
      </c>
      <c r="K733" s="20">
        <v>45904</v>
      </c>
      <c r="L733" s="21">
        <v>530000</v>
      </c>
      <c r="M733" s="22">
        <f t="shared" si="637"/>
        <v>633100</v>
      </c>
      <c r="N733" s="23">
        <v>0</v>
      </c>
      <c r="O733" s="23">
        <v>633100</v>
      </c>
      <c r="P733" s="24">
        <f t="shared" si="638"/>
        <v>530000</v>
      </c>
      <c r="Q733" s="25">
        <v>633180</v>
      </c>
      <c r="R733" s="26">
        <v>175500</v>
      </c>
      <c r="S733" s="91">
        <f t="shared" si="639"/>
        <v>3.0199430199430197</v>
      </c>
      <c r="T733" s="91">
        <f t="shared" si="640"/>
        <v>3.6078632478632477</v>
      </c>
      <c r="U733" s="27" t="s">
        <v>56</v>
      </c>
      <c r="V733" s="30" t="s">
        <v>59</v>
      </c>
      <c r="W733" s="31">
        <v>45884</v>
      </c>
      <c r="X733" s="22"/>
      <c r="Y733" s="19" t="s">
        <v>52</v>
      </c>
      <c r="Z733" s="19" t="s">
        <v>52</v>
      </c>
      <c r="AA733" s="19" t="s">
        <v>52</v>
      </c>
      <c r="AB733" s="28"/>
    </row>
    <row r="734" spans="1:33" s="29" customFormat="1" ht="15" customHeight="1" x14ac:dyDescent="0.25">
      <c r="A734" s="14">
        <v>7</v>
      </c>
      <c r="B734" s="15">
        <v>45884</v>
      </c>
      <c r="C734" s="15">
        <f t="shared" ref="C734" si="641">B734+8</f>
        <v>45892</v>
      </c>
      <c r="D734" s="14">
        <v>13282</v>
      </c>
      <c r="E734" s="16" t="s">
        <v>331</v>
      </c>
      <c r="F734" s="17" t="s">
        <v>332</v>
      </c>
      <c r="G734" s="17" t="s">
        <v>132</v>
      </c>
      <c r="H734" s="18" t="s">
        <v>54</v>
      </c>
      <c r="I734" s="19" t="s">
        <v>135</v>
      </c>
      <c r="J734" s="20">
        <v>45859</v>
      </c>
      <c r="K734" s="20">
        <v>45904</v>
      </c>
      <c r="L734" s="21">
        <v>25000</v>
      </c>
      <c r="M734" s="22">
        <f t="shared" ref="M734" si="642">SUM(N734:O734)</f>
        <v>22770</v>
      </c>
      <c r="N734" s="23">
        <v>0</v>
      </c>
      <c r="O734" s="23">
        <v>22770</v>
      </c>
      <c r="P734" s="24">
        <f t="shared" si="638"/>
        <v>25000</v>
      </c>
      <c r="Q734" s="25">
        <v>22770</v>
      </c>
      <c r="R734" s="26">
        <v>75078</v>
      </c>
      <c r="S734" s="91">
        <f t="shared" si="639"/>
        <v>0.33298702682543491</v>
      </c>
      <c r="T734" s="91">
        <f t="shared" si="640"/>
        <v>0.30328458403260611</v>
      </c>
      <c r="U734" s="27" t="s">
        <v>56</v>
      </c>
      <c r="V734" s="30" t="s">
        <v>59</v>
      </c>
      <c r="W734" s="31">
        <v>45884</v>
      </c>
      <c r="X734" s="22"/>
      <c r="Y734" s="19" t="s">
        <v>52</v>
      </c>
      <c r="Z734" s="19" t="s">
        <v>52</v>
      </c>
      <c r="AA734" s="19" t="s">
        <v>52</v>
      </c>
      <c r="AB734" s="28"/>
    </row>
    <row r="735" spans="1:33" s="29" customFormat="1" ht="15" customHeight="1" x14ac:dyDescent="0.25">
      <c r="A735" s="14">
        <v>4</v>
      </c>
      <c r="B735" s="15">
        <v>45884</v>
      </c>
      <c r="C735" s="15">
        <f t="shared" ref="C735" si="643">B735+8</f>
        <v>45892</v>
      </c>
      <c r="D735" s="14">
        <v>13306</v>
      </c>
      <c r="E735" s="16" t="s">
        <v>660</v>
      </c>
      <c r="F735" s="17" t="s">
        <v>629</v>
      </c>
      <c r="G735" s="17" t="s">
        <v>47</v>
      </c>
      <c r="H735" s="18" t="s">
        <v>54</v>
      </c>
      <c r="I735" s="19" t="s">
        <v>55</v>
      </c>
      <c r="J735" s="20">
        <v>45861</v>
      </c>
      <c r="K735" s="20">
        <v>45901</v>
      </c>
      <c r="L735" s="21">
        <v>300000</v>
      </c>
      <c r="M735" s="22">
        <f t="shared" ref="M735" si="644">SUM(N735:O735)</f>
        <v>350000</v>
      </c>
      <c r="N735" s="23">
        <v>0</v>
      </c>
      <c r="O735" s="23">
        <v>350000</v>
      </c>
      <c r="P735" s="24">
        <f t="shared" ref="P735" si="645">L735-N735</f>
        <v>300000</v>
      </c>
      <c r="Q735" s="25">
        <v>350000</v>
      </c>
      <c r="R735" s="26">
        <v>50000</v>
      </c>
      <c r="S735" s="91">
        <f t="shared" si="639"/>
        <v>6</v>
      </c>
      <c r="T735" s="91">
        <f t="shared" si="640"/>
        <v>7</v>
      </c>
      <c r="U735" s="27" t="s">
        <v>56</v>
      </c>
      <c r="V735" s="30" t="s">
        <v>59</v>
      </c>
      <c r="W735" s="31">
        <v>45884</v>
      </c>
      <c r="X735" s="22"/>
      <c r="Y735" s="19" t="s">
        <v>52</v>
      </c>
      <c r="Z735" s="19" t="s">
        <v>52</v>
      </c>
      <c r="AA735" s="19" t="s">
        <v>52</v>
      </c>
      <c r="AB735" s="42"/>
    </row>
    <row r="736" spans="1:33" ht="15" customHeight="1" x14ac:dyDescent="0.25">
      <c r="A736" s="33" t="s">
        <v>71</v>
      </c>
      <c r="B736" s="34"/>
      <c r="C736" s="34"/>
      <c r="D736" s="34"/>
      <c r="E736" s="34"/>
      <c r="F736" s="35"/>
      <c r="G736" s="35"/>
      <c r="H736" s="34"/>
      <c r="I736" s="34"/>
      <c r="J736" s="34"/>
      <c r="K736" s="34"/>
      <c r="L736" s="36"/>
      <c r="M736" s="36"/>
      <c r="N736" s="36"/>
      <c r="O736" s="36"/>
      <c r="P736" s="36"/>
      <c r="Q736" s="36">
        <f>SUM(Q728:Q735)</f>
        <v>1846040</v>
      </c>
      <c r="R736" s="36"/>
      <c r="S736" s="92"/>
      <c r="T736" s="93">
        <f>SUM(T728:T735)</f>
        <v>17.108306225505938</v>
      </c>
      <c r="U736" s="37"/>
      <c r="V736" s="38"/>
      <c r="W736" s="38"/>
      <c r="X736" s="38"/>
      <c r="Y736" s="34"/>
      <c r="Z736" s="34"/>
      <c r="AA736" s="39"/>
      <c r="AB736" s="29" t="s">
        <v>772</v>
      </c>
      <c r="AC736" s="81" t="s">
        <v>783</v>
      </c>
      <c r="AD736" s="83">
        <v>4375</v>
      </c>
      <c r="AF736" s="83">
        <v>0</v>
      </c>
      <c r="AG736" s="83">
        <f>SUM(AD736,AF736)</f>
        <v>4375</v>
      </c>
    </row>
    <row r="737" spans="1:33" s="29" customFormat="1" ht="15" customHeight="1" x14ac:dyDescent="0.25">
      <c r="A737" s="14">
        <v>7</v>
      </c>
      <c r="B737" s="15">
        <v>45884</v>
      </c>
      <c r="C737" s="15">
        <f t="shared" ref="C737" si="646">B737+8</f>
        <v>45892</v>
      </c>
      <c r="D737" s="14">
        <v>13272</v>
      </c>
      <c r="E737" s="16" t="s">
        <v>105</v>
      </c>
      <c r="F737" s="17" t="s">
        <v>106</v>
      </c>
      <c r="G737" s="17" t="s">
        <v>102</v>
      </c>
      <c r="H737" s="18" t="s">
        <v>542</v>
      </c>
      <c r="I737" s="19" t="s">
        <v>49</v>
      </c>
      <c r="J737" s="20">
        <v>45854</v>
      </c>
      <c r="K737" s="20">
        <v>45884</v>
      </c>
      <c r="L737" s="21">
        <v>2000000</v>
      </c>
      <c r="M737" s="22">
        <f t="shared" ref="M737" si="647">SUM(N737:O737)</f>
        <v>1350000</v>
      </c>
      <c r="N737" s="23">
        <v>800000</v>
      </c>
      <c r="O737" s="23">
        <v>550000</v>
      </c>
      <c r="P737" s="24">
        <f t="shared" ref="P737" si="648">L737-N737</f>
        <v>1200000</v>
      </c>
      <c r="Q737" s="25">
        <v>550000</v>
      </c>
      <c r="R737" s="26">
        <v>50000</v>
      </c>
      <c r="S737" s="91">
        <f t="shared" ref="S737:S741" si="649">IF(P737&gt;0,P737/$R737,0)</f>
        <v>24</v>
      </c>
      <c r="T737" s="91">
        <f t="shared" ref="T737:T741" si="650">IF(Q737&gt;0,Q737/$R737,0)</f>
        <v>11</v>
      </c>
      <c r="U737" s="27" t="s">
        <v>192</v>
      </c>
      <c r="V737" s="19" t="s">
        <v>51</v>
      </c>
      <c r="W737" s="20">
        <v>45870</v>
      </c>
      <c r="X737" s="22"/>
      <c r="Y737" s="19" t="s">
        <v>52</v>
      </c>
      <c r="Z737" s="19" t="s">
        <v>52</v>
      </c>
      <c r="AA737" s="19" t="s">
        <v>52</v>
      </c>
      <c r="AB737" s="28"/>
    </row>
    <row r="738" spans="1:33" s="29" customFormat="1" ht="15" customHeight="1" x14ac:dyDescent="0.25">
      <c r="A738" s="14">
        <v>1</v>
      </c>
      <c r="B738" s="15">
        <v>45884</v>
      </c>
      <c r="C738" s="15">
        <f>B738+8</f>
        <v>45892</v>
      </c>
      <c r="D738" s="14">
        <v>13175</v>
      </c>
      <c r="E738" s="16" t="s">
        <v>760</v>
      </c>
      <c r="F738" s="17" t="s">
        <v>286</v>
      </c>
      <c r="G738" s="17" t="s">
        <v>102</v>
      </c>
      <c r="H738" s="18" t="s">
        <v>57</v>
      </c>
      <c r="I738" s="19" t="s">
        <v>94</v>
      </c>
      <c r="J738" s="20">
        <v>45833</v>
      </c>
      <c r="K738" s="20">
        <v>45861</v>
      </c>
      <c r="L738" s="21">
        <v>150000</v>
      </c>
      <c r="M738" s="22">
        <f>SUM(N738:O738)</f>
        <v>157000</v>
      </c>
      <c r="N738" s="23">
        <v>70000</v>
      </c>
      <c r="O738" s="23">
        <v>87000</v>
      </c>
      <c r="P738" s="24">
        <f>L738-N738</f>
        <v>80000</v>
      </c>
      <c r="Q738" s="25">
        <v>35000</v>
      </c>
      <c r="R738" s="26">
        <v>30000</v>
      </c>
      <c r="S738" s="91">
        <f t="shared" si="649"/>
        <v>2.6666666666666665</v>
      </c>
      <c r="T738" s="91">
        <f t="shared" si="650"/>
        <v>1.1666666666666667</v>
      </c>
      <c r="U738" s="27" t="s">
        <v>56</v>
      </c>
      <c r="V738" s="19" t="s">
        <v>51</v>
      </c>
      <c r="W738" s="20">
        <v>45868</v>
      </c>
      <c r="X738" s="22"/>
      <c r="Y738" s="19" t="s">
        <v>52</v>
      </c>
      <c r="Z738" s="19" t="s">
        <v>52</v>
      </c>
      <c r="AA738" s="19" t="s">
        <v>52</v>
      </c>
      <c r="AB738" s="28"/>
    </row>
    <row r="739" spans="1:33" s="29" customFormat="1" ht="15" customHeight="1" x14ac:dyDescent="0.25">
      <c r="A739" s="14">
        <v>3</v>
      </c>
      <c r="B739" s="15">
        <v>45884</v>
      </c>
      <c r="C739" s="15">
        <f>B739+8</f>
        <v>45892</v>
      </c>
      <c r="D739" s="14">
        <v>13228</v>
      </c>
      <c r="E739" s="16" t="s">
        <v>287</v>
      </c>
      <c r="F739" s="17" t="s">
        <v>288</v>
      </c>
      <c r="G739" s="17" t="s">
        <v>102</v>
      </c>
      <c r="H739" s="18" t="s">
        <v>62</v>
      </c>
      <c r="I739" s="19" t="s">
        <v>63</v>
      </c>
      <c r="J739" s="20">
        <v>45847</v>
      </c>
      <c r="K739" s="20">
        <v>45875</v>
      </c>
      <c r="L739" s="21">
        <v>1000000</v>
      </c>
      <c r="M739" s="22">
        <f>SUM(N739:O739)</f>
        <v>970000</v>
      </c>
      <c r="N739" s="23">
        <v>924000</v>
      </c>
      <c r="O739" s="23">
        <v>46000</v>
      </c>
      <c r="P739" s="24">
        <f>L739-N739</f>
        <v>76000</v>
      </c>
      <c r="Q739" s="25">
        <v>46000</v>
      </c>
      <c r="R739" s="26">
        <v>84000</v>
      </c>
      <c r="S739" s="91">
        <f t="shared" si="649"/>
        <v>0.90476190476190477</v>
      </c>
      <c r="T739" s="91">
        <f t="shared" si="650"/>
        <v>0.54761904761904767</v>
      </c>
      <c r="U739" s="27" t="s">
        <v>193</v>
      </c>
      <c r="V739" s="19" t="s">
        <v>51</v>
      </c>
      <c r="W739" s="20">
        <v>45862</v>
      </c>
      <c r="X739" s="22"/>
      <c r="Y739" s="19" t="s">
        <v>52</v>
      </c>
      <c r="Z739" s="19" t="s">
        <v>52</v>
      </c>
      <c r="AA739" s="19" t="s">
        <v>52</v>
      </c>
      <c r="AB739" s="28"/>
    </row>
    <row r="740" spans="1:33" s="29" customFormat="1" ht="15" customHeight="1" x14ac:dyDescent="0.25">
      <c r="A740" s="14">
        <v>3</v>
      </c>
      <c r="B740" s="15">
        <v>45884</v>
      </c>
      <c r="C740" s="15">
        <f>B740+8</f>
        <v>45892</v>
      </c>
      <c r="D740" s="14">
        <v>13287</v>
      </c>
      <c r="E740" s="16" t="s">
        <v>728</v>
      </c>
      <c r="F740" s="17" t="s">
        <v>469</v>
      </c>
      <c r="G740" s="17" t="s">
        <v>47</v>
      </c>
      <c r="H740" s="18" t="s">
        <v>57</v>
      </c>
      <c r="I740" s="19" t="s">
        <v>58</v>
      </c>
      <c r="J740" s="20">
        <v>45855</v>
      </c>
      <c r="K740" s="20">
        <v>45883</v>
      </c>
      <c r="L740" s="21">
        <v>2000000</v>
      </c>
      <c r="M740" s="22">
        <f>SUM(N740:O740)</f>
        <v>1440000</v>
      </c>
      <c r="N740" s="23">
        <v>1100000</v>
      </c>
      <c r="O740" s="23">
        <v>340000</v>
      </c>
      <c r="P740" s="24">
        <f>L740-N740</f>
        <v>900000</v>
      </c>
      <c r="Q740" s="25">
        <v>340000</v>
      </c>
      <c r="R740" s="26">
        <v>96000</v>
      </c>
      <c r="S740" s="91">
        <f t="shared" si="649"/>
        <v>9.375</v>
      </c>
      <c r="T740" s="91">
        <f t="shared" si="650"/>
        <v>3.5416666666666665</v>
      </c>
      <c r="U740" s="27" t="s">
        <v>50</v>
      </c>
      <c r="V740" s="19" t="s">
        <v>51</v>
      </c>
      <c r="W740" s="20">
        <v>45874</v>
      </c>
      <c r="X740" s="22"/>
      <c r="Y740" s="19" t="s">
        <v>52</v>
      </c>
      <c r="Z740" s="19" t="s">
        <v>52</v>
      </c>
      <c r="AA740" s="19" t="s">
        <v>52</v>
      </c>
      <c r="AB740" s="42"/>
    </row>
    <row r="741" spans="1:33" s="29" customFormat="1" ht="15" customHeight="1" x14ac:dyDescent="0.25">
      <c r="A741" s="14">
        <v>2</v>
      </c>
      <c r="B741" s="15">
        <v>45884</v>
      </c>
      <c r="C741" s="15">
        <f t="shared" ref="C741" si="651">B741+8</f>
        <v>45892</v>
      </c>
      <c r="D741" s="14">
        <v>13266</v>
      </c>
      <c r="E741" s="16" t="s">
        <v>702</v>
      </c>
      <c r="F741" s="17" t="s">
        <v>703</v>
      </c>
      <c r="G741" s="17" t="s">
        <v>47</v>
      </c>
      <c r="H741" s="18" t="s">
        <v>542</v>
      </c>
      <c r="I741" s="19" t="s">
        <v>104</v>
      </c>
      <c r="J741" s="20">
        <v>45853</v>
      </c>
      <c r="K741" s="20">
        <v>45882</v>
      </c>
      <c r="L741" s="21">
        <v>1200000</v>
      </c>
      <c r="M741" s="22">
        <f t="shared" ref="M741" si="652">SUM(N741:O741)</f>
        <v>1425000</v>
      </c>
      <c r="N741" s="23">
        <v>472500</v>
      </c>
      <c r="O741" s="23">
        <v>952500</v>
      </c>
      <c r="P741" s="24">
        <f t="shared" ref="P741" si="653">L741-N741</f>
        <v>727500</v>
      </c>
      <c r="Q741" s="25">
        <v>952500</v>
      </c>
      <c r="R741" s="26">
        <v>94500</v>
      </c>
      <c r="S741" s="91">
        <f t="shared" si="649"/>
        <v>7.6984126984126986</v>
      </c>
      <c r="T741" s="91">
        <f t="shared" si="650"/>
        <v>10.079365079365079</v>
      </c>
      <c r="U741" s="27" t="s">
        <v>193</v>
      </c>
      <c r="V741" s="19" t="s">
        <v>51</v>
      </c>
      <c r="W741" s="20">
        <v>45874</v>
      </c>
      <c r="X741" s="22"/>
      <c r="Y741" s="19" t="s">
        <v>52</v>
      </c>
      <c r="Z741" s="19" t="s">
        <v>52</v>
      </c>
      <c r="AA741" s="19" t="s">
        <v>52</v>
      </c>
      <c r="AB741" s="42"/>
    </row>
    <row r="742" spans="1:33" ht="15" customHeight="1" x14ac:dyDescent="0.25">
      <c r="A742" s="33" t="s">
        <v>71</v>
      </c>
      <c r="B742" s="34"/>
      <c r="C742" s="34"/>
      <c r="D742" s="34"/>
      <c r="E742" s="34"/>
      <c r="F742" s="35"/>
      <c r="G742" s="35"/>
      <c r="H742" s="34"/>
      <c r="I742" s="34"/>
      <c r="J742" s="34"/>
      <c r="K742" s="34"/>
      <c r="L742" s="36"/>
      <c r="M742" s="36"/>
      <c r="N742" s="36"/>
      <c r="O742" s="36"/>
      <c r="P742" s="36"/>
      <c r="Q742" s="36">
        <f>SUM(Q737:Q741)</f>
        <v>1923500</v>
      </c>
      <c r="R742" s="36"/>
      <c r="S742" s="92"/>
      <c r="T742" s="93">
        <f>SUM(T737:T741)</f>
        <v>26.335317460317459</v>
      </c>
      <c r="U742" s="37"/>
      <c r="V742" s="38"/>
      <c r="W742" s="38"/>
      <c r="X742" s="38"/>
      <c r="Y742" s="34"/>
      <c r="Z742" s="34"/>
      <c r="AA742" s="39"/>
      <c r="AB742" s="29" t="s">
        <v>773</v>
      </c>
      <c r="AC742" s="81" t="s">
        <v>780</v>
      </c>
      <c r="AD742" s="83">
        <v>5000</v>
      </c>
      <c r="AF742" s="83">
        <v>0</v>
      </c>
      <c r="AG742" s="83">
        <f>SUM(AD742,AF742)</f>
        <v>5000</v>
      </c>
    </row>
    <row r="743" spans="1:33" s="29" customFormat="1" ht="15" customHeight="1" x14ac:dyDescent="0.25">
      <c r="A743" s="14">
        <v>7</v>
      </c>
      <c r="B743" s="15">
        <v>45889</v>
      </c>
      <c r="C743" s="15">
        <f>B743+8</f>
        <v>45897</v>
      </c>
      <c r="D743" s="14">
        <v>13272</v>
      </c>
      <c r="E743" s="16" t="s">
        <v>105</v>
      </c>
      <c r="F743" s="17" t="s">
        <v>106</v>
      </c>
      <c r="G743" s="17" t="s">
        <v>102</v>
      </c>
      <c r="H743" s="18" t="s">
        <v>542</v>
      </c>
      <c r="I743" s="19" t="s">
        <v>49</v>
      </c>
      <c r="J743" s="20">
        <v>45854</v>
      </c>
      <c r="K743" s="20">
        <v>45884</v>
      </c>
      <c r="L743" s="21">
        <v>2000000</v>
      </c>
      <c r="M743" s="22">
        <f t="shared" ref="M743:M748" si="654">SUM(N743:O743)</f>
        <v>1900000</v>
      </c>
      <c r="N743" s="23">
        <v>1350000</v>
      </c>
      <c r="O743" s="23">
        <v>550000</v>
      </c>
      <c r="P743" s="24">
        <f>L743-N743</f>
        <v>650000</v>
      </c>
      <c r="Q743" s="25">
        <v>550000</v>
      </c>
      <c r="R743" s="26">
        <v>50000</v>
      </c>
      <c r="S743" s="91">
        <f t="shared" ref="S743:S748" si="655">IF(P743&gt;0,P743/$R743,0)</f>
        <v>13</v>
      </c>
      <c r="T743" s="91">
        <f t="shared" ref="T743:T748" si="656">IF(Q743&gt;0,Q743/$R743,0)</f>
        <v>11</v>
      </c>
      <c r="U743" s="27" t="s">
        <v>192</v>
      </c>
      <c r="V743" s="19" t="s">
        <v>51</v>
      </c>
      <c r="W743" s="20">
        <v>45870</v>
      </c>
      <c r="X743" s="22"/>
      <c r="Y743" s="19" t="s">
        <v>52</v>
      </c>
      <c r="Z743" s="19" t="s">
        <v>52</v>
      </c>
      <c r="AA743" s="19" t="s">
        <v>52</v>
      </c>
      <c r="AB743" s="28"/>
    </row>
    <row r="744" spans="1:33" s="29" customFormat="1" ht="15" customHeight="1" x14ac:dyDescent="0.25">
      <c r="A744" s="14">
        <v>9</v>
      </c>
      <c r="B744" s="15">
        <v>45889</v>
      </c>
      <c r="C744" s="15">
        <f t="shared" ref="C744" si="657">B744+8</f>
        <v>45897</v>
      </c>
      <c r="D744" s="14">
        <v>13360</v>
      </c>
      <c r="E744" s="16" t="s">
        <v>244</v>
      </c>
      <c r="F744" s="17" t="s">
        <v>243</v>
      </c>
      <c r="G744" s="17" t="s">
        <v>102</v>
      </c>
      <c r="H744" s="18" t="s">
        <v>542</v>
      </c>
      <c r="I744" s="19" t="s">
        <v>63</v>
      </c>
      <c r="J744" s="20">
        <v>45873</v>
      </c>
      <c r="K744" s="20">
        <v>45898</v>
      </c>
      <c r="L744" s="21">
        <v>700000</v>
      </c>
      <c r="M744" s="22">
        <f t="shared" si="654"/>
        <v>420000</v>
      </c>
      <c r="N744" s="23">
        <v>0</v>
      </c>
      <c r="O744" s="23">
        <v>420000</v>
      </c>
      <c r="P744" s="24">
        <f t="shared" ref="P744" si="658">L744-N744</f>
        <v>700000</v>
      </c>
      <c r="Q744" s="25">
        <v>168000</v>
      </c>
      <c r="R744" s="26">
        <v>84000</v>
      </c>
      <c r="S744" s="91">
        <f t="shared" si="655"/>
        <v>8.3333333333333339</v>
      </c>
      <c r="T744" s="91">
        <f t="shared" si="656"/>
        <v>2</v>
      </c>
      <c r="U744" s="27" t="s">
        <v>192</v>
      </c>
      <c r="V744" s="30" t="s">
        <v>59</v>
      </c>
      <c r="W744" s="31">
        <v>45887</v>
      </c>
      <c r="X744" s="22"/>
      <c r="Y744" s="19" t="s">
        <v>52</v>
      </c>
      <c r="Z744" s="19" t="s">
        <v>52</v>
      </c>
      <c r="AA744" s="19" t="s">
        <v>52</v>
      </c>
      <c r="AB744" s="28"/>
    </row>
    <row r="745" spans="1:33" s="29" customFormat="1" ht="15" customHeight="1" x14ac:dyDescent="0.25">
      <c r="A745" s="14">
        <v>9</v>
      </c>
      <c r="B745" s="15">
        <v>45889</v>
      </c>
      <c r="C745" s="15">
        <f>B745+8</f>
        <v>45897</v>
      </c>
      <c r="D745" s="14">
        <v>13381</v>
      </c>
      <c r="E745" s="16" t="s">
        <v>378</v>
      </c>
      <c r="F745" s="40" t="s">
        <v>379</v>
      </c>
      <c r="G745" s="17" t="s">
        <v>75</v>
      </c>
      <c r="H745" s="18" t="s">
        <v>78</v>
      </c>
      <c r="I745" s="19" t="s">
        <v>79</v>
      </c>
      <c r="J745" s="20">
        <v>45876</v>
      </c>
      <c r="K745" s="20">
        <v>45924</v>
      </c>
      <c r="L745" s="21">
        <v>180000</v>
      </c>
      <c r="M745" s="22">
        <f t="shared" si="654"/>
        <v>150000</v>
      </c>
      <c r="N745" s="23">
        <v>0</v>
      </c>
      <c r="O745" s="23">
        <v>150000</v>
      </c>
      <c r="P745" s="24">
        <f>L745-N745</f>
        <v>180000</v>
      </c>
      <c r="Q745" s="25">
        <v>150000</v>
      </c>
      <c r="R745" s="26">
        <v>84000</v>
      </c>
      <c r="S745" s="91">
        <f t="shared" si="655"/>
        <v>2.1428571428571428</v>
      </c>
      <c r="T745" s="91">
        <f t="shared" si="656"/>
        <v>1.7857142857142858</v>
      </c>
      <c r="U745" s="27" t="s">
        <v>56</v>
      </c>
      <c r="V745" s="30" t="s">
        <v>59</v>
      </c>
      <c r="W745" s="31">
        <v>45897</v>
      </c>
      <c r="X745" s="22"/>
      <c r="Y745" s="19" t="s">
        <v>52</v>
      </c>
      <c r="Z745" s="19" t="s">
        <v>52</v>
      </c>
      <c r="AA745" s="19" t="s">
        <v>52</v>
      </c>
      <c r="AB745" s="28"/>
    </row>
    <row r="746" spans="1:33" s="29" customFormat="1" ht="15" customHeight="1" x14ac:dyDescent="0.25">
      <c r="A746" s="14">
        <v>1</v>
      </c>
      <c r="B746" s="15">
        <v>45889</v>
      </c>
      <c r="C746" s="15">
        <f>B746+8</f>
        <v>45897</v>
      </c>
      <c r="D746" s="14">
        <v>12880</v>
      </c>
      <c r="E746" s="16" t="s">
        <v>291</v>
      </c>
      <c r="F746" s="17" t="s">
        <v>292</v>
      </c>
      <c r="G746" s="17" t="s">
        <v>47</v>
      </c>
      <c r="H746" s="18" t="s">
        <v>542</v>
      </c>
      <c r="I746" s="19" t="s">
        <v>104</v>
      </c>
      <c r="J746" s="20">
        <v>45771</v>
      </c>
      <c r="K746" s="20">
        <v>45828</v>
      </c>
      <c r="L746" s="21">
        <v>350000</v>
      </c>
      <c r="M746" s="22">
        <f t="shared" si="654"/>
        <v>378000</v>
      </c>
      <c r="N746" s="23">
        <v>273000</v>
      </c>
      <c r="O746" s="23">
        <v>105000</v>
      </c>
      <c r="P746" s="24">
        <f>L746-N746</f>
        <v>77000</v>
      </c>
      <c r="Q746" s="25">
        <v>52500</v>
      </c>
      <c r="R746" s="26">
        <v>72000</v>
      </c>
      <c r="S746" s="91">
        <f t="shared" si="655"/>
        <v>1.0694444444444444</v>
      </c>
      <c r="T746" s="91">
        <f t="shared" si="656"/>
        <v>0.72916666666666663</v>
      </c>
      <c r="U746" s="27" t="s">
        <v>193</v>
      </c>
      <c r="V746" s="19" t="s">
        <v>51</v>
      </c>
      <c r="W746" s="20">
        <v>45846</v>
      </c>
      <c r="X746" s="22"/>
      <c r="Y746" s="19" t="s">
        <v>52</v>
      </c>
      <c r="Z746" s="19" t="s">
        <v>52</v>
      </c>
      <c r="AA746" s="19" t="s">
        <v>52</v>
      </c>
      <c r="AB746" s="42"/>
    </row>
    <row r="747" spans="1:33" s="29" customFormat="1" ht="15" customHeight="1" x14ac:dyDescent="0.25">
      <c r="A747" s="14">
        <v>3</v>
      </c>
      <c r="B747" s="15">
        <v>45889</v>
      </c>
      <c r="C747" s="15">
        <f t="shared" ref="C747" si="659">B747+8</f>
        <v>45897</v>
      </c>
      <c r="D747" s="14">
        <v>13287</v>
      </c>
      <c r="E747" s="16" t="s">
        <v>728</v>
      </c>
      <c r="F747" s="17" t="s">
        <v>469</v>
      </c>
      <c r="G747" s="17" t="s">
        <v>47</v>
      </c>
      <c r="H747" s="18" t="s">
        <v>57</v>
      </c>
      <c r="I747" s="19" t="s">
        <v>58</v>
      </c>
      <c r="J747" s="20">
        <v>45855</v>
      </c>
      <c r="K747" s="20">
        <v>45883</v>
      </c>
      <c r="L747" s="21">
        <v>2000000</v>
      </c>
      <c r="M747" s="22">
        <f t="shared" si="654"/>
        <v>2040000</v>
      </c>
      <c r="N747" s="23">
        <v>1440000</v>
      </c>
      <c r="O747" s="23">
        <v>600000</v>
      </c>
      <c r="P747" s="24">
        <f t="shared" ref="P747" si="660">L747-N747</f>
        <v>560000</v>
      </c>
      <c r="Q747" s="25">
        <v>600000</v>
      </c>
      <c r="R747" s="26">
        <v>96000</v>
      </c>
      <c r="S747" s="91">
        <f t="shared" si="655"/>
        <v>5.833333333333333</v>
      </c>
      <c r="T747" s="91">
        <f t="shared" si="656"/>
        <v>6.25</v>
      </c>
      <c r="U747" s="27" t="s">
        <v>193</v>
      </c>
      <c r="V747" s="19" t="s">
        <v>51</v>
      </c>
      <c r="W747" s="20">
        <v>45874</v>
      </c>
      <c r="X747" s="22"/>
      <c r="Y747" s="19" t="s">
        <v>52</v>
      </c>
      <c r="Z747" s="19" t="s">
        <v>52</v>
      </c>
      <c r="AA747" s="19" t="s">
        <v>52</v>
      </c>
      <c r="AB747" s="42"/>
    </row>
    <row r="748" spans="1:33" s="29" customFormat="1" ht="15" customHeight="1" x14ac:dyDescent="0.25">
      <c r="A748" s="14">
        <v>9</v>
      </c>
      <c r="B748" s="15">
        <v>45889</v>
      </c>
      <c r="C748" s="15">
        <f t="shared" ref="C748" si="661">B748+8</f>
        <v>45897</v>
      </c>
      <c r="D748" s="14">
        <v>13360</v>
      </c>
      <c r="E748" s="16" t="s">
        <v>244</v>
      </c>
      <c r="F748" s="17" t="s">
        <v>243</v>
      </c>
      <c r="G748" s="17" t="s">
        <v>102</v>
      </c>
      <c r="H748" s="18" t="s">
        <v>542</v>
      </c>
      <c r="I748" s="19" t="s">
        <v>63</v>
      </c>
      <c r="J748" s="20">
        <v>45873</v>
      </c>
      <c r="K748" s="20">
        <v>45898</v>
      </c>
      <c r="L748" s="21">
        <v>700000</v>
      </c>
      <c r="M748" s="22">
        <f t="shared" si="654"/>
        <v>420000</v>
      </c>
      <c r="N748" s="23">
        <v>0</v>
      </c>
      <c r="O748" s="23">
        <v>420000</v>
      </c>
      <c r="P748" s="24">
        <f t="shared" ref="P748" si="662">L748-N748</f>
        <v>700000</v>
      </c>
      <c r="Q748" s="25">
        <v>252000</v>
      </c>
      <c r="R748" s="26">
        <v>84000</v>
      </c>
      <c r="S748" s="91">
        <f t="shared" si="655"/>
        <v>8.3333333333333339</v>
      </c>
      <c r="T748" s="91">
        <f t="shared" si="656"/>
        <v>3</v>
      </c>
      <c r="U748" s="27" t="s">
        <v>193</v>
      </c>
      <c r="V748" s="30" t="s">
        <v>59</v>
      </c>
      <c r="W748" s="31">
        <v>45887</v>
      </c>
      <c r="X748" s="22"/>
      <c r="Y748" s="19" t="s">
        <v>52</v>
      </c>
      <c r="Z748" s="19" t="s">
        <v>52</v>
      </c>
      <c r="AA748" s="19" t="s">
        <v>52</v>
      </c>
      <c r="AB748" s="28"/>
    </row>
    <row r="749" spans="1:33" ht="15" customHeight="1" x14ac:dyDescent="0.25">
      <c r="A749" s="33" t="s">
        <v>71</v>
      </c>
      <c r="B749" s="34"/>
      <c r="C749" s="34"/>
      <c r="D749" s="34"/>
      <c r="E749" s="34"/>
      <c r="F749" s="35"/>
      <c r="G749" s="35"/>
      <c r="H749" s="34"/>
      <c r="I749" s="34"/>
      <c r="J749" s="34"/>
      <c r="K749" s="34"/>
      <c r="L749" s="36"/>
      <c r="M749" s="36"/>
      <c r="N749" s="36"/>
      <c r="O749" s="36"/>
      <c r="P749" s="36"/>
      <c r="Q749" s="36">
        <f>SUM(Q743:Q748)</f>
        <v>1772500</v>
      </c>
      <c r="R749" s="36"/>
      <c r="S749" s="92"/>
      <c r="T749" s="93">
        <f>SUM(T743:T748)</f>
        <v>24.764880952380953</v>
      </c>
      <c r="U749" s="37"/>
      <c r="V749" s="38"/>
      <c r="W749" s="38"/>
      <c r="X749" s="38"/>
      <c r="Y749" s="34"/>
      <c r="Z749" s="34"/>
      <c r="AA749" s="39"/>
      <c r="AB749" s="29" t="s">
        <v>785</v>
      </c>
      <c r="AC749" s="81" t="s">
        <v>788</v>
      </c>
      <c r="AD749" s="83">
        <v>5000</v>
      </c>
      <c r="AF749" s="83">
        <v>0</v>
      </c>
      <c r="AG749" s="83">
        <f>SUM(AD749,AF749)</f>
        <v>5000</v>
      </c>
    </row>
    <row r="750" spans="1:33" s="29" customFormat="1" ht="15" customHeight="1" x14ac:dyDescent="0.25">
      <c r="A750" s="14">
        <v>1</v>
      </c>
      <c r="B750" s="15">
        <v>45889</v>
      </c>
      <c r="C750" s="15">
        <f>B750+8</f>
        <v>45897</v>
      </c>
      <c r="D750" s="14">
        <v>13175</v>
      </c>
      <c r="E750" s="16" t="s">
        <v>760</v>
      </c>
      <c r="F750" s="17" t="s">
        <v>286</v>
      </c>
      <c r="G750" s="17" t="s">
        <v>102</v>
      </c>
      <c r="H750" s="18" t="s">
        <v>57</v>
      </c>
      <c r="I750" s="19" t="s">
        <v>94</v>
      </c>
      <c r="J750" s="20">
        <v>45833</v>
      </c>
      <c r="K750" s="20">
        <v>45861</v>
      </c>
      <c r="L750" s="21">
        <v>150000</v>
      </c>
      <c r="M750" s="22">
        <f>SUM(N750:O750)</f>
        <v>157000</v>
      </c>
      <c r="N750" s="23">
        <v>105000</v>
      </c>
      <c r="O750" s="23">
        <v>52000</v>
      </c>
      <c r="P750" s="24">
        <f>L750-N750</f>
        <v>45000</v>
      </c>
      <c r="Q750" s="25">
        <v>52000</v>
      </c>
      <c r="R750" s="26">
        <v>30000</v>
      </c>
      <c r="S750" s="91">
        <f t="shared" ref="S750:S755" si="663">IF(P750&gt;0,P750/$R750,0)</f>
        <v>1.5</v>
      </c>
      <c r="T750" s="91">
        <f t="shared" ref="T750:T755" si="664">IF(Q750&gt;0,Q750/$R750,0)</f>
        <v>1.7333333333333334</v>
      </c>
      <c r="U750" s="27" t="s">
        <v>56</v>
      </c>
      <c r="V750" s="19" t="s">
        <v>51</v>
      </c>
      <c r="W750" s="20">
        <v>45868</v>
      </c>
      <c r="X750" s="22"/>
      <c r="Y750" s="19" t="s">
        <v>52</v>
      </c>
      <c r="Z750" s="19" t="s">
        <v>52</v>
      </c>
      <c r="AA750" s="19" t="s">
        <v>52</v>
      </c>
      <c r="AB750" s="28"/>
    </row>
    <row r="751" spans="1:33" s="29" customFormat="1" ht="15" customHeight="1" x14ac:dyDescent="0.25">
      <c r="A751" s="14">
        <v>4</v>
      </c>
      <c r="B751" s="15">
        <v>45889</v>
      </c>
      <c r="C751" s="15">
        <f t="shared" ref="C751:C755" si="665">B751+8</f>
        <v>45897</v>
      </c>
      <c r="D751" s="14">
        <v>13306</v>
      </c>
      <c r="E751" s="16" t="s">
        <v>660</v>
      </c>
      <c r="F751" s="17" t="s">
        <v>629</v>
      </c>
      <c r="G751" s="17" t="s">
        <v>47</v>
      </c>
      <c r="H751" s="18" t="s">
        <v>54</v>
      </c>
      <c r="I751" s="19" t="s">
        <v>55</v>
      </c>
      <c r="J751" s="20">
        <v>45861</v>
      </c>
      <c r="K751" s="20">
        <v>45901</v>
      </c>
      <c r="L751" s="21">
        <v>300000</v>
      </c>
      <c r="M751" s="22">
        <f t="shared" ref="M751:M755" si="666">SUM(N751:O751)</f>
        <v>371000</v>
      </c>
      <c r="N751" s="23">
        <v>350000</v>
      </c>
      <c r="O751" s="23">
        <v>21000</v>
      </c>
      <c r="P751" s="24">
        <f t="shared" ref="P751:P755" si="667">L751-N751</f>
        <v>-50000</v>
      </c>
      <c r="Q751" s="25">
        <v>21000</v>
      </c>
      <c r="R751" s="26">
        <v>50000</v>
      </c>
      <c r="S751" s="91">
        <f t="shared" si="663"/>
        <v>0</v>
      </c>
      <c r="T751" s="91">
        <f t="shared" si="664"/>
        <v>0.42</v>
      </c>
      <c r="U751" s="27" t="s">
        <v>56</v>
      </c>
      <c r="V751" s="30" t="s">
        <v>59</v>
      </c>
      <c r="W751" s="31">
        <v>45884</v>
      </c>
      <c r="X751" s="22"/>
      <c r="Y751" s="19" t="s">
        <v>52</v>
      </c>
      <c r="Z751" s="19" t="s">
        <v>52</v>
      </c>
      <c r="AA751" s="19" t="s">
        <v>52</v>
      </c>
      <c r="AB751" s="42"/>
    </row>
    <row r="752" spans="1:33" s="29" customFormat="1" ht="15" customHeight="1" x14ac:dyDescent="0.25">
      <c r="A752" s="14">
        <v>4</v>
      </c>
      <c r="B752" s="15">
        <v>45889</v>
      </c>
      <c r="C752" s="15">
        <f>B752+8</f>
        <v>45897</v>
      </c>
      <c r="D752" s="14">
        <v>13236</v>
      </c>
      <c r="E752" s="16" t="s">
        <v>717</v>
      </c>
      <c r="F752" s="40" t="s">
        <v>80</v>
      </c>
      <c r="G752" s="17" t="s">
        <v>75</v>
      </c>
      <c r="H752" s="18" t="s">
        <v>57</v>
      </c>
      <c r="I752" s="19" t="s">
        <v>58</v>
      </c>
      <c r="J752" s="20">
        <v>45847</v>
      </c>
      <c r="K752" s="20">
        <v>45874</v>
      </c>
      <c r="L752" s="21">
        <v>600000</v>
      </c>
      <c r="M752" s="22">
        <f t="shared" si="666"/>
        <v>447000</v>
      </c>
      <c r="N752" s="23">
        <v>300000</v>
      </c>
      <c r="O752" s="23">
        <v>147000</v>
      </c>
      <c r="P752" s="24">
        <f>L752-N752</f>
        <v>300000</v>
      </c>
      <c r="Q752" s="25">
        <v>147000</v>
      </c>
      <c r="R752" s="26">
        <v>150000</v>
      </c>
      <c r="S752" s="91">
        <f t="shared" si="663"/>
        <v>2</v>
      </c>
      <c r="T752" s="91">
        <f t="shared" si="664"/>
        <v>0.98</v>
      </c>
      <c r="U752" s="27" t="s">
        <v>193</v>
      </c>
      <c r="V752" s="19" t="s">
        <v>51</v>
      </c>
      <c r="W752" s="20">
        <v>45874</v>
      </c>
      <c r="X752" s="22"/>
      <c r="Y752" s="19" t="s">
        <v>52</v>
      </c>
      <c r="Z752" s="19" t="s">
        <v>52</v>
      </c>
      <c r="AA752" s="19" t="s">
        <v>52</v>
      </c>
      <c r="AB752" s="28"/>
    </row>
    <row r="753" spans="1:33" s="29" customFormat="1" ht="15" customHeight="1" x14ac:dyDescent="0.25">
      <c r="A753" s="14">
        <v>6</v>
      </c>
      <c r="B753" s="15">
        <v>45889</v>
      </c>
      <c r="C753" s="15">
        <f>B753+8</f>
        <v>45897</v>
      </c>
      <c r="D753" s="14">
        <v>13359</v>
      </c>
      <c r="E753" s="16" t="s">
        <v>684</v>
      </c>
      <c r="F753" s="40" t="s">
        <v>720</v>
      </c>
      <c r="G753" s="17" t="s">
        <v>75</v>
      </c>
      <c r="H753" s="18" t="s">
        <v>57</v>
      </c>
      <c r="I753" s="19" t="s">
        <v>94</v>
      </c>
      <c r="J753" s="20">
        <v>45870</v>
      </c>
      <c r="K753" s="20">
        <v>45897</v>
      </c>
      <c r="L753" s="21">
        <v>400000</v>
      </c>
      <c r="M753" s="22">
        <f t="shared" si="666"/>
        <v>442000</v>
      </c>
      <c r="N753" s="23">
        <v>0</v>
      </c>
      <c r="O753" s="23">
        <v>442000</v>
      </c>
      <c r="P753" s="24">
        <f>L753-N753</f>
        <v>400000</v>
      </c>
      <c r="Q753" s="25">
        <v>442000</v>
      </c>
      <c r="R753" s="26">
        <v>100000</v>
      </c>
      <c r="S753" s="91">
        <f t="shared" si="663"/>
        <v>4</v>
      </c>
      <c r="T753" s="91">
        <f t="shared" si="664"/>
        <v>4.42</v>
      </c>
      <c r="U753" s="27" t="s">
        <v>193</v>
      </c>
      <c r="V753" s="30" t="s">
        <v>59</v>
      </c>
      <c r="W753" s="31">
        <v>45886</v>
      </c>
      <c r="X753" s="22"/>
      <c r="Y753" s="19" t="s">
        <v>52</v>
      </c>
      <c r="Z753" s="19" t="s">
        <v>52</v>
      </c>
      <c r="AA753" s="19" t="s">
        <v>52</v>
      </c>
      <c r="AB753" s="28"/>
    </row>
    <row r="754" spans="1:33" s="29" customFormat="1" ht="15" customHeight="1" x14ac:dyDescent="0.25">
      <c r="A754" s="14">
        <v>11</v>
      </c>
      <c r="B754" s="15">
        <v>45889</v>
      </c>
      <c r="C754" s="15">
        <f>B754+8</f>
        <v>45897</v>
      </c>
      <c r="D754" s="14">
        <v>13369</v>
      </c>
      <c r="E754" s="16" t="s">
        <v>130</v>
      </c>
      <c r="F754" s="17" t="s">
        <v>250</v>
      </c>
      <c r="G754" s="17" t="s">
        <v>102</v>
      </c>
      <c r="H754" s="18" t="s">
        <v>542</v>
      </c>
      <c r="I754" s="19" t="s">
        <v>70</v>
      </c>
      <c r="J754" s="20">
        <v>45873</v>
      </c>
      <c r="K754" s="20">
        <v>45905</v>
      </c>
      <c r="L754" s="21">
        <v>500000</v>
      </c>
      <c r="M754" s="22">
        <f t="shared" si="666"/>
        <v>200000</v>
      </c>
      <c r="N754" s="23">
        <v>0</v>
      </c>
      <c r="O754" s="23">
        <v>200000</v>
      </c>
      <c r="P754" s="24">
        <f>L754-N754</f>
        <v>500000</v>
      </c>
      <c r="Q754" s="25">
        <v>200000</v>
      </c>
      <c r="R754" s="26">
        <v>50000</v>
      </c>
      <c r="S754" s="91">
        <f t="shared" si="663"/>
        <v>10</v>
      </c>
      <c r="T754" s="91">
        <f t="shared" si="664"/>
        <v>4</v>
      </c>
      <c r="U754" s="27" t="s">
        <v>193</v>
      </c>
      <c r="V754" s="30" t="s">
        <v>59</v>
      </c>
      <c r="W754" s="31">
        <v>45891</v>
      </c>
      <c r="X754" s="22"/>
      <c r="Y754" s="19" t="s">
        <v>52</v>
      </c>
      <c r="Z754" s="19" t="s">
        <v>52</v>
      </c>
      <c r="AA754" s="19" t="s">
        <v>52</v>
      </c>
      <c r="AB754" s="28"/>
    </row>
    <row r="755" spans="1:33" s="29" customFormat="1" ht="15" customHeight="1" x14ac:dyDescent="0.25">
      <c r="A755" s="14">
        <v>5</v>
      </c>
      <c r="B755" s="15">
        <v>45889</v>
      </c>
      <c r="C755" s="15">
        <f t="shared" si="665"/>
        <v>45897</v>
      </c>
      <c r="D755" s="14">
        <v>13364</v>
      </c>
      <c r="E755" s="16" t="s">
        <v>756</v>
      </c>
      <c r="F755" s="17" t="s">
        <v>483</v>
      </c>
      <c r="G755" s="17" t="s">
        <v>47</v>
      </c>
      <c r="H755" s="18" t="s">
        <v>57</v>
      </c>
      <c r="I755" s="19" t="s">
        <v>58</v>
      </c>
      <c r="J755" s="20">
        <v>45873</v>
      </c>
      <c r="K755" s="20">
        <v>45905</v>
      </c>
      <c r="L755" s="21">
        <v>1500000</v>
      </c>
      <c r="M755" s="22">
        <f t="shared" si="666"/>
        <v>550000</v>
      </c>
      <c r="N755" s="23">
        <v>0</v>
      </c>
      <c r="O755" s="23">
        <v>550000</v>
      </c>
      <c r="P755" s="24">
        <f t="shared" si="667"/>
        <v>1500000</v>
      </c>
      <c r="Q755" s="25">
        <v>550000</v>
      </c>
      <c r="R755" s="26">
        <v>50000</v>
      </c>
      <c r="S755" s="91">
        <f t="shared" si="663"/>
        <v>30</v>
      </c>
      <c r="T755" s="91">
        <f t="shared" si="664"/>
        <v>11</v>
      </c>
      <c r="U755" s="27" t="s">
        <v>193</v>
      </c>
      <c r="V755" s="30" t="s">
        <v>59</v>
      </c>
      <c r="W755" s="31">
        <v>45888</v>
      </c>
      <c r="X755" s="22"/>
      <c r="Y755" s="19" t="s">
        <v>52</v>
      </c>
      <c r="Z755" s="19" t="s">
        <v>52</v>
      </c>
      <c r="AA755" s="19" t="s">
        <v>52</v>
      </c>
      <c r="AB755" s="42"/>
    </row>
    <row r="756" spans="1:33" ht="15" customHeight="1" x14ac:dyDescent="0.25">
      <c r="A756" s="33" t="s">
        <v>71</v>
      </c>
      <c r="B756" s="34"/>
      <c r="C756" s="34"/>
      <c r="D756" s="34"/>
      <c r="E756" s="34"/>
      <c r="F756" s="35"/>
      <c r="G756" s="35"/>
      <c r="H756" s="34"/>
      <c r="I756" s="34"/>
      <c r="J756" s="34"/>
      <c r="K756" s="34"/>
      <c r="L756" s="36"/>
      <c r="M756" s="36"/>
      <c r="N756" s="36"/>
      <c r="O756" s="36"/>
      <c r="P756" s="36"/>
      <c r="Q756" s="36">
        <f>SUM(Q750:Q755)</f>
        <v>1412000</v>
      </c>
      <c r="R756" s="36"/>
      <c r="S756" s="92"/>
      <c r="T756" s="93">
        <f>SUM(T750:T755)</f>
        <v>22.553333333333335</v>
      </c>
      <c r="U756" s="37"/>
      <c r="V756" s="38"/>
      <c r="W756" s="38"/>
      <c r="X756" s="38"/>
      <c r="Y756" s="34"/>
      <c r="Z756" s="34"/>
      <c r="AA756" s="39"/>
      <c r="AB756" s="29" t="s">
        <v>786</v>
      </c>
      <c r="AC756" s="81" t="s">
        <v>789</v>
      </c>
      <c r="AD756" s="83">
        <v>5000</v>
      </c>
      <c r="AF756" s="83">
        <v>0</v>
      </c>
      <c r="AG756" s="83">
        <f>SUM(AD756,AF756)</f>
        <v>5000</v>
      </c>
    </row>
    <row r="757" spans="1:33" s="29" customFormat="1" ht="15" customHeight="1" x14ac:dyDescent="0.25">
      <c r="A757" s="14">
        <v>4</v>
      </c>
      <c r="B757" s="15">
        <v>45894</v>
      </c>
      <c r="C757" s="15">
        <f>B757+8</f>
        <v>45902</v>
      </c>
      <c r="D757" s="14">
        <v>13272</v>
      </c>
      <c r="E757" s="16" t="s">
        <v>105</v>
      </c>
      <c r="F757" s="17" t="s">
        <v>106</v>
      </c>
      <c r="G757" s="17" t="s">
        <v>102</v>
      </c>
      <c r="H757" s="18" t="s">
        <v>542</v>
      </c>
      <c r="I757" s="19" t="s">
        <v>49</v>
      </c>
      <c r="J757" s="20">
        <v>45854</v>
      </c>
      <c r="K757" s="20">
        <v>45884</v>
      </c>
      <c r="L757" s="21">
        <v>2000000</v>
      </c>
      <c r="M757" s="22">
        <f t="shared" ref="M757:M770" si="668">SUM(N757:O757)</f>
        <v>1988000</v>
      </c>
      <c r="N757" s="23">
        <v>1900000</v>
      </c>
      <c r="O757" s="23">
        <v>88000</v>
      </c>
      <c r="P757" s="24">
        <f>L757-N757</f>
        <v>100000</v>
      </c>
      <c r="Q757" s="25">
        <v>88000</v>
      </c>
      <c r="R757" s="26">
        <v>50000</v>
      </c>
      <c r="S757" s="91">
        <f t="shared" ref="S757:S770" si="669">IF(P757&gt;0,P757/$R757,0)</f>
        <v>2</v>
      </c>
      <c r="T757" s="91">
        <f t="shared" ref="T757:T770" si="670">IF(Q757&gt;0,Q757/$R757,0)</f>
        <v>1.76</v>
      </c>
      <c r="U757" s="27" t="s">
        <v>192</v>
      </c>
      <c r="V757" s="19" t="s">
        <v>51</v>
      </c>
      <c r="W757" s="20">
        <v>45870</v>
      </c>
      <c r="X757" s="22"/>
      <c r="Y757" s="19" t="s">
        <v>52</v>
      </c>
      <c r="Z757" s="19" t="s">
        <v>52</v>
      </c>
      <c r="AA757" s="19" t="s">
        <v>52</v>
      </c>
      <c r="AB757" s="28"/>
    </row>
    <row r="758" spans="1:33" s="29" customFormat="1" ht="15" customHeight="1" x14ac:dyDescent="0.25">
      <c r="A758" s="14">
        <v>7</v>
      </c>
      <c r="B758" s="15">
        <v>45894</v>
      </c>
      <c r="C758" s="15">
        <f t="shared" ref="C758" si="671">B758+8</f>
        <v>45902</v>
      </c>
      <c r="D758" s="14">
        <v>13360</v>
      </c>
      <c r="E758" s="16" t="s">
        <v>244</v>
      </c>
      <c r="F758" s="17" t="s">
        <v>243</v>
      </c>
      <c r="G758" s="17" t="s">
        <v>102</v>
      </c>
      <c r="H758" s="18" t="s">
        <v>542</v>
      </c>
      <c r="I758" s="19" t="s">
        <v>63</v>
      </c>
      <c r="J758" s="20">
        <v>45873</v>
      </c>
      <c r="K758" s="20">
        <v>45898</v>
      </c>
      <c r="L758" s="21">
        <v>700000</v>
      </c>
      <c r="M758" s="22">
        <f t="shared" si="668"/>
        <v>402000</v>
      </c>
      <c r="N758" s="23">
        <v>0</v>
      </c>
      <c r="O758" s="23">
        <v>402000</v>
      </c>
      <c r="P758" s="24">
        <f t="shared" ref="P758" si="672">L758-N758</f>
        <v>700000</v>
      </c>
      <c r="Q758" s="25">
        <v>168000</v>
      </c>
      <c r="R758" s="26">
        <v>84000</v>
      </c>
      <c r="S758" s="91">
        <f t="shared" si="669"/>
        <v>8.3333333333333339</v>
      </c>
      <c r="T758" s="91">
        <f t="shared" si="670"/>
        <v>2</v>
      </c>
      <c r="U758" s="27" t="s">
        <v>192</v>
      </c>
      <c r="V758" s="30" t="s">
        <v>59</v>
      </c>
      <c r="W758" s="31">
        <v>45889</v>
      </c>
      <c r="X758" s="22"/>
      <c r="Y758" s="19" t="s">
        <v>52</v>
      </c>
      <c r="Z758" s="19" t="s">
        <v>52</v>
      </c>
      <c r="AA758" s="19" t="s">
        <v>52</v>
      </c>
      <c r="AB758" s="28"/>
    </row>
    <row r="759" spans="1:33" s="29" customFormat="1" ht="15" customHeight="1" x14ac:dyDescent="0.25">
      <c r="A759" s="14">
        <v>6</v>
      </c>
      <c r="B759" s="15">
        <v>45894</v>
      </c>
      <c r="C759" s="15">
        <f t="shared" ref="C759" si="673">B759+8</f>
        <v>45902</v>
      </c>
      <c r="D759" s="14">
        <v>13390</v>
      </c>
      <c r="E759" s="16" t="s">
        <v>443</v>
      </c>
      <c r="F759" s="40" t="s">
        <v>444</v>
      </c>
      <c r="G759" s="17" t="s">
        <v>75</v>
      </c>
      <c r="H759" s="18" t="s">
        <v>54</v>
      </c>
      <c r="I759" s="19" t="s">
        <v>421</v>
      </c>
      <c r="J759" s="20">
        <v>45876</v>
      </c>
      <c r="K759" s="20">
        <v>45919</v>
      </c>
      <c r="L759" s="21">
        <v>250000</v>
      </c>
      <c r="M759" s="22">
        <f t="shared" si="668"/>
        <v>120000</v>
      </c>
      <c r="N759" s="23">
        <v>0</v>
      </c>
      <c r="O759" s="23">
        <v>120000</v>
      </c>
      <c r="P759" s="24">
        <f t="shared" ref="P759:P766" si="674">L759-N759</f>
        <v>250000</v>
      </c>
      <c r="Q759" s="25">
        <v>120000</v>
      </c>
      <c r="R759" s="26">
        <v>84000</v>
      </c>
      <c r="S759" s="91">
        <f t="shared" si="669"/>
        <v>2.9761904761904763</v>
      </c>
      <c r="T759" s="91">
        <f t="shared" si="670"/>
        <v>1.4285714285714286</v>
      </c>
      <c r="U759" s="27" t="s">
        <v>56</v>
      </c>
      <c r="V759" s="30" t="s">
        <v>59</v>
      </c>
      <c r="W759" s="31">
        <v>45897</v>
      </c>
      <c r="X759" s="22"/>
      <c r="Y759" s="19" t="s">
        <v>52</v>
      </c>
      <c r="Z759" s="19" t="s">
        <v>52</v>
      </c>
      <c r="AA759" s="19" t="s">
        <v>52</v>
      </c>
      <c r="AB759" s="28"/>
    </row>
    <row r="760" spans="1:33" s="29" customFormat="1" ht="15" customHeight="1" x14ac:dyDescent="0.25">
      <c r="A760" s="14">
        <v>8</v>
      </c>
      <c r="B760" s="15">
        <v>45894</v>
      </c>
      <c r="C760" s="15">
        <f t="shared" ref="C760:C768" si="675">B760+8</f>
        <v>45902</v>
      </c>
      <c r="D760" s="14">
        <v>13381</v>
      </c>
      <c r="E760" s="16" t="s">
        <v>378</v>
      </c>
      <c r="F760" s="40" t="s">
        <v>379</v>
      </c>
      <c r="G760" s="17" t="s">
        <v>75</v>
      </c>
      <c r="H760" s="18" t="s">
        <v>78</v>
      </c>
      <c r="I760" s="19" t="s">
        <v>79</v>
      </c>
      <c r="J760" s="20">
        <v>45876</v>
      </c>
      <c r="K760" s="20">
        <v>45924</v>
      </c>
      <c r="L760" s="21">
        <v>180000</v>
      </c>
      <c r="M760" s="22">
        <f t="shared" si="668"/>
        <v>208000</v>
      </c>
      <c r="N760" s="23">
        <v>150000</v>
      </c>
      <c r="O760" s="23">
        <v>58000</v>
      </c>
      <c r="P760" s="24">
        <f t="shared" si="674"/>
        <v>30000</v>
      </c>
      <c r="Q760" s="25">
        <v>58000</v>
      </c>
      <c r="R760" s="26">
        <v>84000</v>
      </c>
      <c r="S760" s="91">
        <f t="shared" si="669"/>
        <v>0.35714285714285715</v>
      </c>
      <c r="T760" s="91">
        <f t="shared" si="670"/>
        <v>0.69047619047619047</v>
      </c>
      <c r="U760" s="27" t="s">
        <v>56</v>
      </c>
      <c r="V760" s="19" t="s">
        <v>51</v>
      </c>
      <c r="W760" s="20">
        <v>45880</v>
      </c>
      <c r="X760" s="22"/>
      <c r="Y760" s="19" t="s">
        <v>52</v>
      </c>
      <c r="Z760" s="19" t="s">
        <v>52</v>
      </c>
      <c r="AA760" s="19" t="s">
        <v>52</v>
      </c>
      <c r="AB760" s="28"/>
    </row>
    <row r="761" spans="1:33" s="29" customFormat="1" ht="15" customHeight="1" x14ac:dyDescent="0.25">
      <c r="A761" s="14">
        <v>2</v>
      </c>
      <c r="B761" s="15">
        <v>45894</v>
      </c>
      <c r="C761" s="15">
        <f t="shared" si="675"/>
        <v>45902</v>
      </c>
      <c r="D761" s="14">
        <v>12955</v>
      </c>
      <c r="E761" s="16" t="s">
        <v>630</v>
      </c>
      <c r="F761" s="17" t="s">
        <v>631</v>
      </c>
      <c r="G761" s="17" t="s">
        <v>132</v>
      </c>
      <c r="H761" s="18" t="s">
        <v>78</v>
      </c>
      <c r="I761" s="19" t="s">
        <v>79</v>
      </c>
      <c r="J761" s="20">
        <v>45785</v>
      </c>
      <c r="K761" s="20">
        <v>45827</v>
      </c>
      <c r="L761" s="21">
        <v>126000</v>
      </c>
      <c r="M761" s="22">
        <f t="shared" si="668"/>
        <v>126000</v>
      </c>
      <c r="N761" s="23">
        <v>0</v>
      </c>
      <c r="O761" s="23">
        <v>126000</v>
      </c>
      <c r="P761" s="24">
        <f t="shared" si="674"/>
        <v>126000</v>
      </c>
      <c r="Q761" s="25">
        <v>42000</v>
      </c>
      <c r="R761" s="26">
        <v>126000</v>
      </c>
      <c r="S761" s="91">
        <f t="shared" si="669"/>
        <v>1</v>
      </c>
      <c r="T761" s="91">
        <f t="shared" si="670"/>
        <v>0.33333333333333331</v>
      </c>
      <c r="U761" s="27" t="s">
        <v>56</v>
      </c>
      <c r="V761" s="19" t="s">
        <v>51</v>
      </c>
      <c r="W761" s="20">
        <v>45839</v>
      </c>
      <c r="X761" s="22"/>
      <c r="Y761" s="19" t="s">
        <v>52</v>
      </c>
      <c r="Z761" s="19" t="s">
        <v>52</v>
      </c>
      <c r="AA761" s="19" t="s">
        <v>52</v>
      </c>
      <c r="AB761" s="28"/>
    </row>
    <row r="762" spans="1:33" s="29" customFormat="1" ht="15" customHeight="1" x14ac:dyDescent="0.25">
      <c r="A762" s="14">
        <v>7</v>
      </c>
      <c r="B762" s="15">
        <v>45894</v>
      </c>
      <c r="C762" s="15">
        <f t="shared" si="675"/>
        <v>45902</v>
      </c>
      <c r="D762" s="14">
        <v>13356</v>
      </c>
      <c r="E762" s="16" t="s">
        <v>355</v>
      </c>
      <c r="F762" s="17" t="s">
        <v>356</v>
      </c>
      <c r="G762" s="17" t="s">
        <v>132</v>
      </c>
      <c r="H762" s="18" t="s">
        <v>78</v>
      </c>
      <c r="I762" s="19" t="s">
        <v>79</v>
      </c>
      <c r="J762" s="20">
        <v>45870</v>
      </c>
      <c r="K762" s="20">
        <v>45904</v>
      </c>
      <c r="L762" s="21">
        <v>120000</v>
      </c>
      <c r="M762" s="22">
        <f t="shared" si="668"/>
        <v>120000</v>
      </c>
      <c r="N762" s="23">
        <v>0</v>
      </c>
      <c r="O762" s="23">
        <v>120000</v>
      </c>
      <c r="P762" s="24">
        <f t="shared" si="674"/>
        <v>120000</v>
      </c>
      <c r="Q762" s="25">
        <v>129130</v>
      </c>
      <c r="R762" s="26">
        <v>232443</v>
      </c>
      <c r="S762" s="91">
        <f t="shared" si="669"/>
        <v>0.51625559814664235</v>
      </c>
      <c r="T762" s="91">
        <f t="shared" si="670"/>
        <v>0.55553404490563274</v>
      </c>
      <c r="U762" s="27" t="s">
        <v>56</v>
      </c>
      <c r="V762" s="30" t="s">
        <v>59</v>
      </c>
      <c r="W762" s="31">
        <v>45889</v>
      </c>
      <c r="X762" s="22"/>
      <c r="Y762" s="19" t="s">
        <v>52</v>
      </c>
      <c r="Z762" s="19" t="s">
        <v>52</v>
      </c>
      <c r="AA762" s="19" t="s">
        <v>52</v>
      </c>
      <c r="AB762" s="28"/>
    </row>
    <row r="763" spans="1:33" s="29" customFormat="1" ht="15" customHeight="1" x14ac:dyDescent="0.25">
      <c r="A763" s="14">
        <v>1</v>
      </c>
      <c r="B763" s="15">
        <v>45894</v>
      </c>
      <c r="C763" s="15">
        <f>B763+8</f>
        <v>45902</v>
      </c>
      <c r="D763" s="14">
        <v>13364</v>
      </c>
      <c r="E763" s="16" t="s">
        <v>756</v>
      </c>
      <c r="F763" s="17" t="s">
        <v>483</v>
      </c>
      <c r="G763" s="17" t="s">
        <v>47</v>
      </c>
      <c r="H763" s="18" t="s">
        <v>57</v>
      </c>
      <c r="I763" s="19" t="s">
        <v>58</v>
      </c>
      <c r="J763" s="20">
        <v>45873</v>
      </c>
      <c r="K763" s="20">
        <v>45905</v>
      </c>
      <c r="L763" s="21">
        <v>1500000</v>
      </c>
      <c r="M763" s="22">
        <f t="shared" si="668"/>
        <v>850000</v>
      </c>
      <c r="N763" s="23">
        <v>550000</v>
      </c>
      <c r="O763" s="23">
        <v>300000</v>
      </c>
      <c r="P763" s="24">
        <f t="shared" ref="P763" si="676">L763-N763</f>
        <v>950000</v>
      </c>
      <c r="Q763" s="25">
        <v>300000</v>
      </c>
      <c r="R763" s="26">
        <v>50000</v>
      </c>
      <c r="S763" s="91">
        <f t="shared" si="669"/>
        <v>19</v>
      </c>
      <c r="T763" s="91">
        <f t="shared" si="670"/>
        <v>6</v>
      </c>
      <c r="U763" s="27" t="s">
        <v>193</v>
      </c>
      <c r="V763" s="19" t="s">
        <v>51</v>
      </c>
      <c r="W763" s="20">
        <v>45880</v>
      </c>
      <c r="X763" s="22"/>
      <c r="Y763" s="19" t="s">
        <v>52</v>
      </c>
      <c r="Z763" s="19" t="s">
        <v>52</v>
      </c>
      <c r="AA763" s="19" t="s">
        <v>52</v>
      </c>
      <c r="AB763" s="42"/>
    </row>
    <row r="764" spans="1:33" s="29" customFormat="1" ht="15" customHeight="1" x14ac:dyDescent="0.25">
      <c r="A764" s="14">
        <v>7</v>
      </c>
      <c r="B764" s="15">
        <v>45894</v>
      </c>
      <c r="C764" s="15">
        <f t="shared" si="675"/>
        <v>45902</v>
      </c>
      <c r="D764" s="14">
        <v>13360</v>
      </c>
      <c r="E764" s="16" t="s">
        <v>244</v>
      </c>
      <c r="F764" s="17" t="s">
        <v>243</v>
      </c>
      <c r="G764" s="17" t="s">
        <v>102</v>
      </c>
      <c r="H764" s="18" t="s">
        <v>542</v>
      </c>
      <c r="I764" s="19" t="s">
        <v>63</v>
      </c>
      <c r="J764" s="20">
        <v>45873</v>
      </c>
      <c r="K764" s="20">
        <v>45898</v>
      </c>
      <c r="L764" s="21">
        <v>700000</v>
      </c>
      <c r="M764" s="22">
        <f t="shared" si="668"/>
        <v>402000</v>
      </c>
      <c r="N764" s="23">
        <v>0</v>
      </c>
      <c r="O764" s="23">
        <v>402000</v>
      </c>
      <c r="P764" s="24">
        <f t="shared" si="674"/>
        <v>700000</v>
      </c>
      <c r="Q764" s="25">
        <v>234000</v>
      </c>
      <c r="R764" s="26">
        <v>84000</v>
      </c>
      <c r="S764" s="91">
        <f t="shared" si="669"/>
        <v>8.3333333333333339</v>
      </c>
      <c r="T764" s="91">
        <f t="shared" si="670"/>
        <v>2.7857142857142856</v>
      </c>
      <c r="U764" s="27" t="s">
        <v>193</v>
      </c>
      <c r="V764" s="30" t="s">
        <v>59</v>
      </c>
      <c r="W764" s="31">
        <v>45889</v>
      </c>
      <c r="X764" s="22"/>
      <c r="Y764" s="19" t="s">
        <v>52</v>
      </c>
      <c r="Z764" s="19" t="s">
        <v>52</v>
      </c>
      <c r="AA764" s="19" t="s">
        <v>52</v>
      </c>
      <c r="AB764" s="28"/>
    </row>
    <row r="765" spans="1:33" s="29" customFormat="1" ht="15" customHeight="1" x14ac:dyDescent="0.25">
      <c r="A765" s="14">
        <v>9</v>
      </c>
      <c r="B765" s="15">
        <v>45894</v>
      </c>
      <c r="C765" s="15">
        <f t="shared" si="675"/>
        <v>45902</v>
      </c>
      <c r="D765" s="14">
        <v>13369</v>
      </c>
      <c r="E765" s="16" t="s">
        <v>130</v>
      </c>
      <c r="F765" s="17" t="s">
        <v>250</v>
      </c>
      <c r="G765" s="17" t="s">
        <v>102</v>
      </c>
      <c r="H765" s="18" t="s">
        <v>542</v>
      </c>
      <c r="I765" s="19" t="s">
        <v>70</v>
      </c>
      <c r="J765" s="20">
        <v>45873</v>
      </c>
      <c r="K765" s="20">
        <v>45905</v>
      </c>
      <c r="L765" s="21">
        <v>500000</v>
      </c>
      <c r="M765" s="22">
        <f t="shared" si="668"/>
        <v>300000</v>
      </c>
      <c r="N765" s="23">
        <v>200000</v>
      </c>
      <c r="O765" s="23">
        <v>100000</v>
      </c>
      <c r="P765" s="24">
        <f t="shared" si="674"/>
        <v>300000</v>
      </c>
      <c r="Q765" s="25">
        <v>100000</v>
      </c>
      <c r="R765" s="26">
        <v>50000</v>
      </c>
      <c r="S765" s="91">
        <f t="shared" si="669"/>
        <v>6</v>
      </c>
      <c r="T765" s="91">
        <f t="shared" si="670"/>
        <v>2</v>
      </c>
      <c r="U765" s="27" t="s">
        <v>193</v>
      </c>
      <c r="V765" s="30" t="s">
        <v>59</v>
      </c>
      <c r="W765" s="31">
        <v>45891</v>
      </c>
      <c r="X765" s="22"/>
      <c r="Y765" s="19" t="s">
        <v>52</v>
      </c>
      <c r="Z765" s="19" t="s">
        <v>52</v>
      </c>
      <c r="AA765" s="19" t="s">
        <v>52</v>
      </c>
      <c r="AB765" s="28"/>
    </row>
    <row r="766" spans="1:33" s="29" customFormat="1" ht="15" customHeight="1" x14ac:dyDescent="0.25">
      <c r="A766" s="14">
        <v>4</v>
      </c>
      <c r="B766" s="15">
        <v>45894</v>
      </c>
      <c r="C766" s="15">
        <f t="shared" si="675"/>
        <v>45902</v>
      </c>
      <c r="D766" s="14">
        <v>13348</v>
      </c>
      <c r="E766" s="16" t="s">
        <v>342</v>
      </c>
      <c r="F766" s="40" t="s">
        <v>343</v>
      </c>
      <c r="G766" s="17" t="s">
        <v>75</v>
      </c>
      <c r="H766" s="18" t="s">
        <v>57</v>
      </c>
      <c r="I766" s="19" t="s">
        <v>94</v>
      </c>
      <c r="J766" s="20">
        <v>45867</v>
      </c>
      <c r="K766" s="20">
        <v>45895</v>
      </c>
      <c r="L766" s="21">
        <v>300000</v>
      </c>
      <c r="M766" s="22">
        <f t="shared" si="668"/>
        <v>150000</v>
      </c>
      <c r="N766" s="23">
        <v>0</v>
      </c>
      <c r="O766" s="23">
        <v>150000</v>
      </c>
      <c r="P766" s="24">
        <f t="shared" si="674"/>
        <v>300000</v>
      </c>
      <c r="Q766" s="25">
        <v>90000</v>
      </c>
      <c r="R766" s="26">
        <v>150000</v>
      </c>
      <c r="S766" s="91">
        <f t="shared" si="669"/>
        <v>2</v>
      </c>
      <c r="T766" s="91">
        <f t="shared" si="670"/>
        <v>0.6</v>
      </c>
      <c r="U766" s="27" t="s">
        <v>193</v>
      </c>
      <c r="V766" s="30" t="s">
        <v>59</v>
      </c>
      <c r="W766" s="31">
        <v>45889</v>
      </c>
      <c r="X766" s="22"/>
      <c r="Y766" s="19" t="s">
        <v>52</v>
      </c>
      <c r="Z766" s="19" t="s">
        <v>52</v>
      </c>
      <c r="AA766" s="19" t="s">
        <v>52</v>
      </c>
      <c r="AB766" s="28"/>
    </row>
    <row r="767" spans="1:33" s="29" customFormat="1" ht="15" customHeight="1" x14ac:dyDescent="0.25">
      <c r="A767" s="14">
        <v>1</v>
      </c>
      <c r="B767" s="15">
        <v>45894</v>
      </c>
      <c r="C767" s="15">
        <f t="shared" si="675"/>
        <v>45902</v>
      </c>
      <c r="D767" s="14">
        <v>13339</v>
      </c>
      <c r="E767" s="16" t="s">
        <v>312</v>
      </c>
      <c r="F767" s="17" t="s">
        <v>313</v>
      </c>
      <c r="G767" s="17" t="s">
        <v>102</v>
      </c>
      <c r="H767" s="18" t="s">
        <v>57</v>
      </c>
      <c r="I767" s="19" t="s">
        <v>94</v>
      </c>
      <c r="J767" s="20">
        <v>45868</v>
      </c>
      <c r="K767" s="20">
        <v>45916</v>
      </c>
      <c r="L767" s="21">
        <v>24000</v>
      </c>
      <c r="M767" s="22">
        <f t="shared" si="668"/>
        <v>50000</v>
      </c>
      <c r="N767" s="23">
        <v>0</v>
      </c>
      <c r="O767" s="23">
        <v>50000</v>
      </c>
      <c r="P767" s="24">
        <f t="shared" ref="P767" si="677">L767-N767</f>
        <v>24000</v>
      </c>
      <c r="Q767" s="25">
        <v>28000</v>
      </c>
      <c r="R767" s="26">
        <v>50000</v>
      </c>
      <c r="S767" s="91">
        <f t="shared" si="669"/>
        <v>0.48</v>
      </c>
      <c r="T767" s="91">
        <f t="shared" si="670"/>
        <v>0.56000000000000005</v>
      </c>
      <c r="U767" s="27" t="s">
        <v>193</v>
      </c>
      <c r="V767" s="30" t="s">
        <v>59</v>
      </c>
      <c r="W767" s="31">
        <v>45892</v>
      </c>
      <c r="X767" s="22"/>
      <c r="Y767" s="19" t="s">
        <v>52</v>
      </c>
      <c r="Z767" s="19" t="s">
        <v>52</v>
      </c>
      <c r="AA767" s="19" t="s">
        <v>52</v>
      </c>
      <c r="AB767" s="28"/>
    </row>
    <row r="768" spans="1:33" s="29" customFormat="1" ht="15" customHeight="1" x14ac:dyDescent="0.25">
      <c r="A768" s="14">
        <v>5</v>
      </c>
      <c r="B768" s="15">
        <v>45894</v>
      </c>
      <c r="C768" s="15">
        <f t="shared" si="675"/>
        <v>45902</v>
      </c>
      <c r="D768" s="14">
        <v>13317</v>
      </c>
      <c r="E768" s="16" t="s">
        <v>737</v>
      </c>
      <c r="F768" s="17" t="s">
        <v>478</v>
      </c>
      <c r="G768" s="17" t="s">
        <v>102</v>
      </c>
      <c r="H768" s="18" t="s">
        <v>57</v>
      </c>
      <c r="I768" s="19" t="s">
        <v>58</v>
      </c>
      <c r="J768" s="20">
        <v>45861</v>
      </c>
      <c r="K768" s="20">
        <v>45888</v>
      </c>
      <c r="L768" s="21">
        <v>1000000</v>
      </c>
      <c r="M768" s="22">
        <f t="shared" si="668"/>
        <v>48000</v>
      </c>
      <c r="N768" s="23">
        <v>0</v>
      </c>
      <c r="O768" s="23">
        <v>48000</v>
      </c>
      <c r="P768" s="24">
        <f>L768-N768</f>
        <v>1000000</v>
      </c>
      <c r="Q768" s="25">
        <v>42000</v>
      </c>
      <c r="R768" s="26">
        <v>48000</v>
      </c>
      <c r="S768" s="91">
        <f t="shared" si="669"/>
        <v>20.833333333333332</v>
      </c>
      <c r="T768" s="91">
        <f t="shared" si="670"/>
        <v>0.875</v>
      </c>
      <c r="U768" s="27" t="s">
        <v>193</v>
      </c>
      <c r="V768" s="30" t="s">
        <v>59</v>
      </c>
      <c r="W768" s="31">
        <v>45889</v>
      </c>
      <c r="X768" s="22"/>
      <c r="Y768" s="19" t="s">
        <v>52</v>
      </c>
      <c r="Z768" s="19" t="s">
        <v>52</v>
      </c>
      <c r="AA768" s="19" t="s">
        <v>52</v>
      </c>
      <c r="AB768" s="28"/>
    </row>
    <row r="769" spans="1:33" s="29" customFormat="1" ht="15" customHeight="1" x14ac:dyDescent="0.25">
      <c r="A769" s="14">
        <v>6</v>
      </c>
      <c r="B769" s="15">
        <v>45894</v>
      </c>
      <c r="C769" s="15">
        <f t="shared" ref="C769:C770" si="678">B769+8</f>
        <v>45902</v>
      </c>
      <c r="D769" s="14">
        <v>13460</v>
      </c>
      <c r="E769" s="16" t="s">
        <v>787</v>
      </c>
      <c r="F769" s="17" t="s">
        <v>112</v>
      </c>
      <c r="G769" s="17" t="s">
        <v>102</v>
      </c>
      <c r="H769" s="18" t="s">
        <v>57</v>
      </c>
      <c r="I769" s="19" t="s">
        <v>94</v>
      </c>
      <c r="J769" s="20">
        <v>45889</v>
      </c>
      <c r="K769" s="20">
        <v>45903</v>
      </c>
      <c r="L769" s="21">
        <v>500000</v>
      </c>
      <c r="M769" s="22">
        <f t="shared" si="668"/>
        <v>200000</v>
      </c>
      <c r="N769" s="23">
        <v>0</v>
      </c>
      <c r="O769" s="23">
        <v>200000</v>
      </c>
      <c r="P769" s="24">
        <f t="shared" ref="P769:P770" si="679">L769-N769</f>
        <v>500000</v>
      </c>
      <c r="Q769" s="25">
        <v>200000</v>
      </c>
      <c r="R769" s="26">
        <v>50000</v>
      </c>
      <c r="S769" s="91">
        <f t="shared" si="669"/>
        <v>10</v>
      </c>
      <c r="T769" s="91">
        <f t="shared" si="670"/>
        <v>4</v>
      </c>
      <c r="U769" s="27" t="s">
        <v>193</v>
      </c>
      <c r="V769" s="30" t="s">
        <v>68</v>
      </c>
      <c r="W769" s="31" t="s">
        <v>68</v>
      </c>
      <c r="X769" s="22"/>
      <c r="Y769" s="19" t="s">
        <v>52</v>
      </c>
      <c r="Z769" s="19" t="s">
        <v>52</v>
      </c>
      <c r="AA769" s="19" t="s">
        <v>52</v>
      </c>
      <c r="AB769" s="28"/>
    </row>
    <row r="770" spans="1:33" s="29" customFormat="1" ht="15" customHeight="1" x14ac:dyDescent="0.25">
      <c r="A770" s="14">
        <v>5</v>
      </c>
      <c r="B770" s="15">
        <v>45894</v>
      </c>
      <c r="C770" s="15">
        <f t="shared" si="678"/>
        <v>45902</v>
      </c>
      <c r="D770" s="14">
        <v>13365</v>
      </c>
      <c r="E770" s="16" t="s">
        <v>753</v>
      </c>
      <c r="F770" s="17" t="s">
        <v>754</v>
      </c>
      <c r="G770" s="17" t="s">
        <v>102</v>
      </c>
      <c r="H770" s="18" t="s">
        <v>62</v>
      </c>
      <c r="I770" s="19" t="s">
        <v>63</v>
      </c>
      <c r="J770" s="20">
        <v>45870</v>
      </c>
      <c r="K770" s="20">
        <v>45901</v>
      </c>
      <c r="L770" s="21">
        <v>300000</v>
      </c>
      <c r="M770" s="22">
        <f t="shared" si="668"/>
        <v>18000</v>
      </c>
      <c r="N770" s="23">
        <v>0</v>
      </c>
      <c r="O770" s="23">
        <v>18000</v>
      </c>
      <c r="P770" s="24">
        <f t="shared" si="679"/>
        <v>300000</v>
      </c>
      <c r="Q770" s="25">
        <v>18000</v>
      </c>
      <c r="R770" s="26">
        <v>100000</v>
      </c>
      <c r="S770" s="91">
        <f t="shared" si="669"/>
        <v>3</v>
      </c>
      <c r="T770" s="91">
        <f t="shared" si="670"/>
        <v>0.18</v>
      </c>
      <c r="U770" s="27" t="s">
        <v>193</v>
      </c>
      <c r="V770" s="19" t="s">
        <v>51</v>
      </c>
      <c r="W770" s="20">
        <v>45892</v>
      </c>
      <c r="X770" s="22"/>
      <c r="Y770" s="19" t="s">
        <v>52</v>
      </c>
      <c r="Z770" s="19" t="s">
        <v>52</v>
      </c>
      <c r="AA770" s="19" t="s">
        <v>52</v>
      </c>
      <c r="AB770" s="28"/>
    </row>
    <row r="771" spans="1:33" ht="15" customHeight="1" x14ac:dyDescent="0.25">
      <c r="A771" s="33" t="s">
        <v>71</v>
      </c>
      <c r="B771" s="34"/>
      <c r="C771" s="34"/>
      <c r="D771" s="34"/>
      <c r="E771" s="34"/>
      <c r="F771" s="35"/>
      <c r="G771" s="35"/>
      <c r="H771" s="34"/>
      <c r="I771" s="34"/>
      <c r="J771" s="34"/>
      <c r="K771" s="34"/>
      <c r="L771" s="36"/>
      <c r="M771" s="36"/>
      <c r="N771" s="36"/>
      <c r="O771" s="36"/>
      <c r="P771" s="36"/>
      <c r="Q771" s="36">
        <f>SUM(Q757:Q770)</f>
        <v>1617130</v>
      </c>
      <c r="R771" s="36"/>
      <c r="S771" s="92"/>
      <c r="T771" s="93">
        <f>SUM(T757:T770)</f>
        <v>23.76862928300087</v>
      </c>
      <c r="U771" s="37"/>
      <c r="V771" s="38"/>
      <c r="W771" s="38"/>
      <c r="X771" s="38"/>
      <c r="Y771" s="34"/>
      <c r="Z771" s="34"/>
      <c r="AA771" s="39"/>
      <c r="AB771" s="29" t="s">
        <v>791</v>
      </c>
      <c r="AC771" s="81" t="s">
        <v>802</v>
      </c>
      <c r="AD771" s="83">
        <v>5000</v>
      </c>
      <c r="AF771" s="83">
        <v>0</v>
      </c>
      <c r="AG771" s="83">
        <f>SUM(AD771,AF771)</f>
        <v>5000</v>
      </c>
    </row>
    <row r="772" spans="1:33" s="29" customFormat="1" ht="15" customHeight="1" x14ac:dyDescent="0.25">
      <c r="A772" s="14">
        <v>1</v>
      </c>
      <c r="B772" s="15">
        <v>45897</v>
      </c>
      <c r="C772" s="15">
        <f t="shared" ref="C772:C775" si="680">B772+8</f>
        <v>45905</v>
      </c>
      <c r="D772" s="14">
        <v>12727</v>
      </c>
      <c r="E772" s="16" t="s">
        <v>83</v>
      </c>
      <c r="F772" s="40" t="s">
        <v>84</v>
      </c>
      <c r="G772" s="17" t="s">
        <v>75</v>
      </c>
      <c r="H772" s="18" t="s">
        <v>54</v>
      </c>
      <c r="I772" s="19" t="s">
        <v>421</v>
      </c>
      <c r="J772" s="20">
        <v>45737</v>
      </c>
      <c r="K772" s="20">
        <v>45779</v>
      </c>
      <c r="L772" s="21">
        <v>500000</v>
      </c>
      <c r="M772" s="22">
        <f t="shared" ref="M772:M775" si="681">SUM(N772:O772)</f>
        <v>484000</v>
      </c>
      <c r="N772" s="23">
        <v>316000</v>
      </c>
      <c r="O772" s="23">
        <v>168000</v>
      </c>
      <c r="P772" s="24">
        <f t="shared" ref="P772:P775" si="682">L772-N772</f>
        <v>184000</v>
      </c>
      <c r="Q772" s="25">
        <v>168000</v>
      </c>
      <c r="R772" s="26">
        <v>84000</v>
      </c>
      <c r="S772" s="91">
        <f t="shared" ref="S772:S776" si="683">IF(P772&gt;0,P772/$R772,0)</f>
        <v>2.1904761904761907</v>
      </c>
      <c r="T772" s="91">
        <f t="shared" ref="T772:T776" si="684">IF(Q772&gt;0,Q772/$R772,0)</f>
        <v>2</v>
      </c>
      <c r="U772" s="27" t="s">
        <v>56</v>
      </c>
      <c r="V772" s="19" t="s">
        <v>51</v>
      </c>
      <c r="W772" s="20">
        <v>45772</v>
      </c>
      <c r="X772" s="22"/>
      <c r="Y772" s="19" t="s">
        <v>52</v>
      </c>
      <c r="Z772" s="19" t="s">
        <v>52</v>
      </c>
      <c r="AA772" s="19" t="s">
        <v>52</v>
      </c>
      <c r="AB772" s="28"/>
    </row>
    <row r="773" spans="1:33" s="29" customFormat="1" ht="15" customHeight="1" x14ac:dyDescent="0.25">
      <c r="A773" s="14">
        <v>6</v>
      </c>
      <c r="B773" s="15">
        <v>45897</v>
      </c>
      <c r="C773" s="15">
        <f t="shared" si="680"/>
        <v>45905</v>
      </c>
      <c r="D773" s="14">
        <v>13390</v>
      </c>
      <c r="E773" s="16" t="s">
        <v>443</v>
      </c>
      <c r="F773" s="40" t="s">
        <v>444</v>
      </c>
      <c r="G773" s="17" t="s">
        <v>75</v>
      </c>
      <c r="H773" s="18" t="s">
        <v>54</v>
      </c>
      <c r="I773" s="19" t="s">
        <v>421</v>
      </c>
      <c r="J773" s="20">
        <v>45876</v>
      </c>
      <c r="K773" s="20">
        <v>45919</v>
      </c>
      <c r="L773" s="21">
        <v>250000</v>
      </c>
      <c r="M773" s="22">
        <f t="shared" si="681"/>
        <v>287000</v>
      </c>
      <c r="N773" s="23">
        <v>120000</v>
      </c>
      <c r="O773" s="23">
        <v>167000</v>
      </c>
      <c r="P773" s="24">
        <f t="shared" si="682"/>
        <v>130000</v>
      </c>
      <c r="Q773" s="25">
        <v>167000</v>
      </c>
      <c r="R773" s="26">
        <v>84000</v>
      </c>
      <c r="S773" s="91">
        <f t="shared" si="683"/>
        <v>1.5476190476190477</v>
      </c>
      <c r="T773" s="91">
        <f t="shared" si="684"/>
        <v>1.9880952380952381</v>
      </c>
      <c r="U773" s="27" t="s">
        <v>56</v>
      </c>
      <c r="V773" s="19" t="s">
        <v>51</v>
      </c>
      <c r="W773" s="20">
        <v>45897</v>
      </c>
      <c r="X773" s="22"/>
      <c r="Y773" s="19" t="s">
        <v>52</v>
      </c>
      <c r="Z773" s="19" t="s">
        <v>52</v>
      </c>
      <c r="AA773" s="19" t="s">
        <v>52</v>
      </c>
      <c r="AB773" s="28"/>
    </row>
    <row r="774" spans="1:33" s="29" customFormat="1" ht="15" customHeight="1" x14ac:dyDescent="0.25">
      <c r="A774" s="14">
        <v>7</v>
      </c>
      <c r="B774" s="15">
        <v>45897</v>
      </c>
      <c r="C774" s="15">
        <f t="shared" si="680"/>
        <v>45905</v>
      </c>
      <c r="D774" s="14">
        <v>13389</v>
      </c>
      <c r="E774" s="16" t="s">
        <v>419</v>
      </c>
      <c r="F774" s="40" t="s">
        <v>420</v>
      </c>
      <c r="G774" s="17" t="s">
        <v>75</v>
      </c>
      <c r="H774" s="18" t="s">
        <v>54</v>
      </c>
      <c r="I774" s="19" t="s">
        <v>421</v>
      </c>
      <c r="J774" s="20">
        <v>45876</v>
      </c>
      <c r="K774" s="20">
        <v>45919</v>
      </c>
      <c r="L774" s="21">
        <v>500000</v>
      </c>
      <c r="M774" s="22">
        <f t="shared" si="681"/>
        <v>553000</v>
      </c>
      <c r="N774" s="23">
        <v>0</v>
      </c>
      <c r="O774" s="23">
        <v>553000</v>
      </c>
      <c r="P774" s="24">
        <f t="shared" si="682"/>
        <v>500000</v>
      </c>
      <c r="Q774" s="25">
        <v>553000</v>
      </c>
      <c r="R774" s="26">
        <v>84000</v>
      </c>
      <c r="S774" s="91">
        <f t="shared" si="683"/>
        <v>5.9523809523809526</v>
      </c>
      <c r="T774" s="91">
        <f t="shared" si="684"/>
        <v>6.583333333333333</v>
      </c>
      <c r="U774" s="27" t="s">
        <v>56</v>
      </c>
      <c r="V774" s="19" t="s">
        <v>51</v>
      </c>
      <c r="W774" s="20">
        <v>45884</v>
      </c>
      <c r="X774" s="22"/>
      <c r="Y774" s="19" t="s">
        <v>52</v>
      </c>
      <c r="Z774" s="19" t="s">
        <v>52</v>
      </c>
      <c r="AA774" s="19" t="s">
        <v>52</v>
      </c>
      <c r="AB774" s="28"/>
    </row>
    <row r="775" spans="1:33" s="29" customFormat="1" ht="15" customHeight="1" x14ac:dyDescent="0.25">
      <c r="A775" s="14">
        <v>7</v>
      </c>
      <c r="B775" s="15">
        <v>45897</v>
      </c>
      <c r="C775" s="15">
        <f t="shared" si="680"/>
        <v>45905</v>
      </c>
      <c r="D775" s="14">
        <v>13361</v>
      </c>
      <c r="E775" s="16" t="s">
        <v>761</v>
      </c>
      <c r="F775" s="17" t="s">
        <v>467</v>
      </c>
      <c r="G775" s="17" t="s">
        <v>102</v>
      </c>
      <c r="H775" s="18" t="s">
        <v>57</v>
      </c>
      <c r="I775" s="19" t="s">
        <v>58</v>
      </c>
      <c r="J775" s="20">
        <v>45874</v>
      </c>
      <c r="K775" s="20">
        <v>45905</v>
      </c>
      <c r="L775" s="21">
        <v>1000000</v>
      </c>
      <c r="M775" s="22">
        <f t="shared" si="681"/>
        <v>580000</v>
      </c>
      <c r="N775" s="23">
        <v>0</v>
      </c>
      <c r="O775" s="23">
        <v>580000</v>
      </c>
      <c r="P775" s="24">
        <f t="shared" si="682"/>
        <v>1000000</v>
      </c>
      <c r="Q775" s="25">
        <v>400000</v>
      </c>
      <c r="R775" s="26">
        <v>50000</v>
      </c>
      <c r="S775" s="91">
        <f t="shared" si="683"/>
        <v>20</v>
      </c>
      <c r="T775" s="91">
        <f t="shared" si="684"/>
        <v>8</v>
      </c>
      <c r="U775" s="27" t="s">
        <v>193</v>
      </c>
      <c r="V775" s="30" t="s">
        <v>59</v>
      </c>
      <c r="W775" s="31">
        <v>45894</v>
      </c>
      <c r="X775" s="22"/>
      <c r="Y775" s="19" t="s">
        <v>52</v>
      </c>
      <c r="Z775" s="19" t="s">
        <v>52</v>
      </c>
      <c r="AA775" s="19" t="s">
        <v>52</v>
      </c>
      <c r="AB775" s="28"/>
    </row>
    <row r="776" spans="1:33" s="29" customFormat="1" ht="15" customHeight="1" x14ac:dyDescent="0.25">
      <c r="A776" s="14">
        <v>7</v>
      </c>
      <c r="B776" s="15">
        <v>45897</v>
      </c>
      <c r="C776" s="15">
        <f t="shared" ref="C776" si="685">B776+8</f>
        <v>45905</v>
      </c>
      <c r="D776" s="14">
        <v>13361</v>
      </c>
      <c r="E776" s="16" t="s">
        <v>761</v>
      </c>
      <c r="F776" s="17" t="s">
        <v>467</v>
      </c>
      <c r="G776" s="17" t="s">
        <v>102</v>
      </c>
      <c r="H776" s="18" t="s">
        <v>57</v>
      </c>
      <c r="I776" s="19" t="s">
        <v>58</v>
      </c>
      <c r="J776" s="20">
        <v>45874</v>
      </c>
      <c r="K776" s="20">
        <v>45905</v>
      </c>
      <c r="L776" s="21">
        <v>1000000</v>
      </c>
      <c r="M776" s="22">
        <f t="shared" ref="M776" si="686">SUM(N776:O776)</f>
        <v>580000</v>
      </c>
      <c r="N776" s="23">
        <v>0</v>
      </c>
      <c r="O776" s="23">
        <v>580000</v>
      </c>
      <c r="P776" s="24">
        <f t="shared" ref="P776" si="687">L776-N776</f>
        <v>1000000</v>
      </c>
      <c r="Q776" s="25">
        <v>200000</v>
      </c>
      <c r="R776" s="26">
        <v>50000</v>
      </c>
      <c r="S776" s="91">
        <f t="shared" si="683"/>
        <v>20</v>
      </c>
      <c r="T776" s="91">
        <f t="shared" si="684"/>
        <v>4</v>
      </c>
      <c r="U776" s="27" t="s">
        <v>192</v>
      </c>
      <c r="V776" s="30" t="s">
        <v>59</v>
      </c>
      <c r="W776" s="31">
        <v>45894</v>
      </c>
      <c r="X776" s="22"/>
      <c r="Y776" s="19" t="s">
        <v>52</v>
      </c>
      <c r="Z776" s="19" t="s">
        <v>52</v>
      </c>
      <c r="AA776" s="19" t="s">
        <v>52</v>
      </c>
      <c r="AB776" s="28"/>
    </row>
    <row r="777" spans="1:33" ht="15" customHeight="1" x14ac:dyDescent="0.25">
      <c r="A777" s="33" t="s">
        <v>71</v>
      </c>
      <c r="B777" s="34"/>
      <c r="C777" s="34"/>
      <c r="D777" s="34"/>
      <c r="E777" s="34"/>
      <c r="F777" s="35"/>
      <c r="G777" s="35"/>
      <c r="H777" s="34"/>
      <c r="I777" s="34"/>
      <c r="J777" s="34"/>
      <c r="K777" s="34"/>
      <c r="L777" s="36"/>
      <c r="M777" s="36"/>
      <c r="N777" s="36"/>
      <c r="O777" s="36"/>
      <c r="P777" s="36"/>
      <c r="Q777" s="36">
        <f>SUM(Q772:Q776)</f>
        <v>1488000</v>
      </c>
      <c r="R777" s="36"/>
      <c r="S777" s="92"/>
      <c r="T777" s="93">
        <f>SUM(T772:T776)</f>
        <v>22.571428571428569</v>
      </c>
      <c r="U777" s="37"/>
      <c r="V777" s="38"/>
      <c r="W777" s="38"/>
      <c r="X777" s="38"/>
      <c r="Y777" s="34"/>
      <c r="Z777" s="34"/>
      <c r="AA777" s="39"/>
      <c r="AB777" s="29" t="s">
        <v>792</v>
      </c>
      <c r="AC777" s="81" t="s">
        <v>896</v>
      </c>
      <c r="AD777" s="83">
        <v>4791.67</v>
      </c>
      <c r="AF777" s="83">
        <v>0</v>
      </c>
      <c r="AG777" s="83">
        <f>SUM(AD777,AF777)</f>
        <v>4791.67</v>
      </c>
    </row>
    <row r="778" spans="1:33" s="29" customFormat="1" ht="15" customHeight="1" x14ac:dyDescent="0.25">
      <c r="A778" s="14">
        <v>1</v>
      </c>
      <c r="B778" s="15">
        <v>45898</v>
      </c>
      <c r="C778" s="15">
        <f t="shared" ref="C778" si="688">B778+8</f>
        <v>45906</v>
      </c>
      <c r="D778" s="14">
        <v>13364</v>
      </c>
      <c r="E778" s="16" t="s">
        <v>756</v>
      </c>
      <c r="F778" s="17" t="s">
        <v>483</v>
      </c>
      <c r="G778" s="17" t="s">
        <v>47</v>
      </c>
      <c r="H778" s="18" t="s">
        <v>57</v>
      </c>
      <c r="I778" s="19" t="s">
        <v>58</v>
      </c>
      <c r="J778" s="20">
        <v>45873</v>
      </c>
      <c r="K778" s="20">
        <v>45905</v>
      </c>
      <c r="L778" s="21">
        <v>1500000</v>
      </c>
      <c r="M778" s="22">
        <f t="shared" ref="M778:M782" si="689">SUM(N778:O778)</f>
        <v>1507000</v>
      </c>
      <c r="N778" s="23">
        <v>850000</v>
      </c>
      <c r="O778" s="23">
        <v>657000</v>
      </c>
      <c r="P778" s="24">
        <f t="shared" ref="P778" si="690">L778-N778</f>
        <v>650000</v>
      </c>
      <c r="Q778" s="25">
        <v>350000</v>
      </c>
      <c r="R778" s="26">
        <v>50000</v>
      </c>
      <c r="S778" s="91">
        <f t="shared" ref="S778:S782" si="691">IF(P778&gt;0,P778/$R778,0)</f>
        <v>13</v>
      </c>
      <c r="T778" s="91">
        <f t="shared" ref="T778:T782" si="692">IF(Q778&gt;0,Q778/$R778,0)</f>
        <v>7</v>
      </c>
      <c r="U778" s="27" t="s">
        <v>192</v>
      </c>
      <c r="V778" s="19" t="s">
        <v>51</v>
      </c>
      <c r="W778" s="20">
        <v>45880</v>
      </c>
      <c r="X778" s="22"/>
      <c r="Y778" s="19" t="s">
        <v>52</v>
      </c>
      <c r="Z778" s="19" t="s">
        <v>52</v>
      </c>
      <c r="AA778" s="19" t="s">
        <v>52</v>
      </c>
      <c r="AB778" s="42"/>
    </row>
    <row r="779" spans="1:33" s="29" customFormat="1" ht="15" customHeight="1" x14ac:dyDescent="0.25">
      <c r="A779" s="14">
        <v>1</v>
      </c>
      <c r="B779" s="15">
        <v>45898</v>
      </c>
      <c r="C779" s="15">
        <f t="shared" ref="C779:C782" si="693">B779+8</f>
        <v>45906</v>
      </c>
      <c r="D779" s="14">
        <v>13364</v>
      </c>
      <c r="E779" s="16" t="s">
        <v>756</v>
      </c>
      <c r="F779" s="17" t="s">
        <v>483</v>
      </c>
      <c r="G779" s="17" t="s">
        <v>47</v>
      </c>
      <c r="H779" s="18" t="s">
        <v>57</v>
      </c>
      <c r="I779" s="19" t="s">
        <v>58</v>
      </c>
      <c r="J779" s="20">
        <v>45873</v>
      </c>
      <c r="K779" s="20">
        <v>45905</v>
      </c>
      <c r="L779" s="21">
        <v>1500000</v>
      </c>
      <c r="M779" s="22">
        <f t="shared" si="689"/>
        <v>1507000</v>
      </c>
      <c r="N779" s="23">
        <v>850000</v>
      </c>
      <c r="O779" s="23">
        <v>657000</v>
      </c>
      <c r="P779" s="24">
        <f t="shared" ref="P779:P782" si="694">L779-N779</f>
        <v>650000</v>
      </c>
      <c r="Q779" s="25">
        <v>300000</v>
      </c>
      <c r="R779" s="26">
        <v>50000</v>
      </c>
      <c r="S779" s="91">
        <f t="shared" si="691"/>
        <v>13</v>
      </c>
      <c r="T779" s="91">
        <f t="shared" si="692"/>
        <v>6</v>
      </c>
      <c r="U779" s="27" t="s">
        <v>193</v>
      </c>
      <c r="V779" s="19" t="s">
        <v>51</v>
      </c>
      <c r="W779" s="20">
        <v>45880</v>
      </c>
      <c r="X779" s="22"/>
      <c r="Y779" s="19" t="s">
        <v>52</v>
      </c>
      <c r="Z779" s="19" t="s">
        <v>52</v>
      </c>
      <c r="AA779" s="19" t="s">
        <v>52</v>
      </c>
      <c r="AB779" s="42"/>
    </row>
    <row r="780" spans="1:33" s="29" customFormat="1" ht="15" customHeight="1" x14ac:dyDescent="0.25">
      <c r="A780" s="14">
        <v>7</v>
      </c>
      <c r="B780" s="15">
        <v>45898</v>
      </c>
      <c r="C780" s="15">
        <f>B780+8</f>
        <v>45906</v>
      </c>
      <c r="D780" s="14">
        <v>13361</v>
      </c>
      <c r="E780" s="16" t="s">
        <v>761</v>
      </c>
      <c r="F780" s="17" t="s">
        <v>467</v>
      </c>
      <c r="G780" s="17" t="s">
        <v>102</v>
      </c>
      <c r="H780" s="18" t="s">
        <v>57</v>
      </c>
      <c r="I780" s="19" t="s">
        <v>58</v>
      </c>
      <c r="J780" s="20">
        <v>45874</v>
      </c>
      <c r="K780" s="20">
        <v>45905</v>
      </c>
      <c r="L780" s="21">
        <v>1000000</v>
      </c>
      <c r="M780" s="22">
        <f>SUM(N780:O780)</f>
        <v>580000</v>
      </c>
      <c r="N780" s="23">
        <v>0</v>
      </c>
      <c r="O780" s="23">
        <v>580000</v>
      </c>
      <c r="P780" s="24">
        <f>L780-N780</f>
        <v>1000000</v>
      </c>
      <c r="Q780" s="25">
        <v>250000</v>
      </c>
      <c r="R780" s="26">
        <v>50000</v>
      </c>
      <c r="S780" s="91">
        <f t="shared" si="691"/>
        <v>20</v>
      </c>
      <c r="T780" s="91">
        <f t="shared" si="692"/>
        <v>5</v>
      </c>
      <c r="U780" s="27" t="s">
        <v>193</v>
      </c>
      <c r="V780" s="30" t="s">
        <v>59</v>
      </c>
      <c r="W780" s="31">
        <v>45894</v>
      </c>
      <c r="X780" s="22"/>
      <c r="Y780" s="19" t="s">
        <v>52</v>
      </c>
      <c r="Z780" s="19" t="s">
        <v>52</v>
      </c>
      <c r="AA780" s="19" t="s">
        <v>52</v>
      </c>
      <c r="AB780" s="28"/>
    </row>
    <row r="781" spans="1:33" s="29" customFormat="1" ht="15" customHeight="1" x14ac:dyDescent="0.25">
      <c r="A781" s="14">
        <v>9</v>
      </c>
      <c r="B781" s="15">
        <v>45898</v>
      </c>
      <c r="C781" s="15">
        <f t="shared" si="693"/>
        <v>45906</v>
      </c>
      <c r="D781" s="14">
        <v>13435</v>
      </c>
      <c r="E781" s="16" t="s">
        <v>774</v>
      </c>
      <c r="F781" s="40" t="s">
        <v>657</v>
      </c>
      <c r="G781" s="17" t="s">
        <v>75</v>
      </c>
      <c r="H781" s="18" t="s">
        <v>771</v>
      </c>
      <c r="I781" s="19" t="s">
        <v>94</v>
      </c>
      <c r="J781" s="20">
        <v>45883</v>
      </c>
      <c r="K781" s="20">
        <v>45925</v>
      </c>
      <c r="L781" s="21">
        <v>1500000</v>
      </c>
      <c r="M781" s="22">
        <f t="shared" si="689"/>
        <v>350000</v>
      </c>
      <c r="N781" s="23">
        <v>0</v>
      </c>
      <c r="O781" s="23">
        <v>350000</v>
      </c>
      <c r="P781" s="24">
        <f t="shared" si="694"/>
        <v>1500000</v>
      </c>
      <c r="Q781" s="25">
        <v>350000</v>
      </c>
      <c r="R781" s="26">
        <v>100000</v>
      </c>
      <c r="S781" s="91">
        <f t="shared" si="691"/>
        <v>15</v>
      </c>
      <c r="T781" s="91">
        <f t="shared" si="692"/>
        <v>3.5</v>
      </c>
      <c r="U781" s="27" t="s">
        <v>193</v>
      </c>
      <c r="V781" s="30" t="s">
        <v>59</v>
      </c>
      <c r="W781" s="31">
        <v>45908</v>
      </c>
      <c r="X781" s="22"/>
      <c r="Y781" s="19" t="s">
        <v>52</v>
      </c>
      <c r="Z781" s="19" t="s">
        <v>52</v>
      </c>
      <c r="AA781" s="19" t="s">
        <v>52</v>
      </c>
      <c r="AB781" s="28"/>
    </row>
    <row r="782" spans="1:33" s="29" customFormat="1" ht="15" customHeight="1" x14ac:dyDescent="0.25">
      <c r="A782" s="14">
        <v>4</v>
      </c>
      <c r="B782" s="15">
        <v>45898</v>
      </c>
      <c r="C782" s="15">
        <f t="shared" si="693"/>
        <v>45906</v>
      </c>
      <c r="D782" s="14">
        <v>13460</v>
      </c>
      <c r="E782" s="16" t="s">
        <v>787</v>
      </c>
      <c r="F782" s="17" t="s">
        <v>112</v>
      </c>
      <c r="G782" s="17" t="s">
        <v>102</v>
      </c>
      <c r="H782" s="18" t="s">
        <v>57</v>
      </c>
      <c r="I782" s="19" t="s">
        <v>94</v>
      </c>
      <c r="J782" s="20">
        <v>45889</v>
      </c>
      <c r="K782" s="20">
        <v>45903</v>
      </c>
      <c r="L782" s="21">
        <v>500000</v>
      </c>
      <c r="M782" s="22">
        <f t="shared" si="689"/>
        <v>450000</v>
      </c>
      <c r="N782" s="23">
        <v>200000</v>
      </c>
      <c r="O782" s="23">
        <v>250000</v>
      </c>
      <c r="P782" s="24">
        <f t="shared" si="694"/>
        <v>300000</v>
      </c>
      <c r="Q782" s="25">
        <v>50000</v>
      </c>
      <c r="R782" s="26">
        <v>50000</v>
      </c>
      <c r="S782" s="91">
        <f t="shared" si="691"/>
        <v>6</v>
      </c>
      <c r="T782" s="91">
        <f t="shared" si="692"/>
        <v>1</v>
      </c>
      <c r="U782" s="27" t="s">
        <v>193</v>
      </c>
      <c r="V782" s="19" t="s">
        <v>51</v>
      </c>
      <c r="W782" s="20">
        <v>45891</v>
      </c>
      <c r="X782" s="22"/>
      <c r="Y782" s="19" t="s">
        <v>52</v>
      </c>
      <c r="Z782" s="19" t="s">
        <v>52</v>
      </c>
      <c r="AA782" s="19" t="s">
        <v>52</v>
      </c>
      <c r="AB782" s="28"/>
    </row>
    <row r="783" spans="1:33" ht="15" customHeight="1" x14ac:dyDescent="0.25">
      <c r="A783" s="33" t="s">
        <v>71</v>
      </c>
      <c r="B783" s="34"/>
      <c r="C783" s="34"/>
      <c r="D783" s="34"/>
      <c r="E783" s="34"/>
      <c r="F783" s="35"/>
      <c r="G783" s="35"/>
      <c r="H783" s="34"/>
      <c r="I783" s="34"/>
      <c r="J783" s="34"/>
      <c r="K783" s="34"/>
      <c r="L783" s="36"/>
      <c r="M783" s="36"/>
      <c r="N783" s="36"/>
      <c r="O783" s="36"/>
      <c r="P783" s="36"/>
      <c r="Q783" s="36">
        <f>SUM(Q778:Q782)</f>
        <v>1300000</v>
      </c>
      <c r="R783" s="36"/>
      <c r="S783" s="92"/>
      <c r="T783" s="93">
        <f>SUM(T778:T782)</f>
        <v>22.5</v>
      </c>
      <c r="U783" s="37"/>
      <c r="V783" s="38"/>
      <c r="W783" s="38"/>
      <c r="X783" s="38"/>
      <c r="Y783" s="34"/>
      <c r="Z783" s="34"/>
      <c r="AA783" s="39"/>
      <c r="AB783" s="29" t="s">
        <v>793</v>
      </c>
      <c r="AC783" s="81" t="s">
        <v>803</v>
      </c>
      <c r="AD783" s="83">
        <v>5000</v>
      </c>
      <c r="AF783" s="83">
        <v>0</v>
      </c>
      <c r="AG783" s="83">
        <f>SUM(AD783,AF783)</f>
        <v>5000</v>
      </c>
    </row>
    <row r="784" spans="1:33" s="29" customFormat="1" ht="15" customHeight="1" x14ac:dyDescent="0.25">
      <c r="A784" s="14">
        <v>2</v>
      </c>
      <c r="B784" s="15">
        <v>45898</v>
      </c>
      <c r="C784" s="15">
        <f>B784+8</f>
        <v>45906</v>
      </c>
      <c r="D784" s="14">
        <v>13317</v>
      </c>
      <c r="E784" s="16" t="s">
        <v>737</v>
      </c>
      <c r="F784" s="17" t="s">
        <v>478</v>
      </c>
      <c r="G784" s="17" t="s">
        <v>102</v>
      </c>
      <c r="H784" s="18" t="s">
        <v>57</v>
      </c>
      <c r="I784" s="19" t="s">
        <v>58</v>
      </c>
      <c r="J784" s="20">
        <v>45861</v>
      </c>
      <c r="K784" s="20">
        <v>45888</v>
      </c>
      <c r="L784" s="21">
        <v>1000000</v>
      </c>
      <c r="M784" s="22">
        <f>SUM(N784:O784)</f>
        <v>300000</v>
      </c>
      <c r="N784" s="23">
        <v>48000</v>
      </c>
      <c r="O784" s="23">
        <v>252000</v>
      </c>
      <c r="P784" s="24">
        <f>L784-N784</f>
        <v>952000</v>
      </c>
      <c r="Q784" s="25">
        <v>252000</v>
      </c>
      <c r="R784" s="26">
        <v>48000</v>
      </c>
      <c r="S784" s="91">
        <f t="shared" ref="S784:S787" si="695">IF(P784&gt;0,P784/$R784,0)</f>
        <v>19.833333333333332</v>
      </c>
      <c r="T784" s="91">
        <f t="shared" ref="T784:T787" si="696">IF(Q784&gt;0,Q784/$R784,0)</f>
        <v>5.25</v>
      </c>
      <c r="U784" s="27" t="s">
        <v>193</v>
      </c>
      <c r="V784" s="19" t="s">
        <v>51</v>
      </c>
      <c r="W784" s="20">
        <v>45889</v>
      </c>
      <c r="X784" s="22"/>
      <c r="Y784" s="19" t="s">
        <v>52</v>
      </c>
      <c r="Z784" s="19" t="s">
        <v>52</v>
      </c>
      <c r="AA784" s="19" t="s">
        <v>52</v>
      </c>
      <c r="AB784" s="28"/>
    </row>
    <row r="785" spans="1:33" s="29" customFormat="1" ht="15" customHeight="1" x14ac:dyDescent="0.25">
      <c r="A785" s="14">
        <v>9</v>
      </c>
      <c r="B785" s="15">
        <v>45898</v>
      </c>
      <c r="C785" s="15">
        <f t="shared" ref="C785" si="697">B785+8</f>
        <v>45906</v>
      </c>
      <c r="D785" s="14">
        <v>13427</v>
      </c>
      <c r="E785" s="16" t="s">
        <v>109</v>
      </c>
      <c r="F785" s="17" t="s">
        <v>110</v>
      </c>
      <c r="G785" s="17" t="s">
        <v>102</v>
      </c>
      <c r="H785" s="18" t="s">
        <v>771</v>
      </c>
      <c r="I785" s="19" t="s">
        <v>94</v>
      </c>
      <c r="J785" s="20">
        <v>45883</v>
      </c>
      <c r="K785" s="20">
        <v>45917</v>
      </c>
      <c r="L785" s="21">
        <v>450000</v>
      </c>
      <c r="M785" s="22">
        <f t="shared" ref="M785" si="698">SUM(N785:O785)</f>
        <v>250000</v>
      </c>
      <c r="N785" s="23">
        <v>0</v>
      </c>
      <c r="O785" s="23">
        <v>250000</v>
      </c>
      <c r="P785" s="24">
        <f t="shared" ref="P785" si="699">L785-N785</f>
        <v>450000</v>
      </c>
      <c r="Q785" s="25">
        <v>200000</v>
      </c>
      <c r="R785" s="26">
        <v>50000</v>
      </c>
      <c r="S785" s="91">
        <f t="shared" si="695"/>
        <v>9</v>
      </c>
      <c r="T785" s="91">
        <f t="shared" si="696"/>
        <v>4</v>
      </c>
      <c r="U785" s="27" t="s">
        <v>193</v>
      </c>
      <c r="V785" s="30" t="s">
        <v>59</v>
      </c>
      <c r="W785" s="31">
        <v>45901</v>
      </c>
      <c r="X785" s="22"/>
      <c r="Y785" s="19" t="s">
        <v>52</v>
      </c>
      <c r="Z785" s="19" t="s">
        <v>52</v>
      </c>
      <c r="AA785" s="19" t="s">
        <v>52</v>
      </c>
      <c r="AB785" s="28"/>
    </row>
    <row r="786" spans="1:33" s="29" customFormat="1" ht="15" customHeight="1" x14ac:dyDescent="0.25">
      <c r="A786" s="14">
        <v>5</v>
      </c>
      <c r="B786" s="15">
        <v>45898</v>
      </c>
      <c r="C786" s="15">
        <f>B786+8</f>
        <v>45906</v>
      </c>
      <c r="D786" s="14">
        <v>13435</v>
      </c>
      <c r="E786" s="16" t="s">
        <v>774</v>
      </c>
      <c r="F786" s="40" t="s">
        <v>657</v>
      </c>
      <c r="G786" s="17" t="s">
        <v>75</v>
      </c>
      <c r="H786" s="18" t="s">
        <v>771</v>
      </c>
      <c r="I786" s="19" t="s">
        <v>94</v>
      </c>
      <c r="J786" s="20">
        <v>45883</v>
      </c>
      <c r="K786" s="20">
        <v>45925</v>
      </c>
      <c r="L786" s="21">
        <v>1500000</v>
      </c>
      <c r="M786" s="22">
        <f>SUM(N786:O786)</f>
        <v>1000000</v>
      </c>
      <c r="N786" s="23">
        <v>350000</v>
      </c>
      <c r="O786" s="23">
        <v>650000</v>
      </c>
      <c r="P786" s="24">
        <f>L786-N786</f>
        <v>1150000</v>
      </c>
      <c r="Q786" s="25">
        <v>650000</v>
      </c>
      <c r="R786" s="26">
        <v>100000</v>
      </c>
      <c r="S786" s="91">
        <f t="shared" si="695"/>
        <v>11.5</v>
      </c>
      <c r="T786" s="91">
        <f t="shared" si="696"/>
        <v>6.5</v>
      </c>
      <c r="U786" s="27" t="s">
        <v>193</v>
      </c>
      <c r="V786" s="30" t="s">
        <v>59</v>
      </c>
      <c r="W786" s="31">
        <v>45908</v>
      </c>
      <c r="X786" s="22"/>
      <c r="Y786" s="19" t="s">
        <v>52</v>
      </c>
      <c r="Z786" s="19" t="s">
        <v>52</v>
      </c>
      <c r="AA786" s="19" t="s">
        <v>52</v>
      </c>
      <c r="AB786" s="28"/>
    </row>
    <row r="787" spans="1:33" s="29" customFormat="1" ht="15" customHeight="1" x14ac:dyDescent="0.25">
      <c r="A787" s="14">
        <v>9</v>
      </c>
      <c r="B787" s="15">
        <v>45898</v>
      </c>
      <c r="C787" s="15">
        <f t="shared" ref="C787" si="700">B787+8</f>
        <v>45906</v>
      </c>
      <c r="D787" s="14">
        <v>13427</v>
      </c>
      <c r="E787" s="16" t="s">
        <v>109</v>
      </c>
      <c r="F787" s="17" t="s">
        <v>110</v>
      </c>
      <c r="G787" s="17" t="s">
        <v>102</v>
      </c>
      <c r="H787" s="18" t="s">
        <v>771</v>
      </c>
      <c r="I787" s="19" t="s">
        <v>94</v>
      </c>
      <c r="J787" s="20">
        <v>45883</v>
      </c>
      <c r="K787" s="20">
        <v>45917</v>
      </c>
      <c r="L787" s="21">
        <v>450000</v>
      </c>
      <c r="M787" s="22">
        <f t="shared" ref="M787" si="701">SUM(N787:O787)</f>
        <v>250000</v>
      </c>
      <c r="N787" s="23">
        <v>0</v>
      </c>
      <c r="O787" s="23">
        <v>250000</v>
      </c>
      <c r="P787" s="24">
        <f t="shared" ref="P787" si="702">L787-N787</f>
        <v>450000</v>
      </c>
      <c r="Q787" s="25">
        <v>50000</v>
      </c>
      <c r="R787" s="26">
        <v>50000</v>
      </c>
      <c r="S787" s="91">
        <f t="shared" si="695"/>
        <v>9</v>
      </c>
      <c r="T787" s="91">
        <f t="shared" si="696"/>
        <v>1</v>
      </c>
      <c r="U787" s="27" t="s">
        <v>192</v>
      </c>
      <c r="V787" s="30" t="s">
        <v>59</v>
      </c>
      <c r="W787" s="31">
        <v>45901</v>
      </c>
      <c r="X787" s="22"/>
      <c r="Y787" s="19" t="s">
        <v>52</v>
      </c>
      <c r="Z787" s="19" t="s">
        <v>52</v>
      </c>
      <c r="AA787" s="19" t="s">
        <v>52</v>
      </c>
      <c r="AB787" s="28"/>
    </row>
    <row r="788" spans="1:33" ht="15" customHeight="1" x14ac:dyDescent="0.25">
      <c r="A788" s="33" t="s">
        <v>71</v>
      </c>
      <c r="B788" s="34"/>
      <c r="C788" s="34"/>
      <c r="D788" s="34"/>
      <c r="E788" s="34"/>
      <c r="F788" s="35"/>
      <c r="G788" s="35"/>
      <c r="H788" s="34"/>
      <c r="I788" s="34"/>
      <c r="J788" s="34"/>
      <c r="K788" s="34"/>
      <c r="L788" s="36"/>
      <c r="M788" s="36"/>
      <c r="N788" s="36"/>
      <c r="O788" s="36"/>
      <c r="P788" s="36"/>
      <c r="Q788" s="36">
        <f>SUM(Q784:Q787)</f>
        <v>1152000</v>
      </c>
      <c r="R788" s="36"/>
      <c r="S788" s="92"/>
      <c r="T788" s="93">
        <f>SUM(T784:T787)</f>
        <v>16.75</v>
      </c>
      <c r="U788" s="37"/>
      <c r="V788" s="38"/>
      <c r="W788" s="38"/>
      <c r="X788" s="38"/>
      <c r="Y788" s="34"/>
      <c r="Z788" s="34"/>
      <c r="AA788" s="39"/>
      <c r="AB788" s="29" t="s">
        <v>794</v>
      </c>
      <c r="AC788" s="81" t="s">
        <v>897</v>
      </c>
      <c r="AD788" s="83">
        <v>3750</v>
      </c>
      <c r="AF788" s="83">
        <v>0</v>
      </c>
      <c r="AG788" s="83">
        <f>SUM(AD788,AF788)</f>
        <v>3750</v>
      </c>
    </row>
    <row r="789" spans="1:33" s="29" customFormat="1" ht="15" customHeight="1" x14ac:dyDescent="0.25">
      <c r="A789" s="14">
        <v>9</v>
      </c>
      <c r="B789" s="15">
        <v>45903</v>
      </c>
      <c r="C789" s="15">
        <f t="shared" ref="C789" si="703">B789+8</f>
        <v>45911</v>
      </c>
      <c r="D789" s="14">
        <v>13427</v>
      </c>
      <c r="E789" s="16" t="s">
        <v>109</v>
      </c>
      <c r="F789" s="17" t="s">
        <v>110</v>
      </c>
      <c r="G789" s="17" t="s">
        <v>102</v>
      </c>
      <c r="H789" s="18" t="s">
        <v>771</v>
      </c>
      <c r="I789" s="19" t="s">
        <v>94</v>
      </c>
      <c r="J789" s="20">
        <v>45883</v>
      </c>
      <c r="K789" s="20">
        <v>45917</v>
      </c>
      <c r="L789" s="21">
        <v>450000</v>
      </c>
      <c r="M789" s="22">
        <f t="shared" ref="M789" si="704">SUM(N789:O789)</f>
        <v>441000</v>
      </c>
      <c r="N789" s="23">
        <v>250000</v>
      </c>
      <c r="O789" s="23">
        <v>191000</v>
      </c>
      <c r="P789" s="24">
        <f t="shared" ref="P789" si="705">L789-N789</f>
        <v>200000</v>
      </c>
      <c r="Q789" s="25">
        <v>100000</v>
      </c>
      <c r="R789" s="26">
        <v>50000</v>
      </c>
      <c r="S789" s="91">
        <f t="shared" ref="S789:S795" si="706">IF(P789&gt;0,P789/$R789,0)</f>
        <v>4</v>
      </c>
      <c r="T789" s="91">
        <f t="shared" ref="T789:T795" si="707">IF(Q789&gt;0,Q789/$R789,0)</f>
        <v>2</v>
      </c>
      <c r="U789" s="27" t="s">
        <v>192</v>
      </c>
      <c r="V789" s="30" t="s">
        <v>59</v>
      </c>
      <c r="W789" s="31">
        <v>45901</v>
      </c>
      <c r="X789" s="22"/>
      <c r="Y789" s="19" t="s">
        <v>52</v>
      </c>
      <c r="Z789" s="19" t="s">
        <v>52</v>
      </c>
      <c r="AA789" s="19" t="s">
        <v>52</v>
      </c>
      <c r="AB789" s="28"/>
    </row>
    <row r="790" spans="1:33" s="29" customFormat="1" ht="15" customHeight="1" x14ac:dyDescent="0.25">
      <c r="A790" s="14">
        <v>2</v>
      </c>
      <c r="B790" s="15">
        <v>45903</v>
      </c>
      <c r="C790" s="15">
        <f>B790+8</f>
        <v>45911</v>
      </c>
      <c r="D790" s="14">
        <v>13317</v>
      </c>
      <c r="E790" s="16" t="s">
        <v>737</v>
      </c>
      <c r="F790" s="17" t="s">
        <v>478</v>
      </c>
      <c r="G790" s="17" t="s">
        <v>102</v>
      </c>
      <c r="H790" s="18" t="s">
        <v>57</v>
      </c>
      <c r="I790" s="19" t="s">
        <v>58</v>
      </c>
      <c r="J790" s="20">
        <v>45861</v>
      </c>
      <c r="K790" s="20">
        <v>45888</v>
      </c>
      <c r="L790" s="21">
        <v>1000000</v>
      </c>
      <c r="M790" s="22">
        <f>SUM(N790:O790)</f>
        <v>546000</v>
      </c>
      <c r="N790" s="23">
        <v>294000</v>
      </c>
      <c r="O790" s="23">
        <v>252000</v>
      </c>
      <c r="P790" s="24">
        <f>L790-N790</f>
        <v>706000</v>
      </c>
      <c r="Q790" s="25">
        <v>252000</v>
      </c>
      <c r="R790" s="26">
        <v>48000</v>
      </c>
      <c r="S790" s="91">
        <f t="shared" si="706"/>
        <v>14.708333333333334</v>
      </c>
      <c r="T790" s="91">
        <f t="shared" si="707"/>
        <v>5.25</v>
      </c>
      <c r="U790" s="27" t="s">
        <v>193</v>
      </c>
      <c r="V790" s="19" t="s">
        <v>51</v>
      </c>
      <c r="W790" s="20">
        <v>45889</v>
      </c>
      <c r="X790" s="22"/>
      <c r="Y790" s="19" t="s">
        <v>52</v>
      </c>
      <c r="Z790" s="19" t="s">
        <v>52</v>
      </c>
      <c r="AA790" s="19" t="s">
        <v>52</v>
      </c>
      <c r="AB790" s="28"/>
    </row>
    <row r="791" spans="1:33" s="29" customFormat="1" ht="15" customHeight="1" x14ac:dyDescent="0.25">
      <c r="A791" s="14">
        <v>4</v>
      </c>
      <c r="B791" s="15">
        <v>45903</v>
      </c>
      <c r="C791" s="15">
        <f t="shared" ref="C791" si="708">B791+8</f>
        <v>45911</v>
      </c>
      <c r="D791" s="14">
        <v>13348</v>
      </c>
      <c r="E791" s="16" t="s">
        <v>342</v>
      </c>
      <c r="F791" s="40" t="s">
        <v>343</v>
      </c>
      <c r="G791" s="17" t="s">
        <v>75</v>
      </c>
      <c r="H791" s="18" t="s">
        <v>57</v>
      </c>
      <c r="I791" s="19" t="s">
        <v>94</v>
      </c>
      <c r="J791" s="20">
        <v>45867</v>
      </c>
      <c r="K791" s="20">
        <v>45895</v>
      </c>
      <c r="L791" s="21">
        <v>300000</v>
      </c>
      <c r="M791" s="22">
        <f t="shared" ref="M791:M795" si="709">SUM(N791:O791)</f>
        <v>210000</v>
      </c>
      <c r="N791" s="23">
        <v>90000</v>
      </c>
      <c r="O791" s="23">
        <v>120000</v>
      </c>
      <c r="P791" s="24">
        <f t="shared" ref="P791" si="710">L791-N791</f>
        <v>210000</v>
      </c>
      <c r="Q791" s="25">
        <v>120000</v>
      </c>
      <c r="R791" s="26">
        <v>150000</v>
      </c>
      <c r="S791" s="91">
        <f t="shared" si="706"/>
        <v>1.4</v>
      </c>
      <c r="T791" s="91">
        <f t="shared" si="707"/>
        <v>0.8</v>
      </c>
      <c r="U791" s="27" t="s">
        <v>193</v>
      </c>
      <c r="V791" s="19" t="s">
        <v>51</v>
      </c>
      <c r="W791" s="20">
        <v>45896</v>
      </c>
      <c r="X791" s="22"/>
      <c r="Y791" s="19" t="s">
        <v>52</v>
      </c>
      <c r="Z791" s="19" t="s">
        <v>52</v>
      </c>
      <c r="AA791" s="19" t="s">
        <v>52</v>
      </c>
      <c r="AB791" s="28"/>
    </row>
    <row r="792" spans="1:33" s="29" customFormat="1" ht="15" customHeight="1" x14ac:dyDescent="0.25">
      <c r="A792" s="14">
        <v>9</v>
      </c>
      <c r="B792" s="15">
        <v>45903</v>
      </c>
      <c r="C792" s="15">
        <f t="shared" ref="C792" si="711">B792+8</f>
        <v>45911</v>
      </c>
      <c r="D792" s="14">
        <v>13427</v>
      </c>
      <c r="E792" s="16" t="s">
        <v>109</v>
      </c>
      <c r="F792" s="17" t="s">
        <v>110</v>
      </c>
      <c r="G792" s="17" t="s">
        <v>102</v>
      </c>
      <c r="H792" s="18" t="s">
        <v>771</v>
      </c>
      <c r="I792" s="19" t="s">
        <v>94</v>
      </c>
      <c r="J792" s="20">
        <v>45883</v>
      </c>
      <c r="K792" s="20">
        <v>45917</v>
      </c>
      <c r="L792" s="21">
        <v>450000</v>
      </c>
      <c r="M792" s="22">
        <f t="shared" si="709"/>
        <v>441000</v>
      </c>
      <c r="N792" s="23">
        <v>250000</v>
      </c>
      <c r="O792" s="23">
        <v>191000</v>
      </c>
      <c r="P792" s="24">
        <f t="shared" ref="P792" si="712">L792-N792</f>
        <v>200000</v>
      </c>
      <c r="Q792" s="25">
        <v>91000</v>
      </c>
      <c r="R792" s="26">
        <v>50000</v>
      </c>
      <c r="S792" s="91">
        <f t="shared" si="706"/>
        <v>4</v>
      </c>
      <c r="T792" s="91">
        <f t="shared" si="707"/>
        <v>1.82</v>
      </c>
      <c r="U792" s="27" t="s">
        <v>193</v>
      </c>
      <c r="V792" s="30" t="s">
        <v>59</v>
      </c>
      <c r="W792" s="31">
        <v>45901</v>
      </c>
      <c r="X792" s="22"/>
      <c r="Y792" s="19" t="s">
        <v>52</v>
      </c>
      <c r="Z792" s="19" t="s">
        <v>52</v>
      </c>
      <c r="AA792" s="19" t="s">
        <v>52</v>
      </c>
      <c r="AB792" s="28"/>
    </row>
    <row r="793" spans="1:33" s="29" customFormat="1" ht="15" customHeight="1" x14ac:dyDescent="0.25">
      <c r="A793" s="14">
        <v>5</v>
      </c>
      <c r="B793" s="15">
        <v>45903</v>
      </c>
      <c r="C793" s="15">
        <f>B793+8</f>
        <v>45911</v>
      </c>
      <c r="D793" s="14">
        <v>13435</v>
      </c>
      <c r="E793" s="16" t="s">
        <v>774</v>
      </c>
      <c r="F793" s="40" t="s">
        <v>657</v>
      </c>
      <c r="G793" s="17" t="s">
        <v>75</v>
      </c>
      <c r="H793" s="18" t="s">
        <v>771</v>
      </c>
      <c r="I793" s="19" t="s">
        <v>94</v>
      </c>
      <c r="J793" s="20">
        <v>45883</v>
      </c>
      <c r="K793" s="20">
        <v>45925</v>
      </c>
      <c r="L793" s="21">
        <v>1500000</v>
      </c>
      <c r="M793" s="22">
        <f t="shared" si="709"/>
        <v>801000</v>
      </c>
      <c r="N793" s="23">
        <v>1000</v>
      </c>
      <c r="O793" s="23">
        <v>800000</v>
      </c>
      <c r="P793" s="24">
        <f>L793-N793</f>
        <v>1499000</v>
      </c>
      <c r="Q793" s="25">
        <v>500000</v>
      </c>
      <c r="R793" s="26">
        <v>100000</v>
      </c>
      <c r="S793" s="91">
        <f t="shared" si="706"/>
        <v>14.99</v>
      </c>
      <c r="T793" s="91">
        <f t="shared" si="707"/>
        <v>5</v>
      </c>
      <c r="U793" s="27" t="s">
        <v>193</v>
      </c>
      <c r="V793" s="30" t="s">
        <v>59</v>
      </c>
      <c r="W793" s="31">
        <v>45908</v>
      </c>
      <c r="X793" s="22"/>
      <c r="Y793" s="19" t="s">
        <v>52</v>
      </c>
      <c r="Z793" s="19" t="s">
        <v>52</v>
      </c>
      <c r="AA793" s="19" t="s">
        <v>52</v>
      </c>
      <c r="AB793" s="28"/>
    </row>
    <row r="794" spans="1:33" s="29" customFormat="1" ht="15" customHeight="1" x14ac:dyDescent="0.25">
      <c r="A794" s="14">
        <v>3</v>
      </c>
      <c r="B794" s="15">
        <v>45903</v>
      </c>
      <c r="C794" s="15">
        <f>B794+8</f>
        <v>45911</v>
      </c>
      <c r="D794" s="14">
        <v>13365</v>
      </c>
      <c r="E794" s="16" t="s">
        <v>753</v>
      </c>
      <c r="F794" s="17" t="s">
        <v>754</v>
      </c>
      <c r="G794" s="17" t="s">
        <v>102</v>
      </c>
      <c r="H794" s="18" t="s">
        <v>62</v>
      </c>
      <c r="I794" s="19" t="s">
        <v>63</v>
      </c>
      <c r="J794" s="20">
        <v>45870</v>
      </c>
      <c r="K794" s="20">
        <v>45901</v>
      </c>
      <c r="L794" s="21">
        <v>300000</v>
      </c>
      <c r="M794" s="22">
        <f t="shared" si="709"/>
        <v>100000</v>
      </c>
      <c r="N794" s="23">
        <v>0</v>
      </c>
      <c r="O794" s="23">
        <v>100000</v>
      </c>
      <c r="P794" s="24">
        <f>L794-N794</f>
        <v>300000</v>
      </c>
      <c r="Q794" s="25">
        <v>100000</v>
      </c>
      <c r="R794" s="26">
        <v>100000</v>
      </c>
      <c r="S794" s="91">
        <f t="shared" si="706"/>
        <v>3</v>
      </c>
      <c r="T794" s="91">
        <f t="shared" si="707"/>
        <v>1</v>
      </c>
      <c r="U794" s="27" t="s">
        <v>193</v>
      </c>
      <c r="V794" s="19" t="s">
        <v>51</v>
      </c>
      <c r="W794" s="20">
        <v>45892</v>
      </c>
      <c r="X794" s="22"/>
      <c r="Y794" s="19" t="s">
        <v>52</v>
      </c>
      <c r="Z794" s="19" t="s">
        <v>52</v>
      </c>
      <c r="AA794" s="19" t="s">
        <v>52</v>
      </c>
      <c r="AB794" s="28"/>
    </row>
    <row r="795" spans="1:33" s="29" customFormat="1" ht="15" customHeight="1" x14ac:dyDescent="0.25">
      <c r="A795" s="14">
        <v>8</v>
      </c>
      <c r="B795" s="15">
        <v>45903</v>
      </c>
      <c r="C795" s="15">
        <f t="shared" ref="C795" si="713">B795+8</f>
        <v>45911</v>
      </c>
      <c r="D795" s="14">
        <v>13383</v>
      </c>
      <c r="E795" s="16" t="s">
        <v>636</v>
      </c>
      <c r="F795" s="17" t="s">
        <v>637</v>
      </c>
      <c r="G795" s="17" t="s">
        <v>102</v>
      </c>
      <c r="H795" s="18" t="s">
        <v>542</v>
      </c>
      <c r="I795" s="19" t="s">
        <v>104</v>
      </c>
      <c r="J795" s="20">
        <v>45876</v>
      </c>
      <c r="K795" s="20">
        <v>45910</v>
      </c>
      <c r="L795" s="21">
        <v>100000</v>
      </c>
      <c r="M795" s="22">
        <f t="shared" si="709"/>
        <v>102000</v>
      </c>
      <c r="N795" s="23">
        <v>0</v>
      </c>
      <c r="O795" s="23">
        <v>102000</v>
      </c>
      <c r="P795" s="24">
        <f t="shared" ref="P795" si="714">L795-N795</f>
        <v>100000</v>
      </c>
      <c r="Q795" s="25">
        <v>102000</v>
      </c>
      <c r="R795" s="26">
        <v>63000</v>
      </c>
      <c r="S795" s="91">
        <f t="shared" si="706"/>
        <v>1.5873015873015872</v>
      </c>
      <c r="T795" s="91">
        <f t="shared" si="707"/>
        <v>1.6190476190476191</v>
      </c>
      <c r="U795" s="27" t="s">
        <v>193</v>
      </c>
      <c r="V795" s="30" t="s">
        <v>59</v>
      </c>
      <c r="W795" s="31">
        <v>45898</v>
      </c>
      <c r="X795" s="22"/>
      <c r="Y795" s="19" t="s">
        <v>52</v>
      </c>
      <c r="Z795" s="19" t="s">
        <v>52</v>
      </c>
      <c r="AA795" s="19" t="s">
        <v>52</v>
      </c>
      <c r="AB795" s="28"/>
    </row>
    <row r="796" spans="1:33" ht="15" customHeight="1" x14ac:dyDescent="0.25">
      <c r="A796" s="33" t="s">
        <v>71</v>
      </c>
      <c r="B796" s="34"/>
      <c r="C796" s="34"/>
      <c r="D796" s="34"/>
      <c r="E796" s="34"/>
      <c r="F796" s="35"/>
      <c r="G796" s="35"/>
      <c r="H796" s="34"/>
      <c r="I796" s="34"/>
      <c r="J796" s="34"/>
      <c r="K796" s="34"/>
      <c r="L796" s="36"/>
      <c r="M796" s="36"/>
      <c r="N796" s="36"/>
      <c r="O796" s="36"/>
      <c r="P796" s="36"/>
      <c r="Q796" s="36">
        <f>SUM(Q789:Q795)</f>
        <v>1265000</v>
      </c>
      <c r="R796" s="36"/>
      <c r="S796" s="92"/>
      <c r="T796" s="93">
        <f>SUM(T789:T795)</f>
        <v>17.489047619047621</v>
      </c>
      <c r="U796" s="37"/>
      <c r="V796" s="38"/>
      <c r="W796" s="38"/>
      <c r="X796" s="38"/>
      <c r="Y796" s="34"/>
      <c r="Z796" s="34"/>
      <c r="AA796" s="39"/>
      <c r="AB796" s="29" t="s">
        <v>795</v>
      </c>
      <c r="AC796" s="81" t="s">
        <v>898</v>
      </c>
      <c r="AD796" s="83">
        <v>3958.33</v>
      </c>
      <c r="AF796" s="83">
        <v>0</v>
      </c>
      <c r="AG796" s="83">
        <f>SUM(AD796,AF796)</f>
        <v>3958.33</v>
      </c>
    </row>
    <row r="797" spans="1:33" s="29" customFormat="1" ht="15" customHeight="1" x14ac:dyDescent="0.25">
      <c r="A797" s="14">
        <v>6</v>
      </c>
      <c r="B797" s="15">
        <v>45908</v>
      </c>
      <c r="C797" s="15">
        <f>B797+8</f>
        <v>45916</v>
      </c>
      <c r="D797" s="14">
        <v>13361</v>
      </c>
      <c r="E797" s="16" t="s">
        <v>761</v>
      </c>
      <c r="F797" s="17" t="s">
        <v>467</v>
      </c>
      <c r="G797" s="17" t="s">
        <v>102</v>
      </c>
      <c r="H797" s="18" t="s">
        <v>57</v>
      </c>
      <c r="I797" s="19" t="s">
        <v>58</v>
      </c>
      <c r="J797" s="20">
        <v>45874</v>
      </c>
      <c r="K797" s="20">
        <v>45905</v>
      </c>
      <c r="L797" s="21">
        <v>1000000</v>
      </c>
      <c r="M797" s="22">
        <f>SUM(N797:O797)</f>
        <v>1134000</v>
      </c>
      <c r="N797" s="23">
        <v>850000</v>
      </c>
      <c r="O797" s="23">
        <v>284000</v>
      </c>
      <c r="P797" s="24">
        <f>L797-N797</f>
        <v>150000</v>
      </c>
      <c r="Q797" s="25">
        <v>284000</v>
      </c>
      <c r="R797" s="26">
        <v>50000</v>
      </c>
      <c r="S797" s="91">
        <f t="shared" ref="S797:S803" si="715">IF(P797&gt;0,P797/$R797,0)</f>
        <v>3</v>
      </c>
      <c r="T797" s="91">
        <f t="shared" ref="T797:T803" si="716">IF(Q797&gt;0,Q797/$R797,0)</f>
        <v>5.68</v>
      </c>
      <c r="U797" s="27" t="s">
        <v>192</v>
      </c>
      <c r="V797" s="19" t="s">
        <v>51</v>
      </c>
      <c r="W797" s="20">
        <v>45894</v>
      </c>
      <c r="X797" s="22"/>
      <c r="Y797" s="19" t="s">
        <v>52</v>
      </c>
      <c r="Z797" s="19" t="s">
        <v>52</v>
      </c>
      <c r="AA797" s="19" t="s">
        <v>52</v>
      </c>
      <c r="AB797" s="28"/>
    </row>
    <row r="798" spans="1:33" s="29" customFormat="1" ht="15" customHeight="1" x14ac:dyDescent="0.25">
      <c r="A798" s="14">
        <v>2</v>
      </c>
      <c r="B798" s="15">
        <v>45908</v>
      </c>
      <c r="C798" s="15">
        <f t="shared" ref="C798:C804" si="717">B798+8</f>
        <v>45916</v>
      </c>
      <c r="D798" s="14">
        <v>13236</v>
      </c>
      <c r="E798" s="16" t="s">
        <v>717</v>
      </c>
      <c r="F798" s="40" t="s">
        <v>80</v>
      </c>
      <c r="G798" s="17" t="s">
        <v>75</v>
      </c>
      <c r="H798" s="18" t="s">
        <v>57</v>
      </c>
      <c r="I798" s="19" t="s">
        <v>58</v>
      </c>
      <c r="J798" s="20">
        <v>45847</v>
      </c>
      <c r="K798" s="20">
        <v>45874</v>
      </c>
      <c r="L798" s="21">
        <v>600000</v>
      </c>
      <c r="M798" s="22">
        <f t="shared" ref="M798:M804" si="718">SUM(N798:O798)</f>
        <v>630000</v>
      </c>
      <c r="N798" s="23">
        <v>447000</v>
      </c>
      <c r="O798" s="23">
        <v>183000</v>
      </c>
      <c r="P798" s="24">
        <f t="shared" ref="P798:P804" si="719">L798-N798</f>
        <v>153000</v>
      </c>
      <c r="Q798" s="25">
        <v>183000</v>
      </c>
      <c r="R798" s="26">
        <v>150000</v>
      </c>
      <c r="S798" s="91">
        <f t="shared" si="715"/>
        <v>1.02</v>
      </c>
      <c r="T798" s="91">
        <f t="shared" si="716"/>
        <v>1.22</v>
      </c>
      <c r="U798" s="27" t="s">
        <v>192</v>
      </c>
      <c r="V798" s="19" t="s">
        <v>51</v>
      </c>
      <c r="W798" s="20">
        <v>45874</v>
      </c>
      <c r="X798" s="22"/>
      <c r="Y798" s="19" t="s">
        <v>52</v>
      </c>
      <c r="Z798" s="19" t="s">
        <v>52</v>
      </c>
      <c r="AA798" s="19" t="s">
        <v>52</v>
      </c>
      <c r="AB798" s="28"/>
    </row>
    <row r="799" spans="1:33" s="29" customFormat="1" ht="15" customHeight="1" x14ac:dyDescent="0.25">
      <c r="A799" s="14">
        <v>8</v>
      </c>
      <c r="B799" s="15">
        <v>45908</v>
      </c>
      <c r="C799" s="15">
        <f>B799+8</f>
        <v>45916</v>
      </c>
      <c r="D799" s="14">
        <v>13397</v>
      </c>
      <c r="E799" s="16" t="s">
        <v>767</v>
      </c>
      <c r="F799" s="17" t="s">
        <v>768</v>
      </c>
      <c r="G799" s="17" t="s">
        <v>132</v>
      </c>
      <c r="H799" s="18" t="s">
        <v>78</v>
      </c>
      <c r="I799" s="19" t="s">
        <v>79</v>
      </c>
      <c r="J799" s="20">
        <v>45882</v>
      </c>
      <c r="K799" s="20">
        <v>45905</v>
      </c>
      <c r="L799" s="21">
        <v>200000</v>
      </c>
      <c r="M799" s="22">
        <f t="shared" si="718"/>
        <v>51420</v>
      </c>
      <c r="N799" s="23">
        <v>0</v>
      </c>
      <c r="O799" s="23">
        <v>51420</v>
      </c>
      <c r="P799" s="24">
        <f>L799-N799</f>
        <v>200000</v>
      </c>
      <c r="Q799" s="25">
        <v>51420</v>
      </c>
      <c r="R799" s="26">
        <v>205680</v>
      </c>
      <c r="S799" s="91">
        <f t="shared" si="715"/>
        <v>0.9723842862699339</v>
      </c>
      <c r="T799" s="91">
        <f t="shared" si="716"/>
        <v>0.25</v>
      </c>
      <c r="U799" s="27" t="s">
        <v>56</v>
      </c>
      <c r="V799" s="30" t="s">
        <v>59</v>
      </c>
      <c r="W799" s="31">
        <v>45906</v>
      </c>
      <c r="X799" s="22"/>
      <c r="Y799" s="19" t="s">
        <v>52</v>
      </c>
      <c r="Z799" s="19" t="s">
        <v>52</v>
      </c>
      <c r="AA799" s="19" t="s">
        <v>52</v>
      </c>
      <c r="AB799" s="28"/>
    </row>
    <row r="800" spans="1:33" s="29" customFormat="1" ht="15" customHeight="1" x14ac:dyDescent="0.25">
      <c r="A800" s="14">
        <v>2</v>
      </c>
      <c r="B800" s="15">
        <v>45908</v>
      </c>
      <c r="C800" s="15">
        <f>B800+8</f>
        <v>45916</v>
      </c>
      <c r="D800" s="14">
        <v>13317</v>
      </c>
      <c r="E800" s="16" t="s">
        <v>737</v>
      </c>
      <c r="F800" s="17" t="s">
        <v>478</v>
      </c>
      <c r="G800" s="17" t="s">
        <v>102</v>
      </c>
      <c r="H800" s="18" t="s">
        <v>57</v>
      </c>
      <c r="I800" s="19" t="s">
        <v>58</v>
      </c>
      <c r="J800" s="20">
        <v>45861</v>
      </c>
      <c r="K800" s="20">
        <v>45888</v>
      </c>
      <c r="L800" s="21">
        <v>1000000</v>
      </c>
      <c r="M800" s="22">
        <f t="shared" si="718"/>
        <v>882000</v>
      </c>
      <c r="N800" s="23">
        <v>546000</v>
      </c>
      <c r="O800" s="23">
        <v>336000</v>
      </c>
      <c r="P800" s="24">
        <f>L800-N800</f>
        <v>454000</v>
      </c>
      <c r="Q800" s="25">
        <v>336000</v>
      </c>
      <c r="R800" s="26">
        <v>48000</v>
      </c>
      <c r="S800" s="91">
        <f t="shared" si="715"/>
        <v>9.4583333333333339</v>
      </c>
      <c r="T800" s="91">
        <f t="shared" si="716"/>
        <v>7</v>
      </c>
      <c r="U800" s="27" t="s">
        <v>193</v>
      </c>
      <c r="V800" s="19" t="s">
        <v>51</v>
      </c>
      <c r="W800" s="20">
        <v>45889</v>
      </c>
      <c r="X800" s="22"/>
      <c r="Y800" s="19" t="s">
        <v>52</v>
      </c>
      <c r="Z800" s="19" t="s">
        <v>52</v>
      </c>
      <c r="AA800" s="19" t="s">
        <v>52</v>
      </c>
      <c r="AB800" s="28"/>
    </row>
    <row r="801" spans="1:33" s="29" customFormat="1" ht="15" customHeight="1" x14ac:dyDescent="0.25">
      <c r="A801" s="14">
        <v>5</v>
      </c>
      <c r="B801" s="15">
        <v>45908</v>
      </c>
      <c r="C801" s="15">
        <f>B801+8</f>
        <v>45916</v>
      </c>
      <c r="D801" s="14">
        <v>13369</v>
      </c>
      <c r="E801" s="16" t="s">
        <v>130</v>
      </c>
      <c r="F801" s="17" t="s">
        <v>250</v>
      </c>
      <c r="G801" s="17" t="s">
        <v>102</v>
      </c>
      <c r="H801" s="18" t="s">
        <v>542</v>
      </c>
      <c r="I801" s="19" t="s">
        <v>70</v>
      </c>
      <c r="J801" s="20">
        <v>45873</v>
      </c>
      <c r="K801" s="20">
        <v>45905</v>
      </c>
      <c r="L801" s="21">
        <v>500000</v>
      </c>
      <c r="M801" s="22">
        <f t="shared" si="718"/>
        <v>580000</v>
      </c>
      <c r="N801" s="23">
        <v>300000</v>
      </c>
      <c r="O801" s="23">
        <v>280000</v>
      </c>
      <c r="P801" s="24">
        <f>L801-N801</f>
        <v>200000</v>
      </c>
      <c r="Q801" s="25">
        <v>280000</v>
      </c>
      <c r="R801" s="26">
        <v>50000</v>
      </c>
      <c r="S801" s="91">
        <f t="shared" si="715"/>
        <v>4</v>
      </c>
      <c r="T801" s="91">
        <f t="shared" si="716"/>
        <v>5.6</v>
      </c>
      <c r="U801" s="27" t="s">
        <v>193</v>
      </c>
      <c r="V801" s="19" t="s">
        <v>51</v>
      </c>
      <c r="W801" s="20">
        <v>45891</v>
      </c>
      <c r="X801" s="22"/>
      <c r="Y801" s="19" t="s">
        <v>52</v>
      </c>
      <c r="Z801" s="19" t="s">
        <v>52</v>
      </c>
      <c r="AA801" s="19" t="s">
        <v>52</v>
      </c>
      <c r="AB801" s="28"/>
    </row>
    <row r="802" spans="1:33" s="29" customFormat="1" ht="15" customHeight="1" x14ac:dyDescent="0.25">
      <c r="A802" s="14">
        <v>5</v>
      </c>
      <c r="B802" s="15">
        <v>45908</v>
      </c>
      <c r="C802" s="15">
        <f>B802+8</f>
        <v>45916</v>
      </c>
      <c r="D802" s="14">
        <v>13428</v>
      </c>
      <c r="E802" s="16" t="s">
        <v>76</v>
      </c>
      <c r="F802" s="40" t="s">
        <v>77</v>
      </c>
      <c r="G802" s="17" t="s">
        <v>75</v>
      </c>
      <c r="H802" s="18" t="s">
        <v>62</v>
      </c>
      <c r="I802" s="19" t="s">
        <v>63</v>
      </c>
      <c r="J802" s="20">
        <v>45883</v>
      </c>
      <c r="K802" s="20">
        <v>45911</v>
      </c>
      <c r="L802" s="21">
        <v>500000</v>
      </c>
      <c r="M802" s="22">
        <f t="shared" si="718"/>
        <v>570000</v>
      </c>
      <c r="N802" s="23">
        <v>0</v>
      </c>
      <c r="O802" s="23">
        <v>570000</v>
      </c>
      <c r="P802" s="24">
        <f>L802-N802</f>
        <v>500000</v>
      </c>
      <c r="Q802" s="25">
        <v>450000</v>
      </c>
      <c r="R802" s="26">
        <v>150000</v>
      </c>
      <c r="S802" s="91">
        <f t="shared" si="715"/>
        <v>3.3333333333333335</v>
      </c>
      <c r="T802" s="91">
        <f t="shared" si="716"/>
        <v>3</v>
      </c>
      <c r="U802" s="27" t="s">
        <v>193</v>
      </c>
      <c r="V802" s="19" t="s">
        <v>51</v>
      </c>
      <c r="W802" s="20">
        <v>45899</v>
      </c>
      <c r="X802" s="22"/>
      <c r="Y802" s="19" t="s">
        <v>52</v>
      </c>
      <c r="Z802" s="19" t="s">
        <v>52</v>
      </c>
      <c r="AA802" s="19" t="s">
        <v>52</v>
      </c>
      <c r="AB802" s="28"/>
    </row>
    <row r="803" spans="1:33" s="29" customFormat="1" ht="15" customHeight="1" x14ac:dyDescent="0.25">
      <c r="A803" s="14">
        <v>4</v>
      </c>
      <c r="B803" s="15">
        <v>45908</v>
      </c>
      <c r="C803" s="15">
        <f t="shared" si="717"/>
        <v>45916</v>
      </c>
      <c r="D803" s="14">
        <v>13423</v>
      </c>
      <c r="E803" s="16" t="s">
        <v>92</v>
      </c>
      <c r="F803" s="40" t="s">
        <v>93</v>
      </c>
      <c r="G803" s="17" t="s">
        <v>75</v>
      </c>
      <c r="H803" s="18" t="s">
        <v>57</v>
      </c>
      <c r="I803" s="19" t="s">
        <v>94</v>
      </c>
      <c r="J803" s="20">
        <v>45883</v>
      </c>
      <c r="K803" s="20">
        <v>45910</v>
      </c>
      <c r="L803" s="21">
        <v>750000</v>
      </c>
      <c r="M803" s="22">
        <f t="shared" si="718"/>
        <v>150000</v>
      </c>
      <c r="N803" s="23">
        <v>0</v>
      </c>
      <c r="O803" s="23">
        <v>150000</v>
      </c>
      <c r="P803" s="24">
        <f t="shared" si="719"/>
        <v>750000</v>
      </c>
      <c r="Q803" s="25">
        <v>150000</v>
      </c>
      <c r="R803" s="26">
        <v>150000</v>
      </c>
      <c r="S803" s="91">
        <f t="shared" si="715"/>
        <v>5</v>
      </c>
      <c r="T803" s="91">
        <f t="shared" si="716"/>
        <v>1</v>
      </c>
      <c r="U803" s="27" t="s">
        <v>193</v>
      </c>
      <c r="V803" s="30" t="s">
        <v>59</v>
      </c>
      <c r="W803" s="31">
        <v>45903</v>
      </c>
      <c r="X803" s="22"/>
      <c r="Y803" s="19" t="s">
        <v>52</v>
      </c>
      <c r="Z803" s="19" t="s">
        <v>52</v>
      </c>
      <c r="AA803" s="19" t="s">
        <v>52</v>
      </c>
      <c r="AB803" s="28"/>
    </row>
    <row r="804" spans="1:33" s="29" customFormat="1" ht="15" customHeight="1" x14ac:dyDescent="0.25">
      <c r="A804" s="14">
        <v>3</v>
      </c>
      <c r="B804" s="15">
        <v>45908</v>
      </c>
      <c r="C804" s="15">
        <f t="shared" si="717"/>
        <v>45916</v>
      </c>
      <c r="D804" s="14">
        <v>13365</v>
      </c>
      <c r="E804" s="16" t="s">
        <v>753</v>
      </c>
      <c r="F804" s="17" t="s">
        <v>754</v>
      </c>
      <c r="G804" s="17" t="s">
        <v>102</v>
      </c>
      <c r="H804" s="18" t="s">
        <v>62</v>
      </c>
      <c r="I804" s="19" t="s">
        <v>63</v>
      </c>
      <c r="J804" s="20">
        <v>45870</v>
      </c>
      <c r="K804" s="20">
        <v>45901</v>
      </c>
      <c r="L804" s="21">
        <v>300000</v>
      </c>
      <c r="M804" s="22">
        <f t="shared" si="718"/>
        <v>300000</v>
      </c>
      <c r="N804" s="23">
        <v>100000</v>
      </c>
      <c r="O804" s="23">
        <v>200000</v>
      </c>
      <c r="P804" s="24">
        <f t="shared" si="719"/>
        <v>200000</v>
      </c>
      <c r="Q804" s="25">
        <v>200000</v>
      </c>
      <c r="R804" s="26">
        <v>100000</v>
      </c>
      <c r="S804" s="91">
        <f t="shared" ref="S804" si="720">IF(P804&gt;0,P804/$R804,0)</f>
        <v>2</v>
      </c>
      <c r="T804" s="91">
        <f t="shared" ref="T804" si="721">IF(Q804&gt;0,Q804/$R804,0)</f>
        <v>2</v>
      </c>
      <c r="U804" s="27" t="s">
        <v>193</v>
      </c>
      <c r="V804" s="19" t="s">
        <v>51</v>
      </c>
      <c r="W804" s="20">
        <v>45892</v>
      </c>
      <c r="X804" s="22"/>
      <c r="Y804" s="19" t="s">
        <v>52</v>
      </c>
      <c r="Z804" s="19" t="s">
        <v>52</v>
      </c>
      <c r="AA804" s="19" t="s">
        <v>52</v>
      </c>
      <c r="AB804" s="28"/>
    </row>
    <row r="805" spans="1:33" ht="15" customHeight="1" x14ac:dyDescent="0.25">
      <c r="A805" s="33" t="s">
        <v>71</v>
      </c>
      <c r="B805" s="34"/>
      <c r="C805" s="34"/>
      <c r="D805" s="34"/>
      <c r="E805" s="34"/>
      <c r="F805" s="35"/>
      <c r="G805" s="35"/>
      <c r="H805" s="34"/>
      <c r="I805" s="34"/>
      <c r="J805" s="34"/>
      <c r="K805" s="34"/>
      <c r="L805" s="36"/>
      <c r="M805" s="36"/>
      <c r="N805" s="36"/>
      <c r="O805" s="36"/>
      <c r="P805" s="36"/>
      <c r="Q805" s="36">
        <f>SUM(Q797:Q804)</f>
        <v>1934420</v>
      </c>
      <c r="R805" s="36"/>
      <c r="S805" s="92"/>
      <c r="T805" s="93">
        <f>SUM(T797:T804)</f>
        <v>25.75</v>
      </c>
      <c r="U805" s="37"/>
      <c r="V805" s="38"/>
      <c r="W805" s="38"/>
      <c r="X805" s="38"/>
      <c r="Y805" s="34"/>
      <c r="Z805" s="34"/>
      <c r="AA805" s="39"/>
      <c r="AB805" s="29" t="s">
        <v>796</v>
      </c>
      <c r="AC805" s="81" t="s">
        <v>804</v>
      </c>
      <c r="AD805" s="83">
        <v>5000</v>
      </c>
      <c r="AF805" s="83">
        <v>0</v>
      </c>
      <c r="AG805" s="83">
        <f>SUM(AD805,AF805)</f>
        <v>5000</v>
      </c>
    </row>
    <row r="806" spans="1:33" s="29" customFormat="1" ht="15" customHeight="1" x14ac:dyDescent="0.25">
      <c r="A806" s="14">
        <v>3</v>
      </c>
      <c r="B806" s="15">
        <v>45909</v>
      </c>
      <c r="C806" s="15">
        <f t="shared" ref="C806:C807" si="722">B806+8</f>
        <v>45917</v>
      </c>
      <c r="D806" s="14">
        <v>13333</v>
      </c>
      <c r="E806" s="16" t="s">
        <v>740</v>
      </c>
      <c r="F806" s="17" t="s">
        <v>317</v>
      </c>
      <c r="G806" s="17" t="s">
        <v>132</v>
      </c>
      <c r="H806" s="18" t="s">
        <v>133</v>
      </c>
      <c r="I806" s="19" t="s">
        <v>198</v>
      </c>
      <c r="J806" s="20">
        <v>45866</v>
      </c>
      <c r="K806" s="20">
        <v>45884</v>
      </c>
      <c r="L806" s="21">
        <v>2000000</v>
      </c>
      <c r="M806" s="22">
        <f t="shared" ref="M806" si="723">SUM(N806:O806)</f>
        <v>23840</v>
      </c>
      <c r="N806" s="23">
        <v>0</v>
      </c>
      <c r="O806" s="23">
        <v>23840</v>
      </c>
      <c r="P806" s="24">
        <f>L806-N806</f>
        <v>2000000</v>
      </c>
      <c r="Q806" s="25">
        <v>128000</v>
      </c>
      <c r="R806" s="26">
        <v>128000</v>
      </c>
      <c r="S806" s="91">
        <f t="shared" ref="S806:S807" si="724">IF(P806&gt;0,P806/$R806,0)</f>
        <v>15.625</v>
      </c>
      <c r="T806" s="91">
        <f t="shared" ref="T806:T807" si="725">IF(Q806&gt;0,Q806/$R806,0)</f>
        <v>1</v>
      </c>
      <c r="U806" s="27" t="s">
        <v>56</v>
      </c>
      <c r="V806" s="30" t="s">
        <v>59</v>
      </c>
      <c r="W806" s="31">
        <v>45903</v>
      </c>
      <c r="X806" s="22"/>
      <c r="Y806" s="19" t="s">
        <v>52</v>
      </c>
      <c r="Z806" s="19" t="s">
        <v>52</v>
      </c>
      <c r="AA806" s="19" t="s">
        <v>52</v>
      </c>
      <c r="AB806" s="28"/>
    </row>
    <row r="807" spans="1:33" s="29" customFormat="1" ht="15" customHeight="1" x14ac:dyDescent="0.25">
      <c r="A807" s="14">
        <v>2</v>
      </c>
      <c r="B807" s="15">
        <v>45909</v>
      </c>
      <c r="C807" s="15">
        <f t="shared" si="722"/>
        <v>45917</v>
      </c>
      <c r="D807" s="14">
        <v>13454</v>
      </c>
      <c r="E807" s="16" t="s">
        <v>702</v>
      </c>
      <c r="F807" s="40" t="s">
        <v>703</v>
      </c>
      <c r="G807" s="17" t="s">
        <v>47</v>
      </c>
      <c r="H807" s="18" t="s">
        <v>542</v>
      </c>
      <c r="I807" s="19" t="s">
        <v>104</v>
      </c>
      <c r="J807" s="20">
        <v>45888</v>
      </c>
      <c r="K807" s="20">
        <v>45916</v>
      </c>
      <c r="L807" s="21">
        <v>1500000</v>
      </c>
      <c r="M807" s="22">
        <f t="shared" ref="M807" si="726">SUM(N807:O807)</f>
        <v>1533000</v>
      </c>
      <c r="N807" s="23">
        <v>0</v>
      </c>
      <c r="O807" s="23">
        <v>1533000</v>
      </c>
      <c r="P807" s="24">
        <f t="shared" ref="P807" si="727">L807-N807</f>
        <v>1500000</v>
      </c>
      <c r="Q807" s="25">
        <v>1512000</v>
      </c>
      <c r="R807" s="26">
        <v>94500</v>
      </c>
      <c r="S807" s="91">
        <f t="shared" si="724"/>
        <v>15.873015873015873</v>
      </c>
      <c r="T807" s="91">
        <f t="shared" si="725"/>
        <v>16</v>
      </c>
      <c r="U807" s="27" t="s">
        <v>193</v>
      </c>
      <c r="V807" s="19" t="s">
        <v>51</v>
      </c>
      <c r="W807" s="20">
        <v>45901</v>
      </c>
      <c r="X807" s="22"/>
      <c r="Y807" s="19" t="s">
        <v>52</v>
      </c>
      <c r="Z807" s="19" t="s">
        <v>52</v>
      </c>
      <c r="AA807" s="19" t="s">
        <v>52</v>
      </c>
      <c r="AB807" s="28"/>
    </row>
    <row r="808" spans="1:33" ht="15" customHeight="1" x14ac:dyDescent="0.25">
      <c r="A808" s="33" t="s">
        <v>71</v>
      </c>
      <c r="B808" s="34"/>
      <c r="C808" s="34"/>
      <c r="D808" s="34"/>
      <c r="E808" s="34"/>
      <c r="F808" s="35"/>
      <c r="G808" s="35"/>
      <c r="H808" s="34"/>
      <c r="I808" s="34"/>
      <c r="J808" s="34"/>
      <c r="K808" s="34"/>
      <c r="L808" s="36"/>
      <c r="M808" s="36"/>
      <c r="N808" s="36"/>
      <c r="O808" s="36"/>
      <c r="P808" s="36"/>
      <c r="Q808" s="36">
        <f>SUM(Q806:Q807)</f>
        <v>1640000</v>
      </c>
      <c r="R808" s="36"/>
      <c r="S808" s="92"/>
      <c r="T808" s="93">
        <f>SUM(T806:T807)</f>
        <v>17</v>
      </c>
      <c r="U808" s="37"/>
      <c r="V808" s="38"/>
      <c r="W808" s="38"/>
      <c r="X808" s="38"/>
      <c r="Y808" s="34"/>
      <c r="Z808" s="34"/>
      <c r="AA808" s="39"/>
      <c r="AB808" s="29" t="s">
        <v>805</v>
      </c>
      <c r="AC808" s="81" t="s">
        <v>1096</v>
      </c>
      <c r="AD808" s="83">
        <v>3541.67</v>
      </c>
      <c r="AF808" s="83">
        <v>0</v>
      </c>
      <c r="AG808" s="83">
        <f>SUM(AD808,AF808)</f>
        <v>3541.67</v>
      </c>
    </row>
    <row r="809" spans="1:33" s="29" customFormat="1" ht="15" customHeight="1" x14ac:dyDescent="0.25">
      <c r="A809" s="14">
        <v>1</v>
      </c>
      <c r="B809" s="15">
        <v>45912</v>
      </c>
      <c r="C809" s="15">
        <f>B809+8</f>
        <v>45920</v>
      </c>
      <c r="D809" s="14">
        <v>13354</v>
      </c>
      <c r="E809" s="16" t="s">
        <v>750</v>
      </c>
      <c r="F809" s="17" t="s">
        <v>751</v>
      </c>
      <c r="G809" s="17" t="s">
        <v>47</v>
      </c>
      <c r="H809" s="18" t="s">
        <v>62</v>
      </c>
      <c r="I809" s="19" t="s">
        <v>63</v>
      </c>
      <c r="J809" s="20">
        <v>45869</v>
      </c>
      <c r="K809" s="20">
        <v>45911</v>
      </c>
      <c r="L809" s="21">
        <v>2000000</v>
      </c>
      <c r="M809" s="22">
        <f>SUM(N809:O809)</f>
        <v>480000</v>
      </c>
      <c r="N809" s="23">
        <v>0</v>
      </c>
      <c r="O809" s="23">
        <v>480000</v>
      </c>
      <c r="P809" s="24">
        <f>L809-N809</f>
        <v>2000000</v>
      </c>
      <c r="Q809" s="25">
        <v>480000</v>
      </c>
      <c r="R809" s="26">
        <v>84000</v>
      </c>
      <c r="S809" s="91">
        <f t="shared" ref="S809:S815" si="728">IF(P809&gt;0,P809/$R809,0)</f>
        <v>23.80952380952381</v>
      </c>
      <c r="T809" s="91">
        <f t="shared" ref="T809:T815" si="729">IF(Q809&gt;0,Q809/$R809,0)</f>
        <v>5.7142857142857144</v>
      </c>
      <c r="U809" s="27" t="s">
        <v>192</v>
      </c>
      <c r="V809" s="30" t="s">
        <v>59</v>
      </c>
      <c r="W809" s="31">
        <v>45903</v>
      </c>
      <c r="X809" s="22"/>
      <c r="Y809" s="19" t="s">
        <v>52</v>
      </c>
      <c r="Z809" s="19" t="s">
        <v>52</v>
      </c>
      <c r="AA809" s="19" t="s">
        <v>52</v>
      </c>
      <c r="AB809" s="42"/>
    </row>
    <row r="810" spans="1:33" s="29" customFormat="1" ht="15" customHeight="1" x14ac:dyDescent="0.25">
      <c r="A810" s="14">
        <v>2</v>
      </c>
      <c r="B810" s="15">
        <v>45912</v>
      </c>
      <c r="C810" s="15">
        <f>B810+8</f>
        <v>45920</v>
      </c>
      <c r="D810" s="14">
        <v>13317</v>
      </c>
      <c r="E810" s="16" t="s">
        <v>737</v>
      </c>
      <c r="F810" s="17" t="s">
        <v>478</v>
      </c>
      <c r="G810" s="17" t="s">
        <v>102</v>
      </c>
      <c r="H810" s="18" t="s">
        <v>57</v>
      </c>
      <c r="I810" s="19" t="s">
        <v>58</v>
      </c>
      <c r="J810" s="20">
        <v>45861</v>
      </c>
      <c r="K810" s="20">
        <v>45888</v>
      </c>
      <c r="L810" s="21">
        <v>1000000</v>
      </c>
      <c r="M810" s="22">
        <f>SUM(N810:O810)</f>
        <v>364000</v>
      </c>
      <c r="N810" s="23">
        <v>0</v>
      </c>
      <c r="O810" s="23">
        <v>364000</v>
      </c>
      <c r="P810" s="24">
        <f>L810-N810</f>
        <v>1000000</v>
      </c>
      <c r="Q810" s="25">
        <v>364000</v>
      </c>
      <c r="R810" s="26">
        <v>48000</v>
      </c>
      <c r="S810" s="91">
        <f t="shared" si="728"/>
        <v>20.833333333333332</v>
      </c>
      <c r="T810" s="91">
        <f t="shared" si="729"/>
        <v>7.583333333333333</v>
      </c>
      <c r="U810" s="27" t="s">
        <v>193</v>
      </c>
      <c r="V810" s="19" t="s">
        <v>51</v>
      </c>
      <c r="W810" s="20">
        <v>45889</v>
      </c>
      <c r="X810" s="22"/>
      <c r="Y810" s="19" t="s">
        <v>52</v>
      </c>
      <c r="Z810" s="19" t="s">
        <v>52</v>
      </c>
      <c r="AA810" s="19" t="s">
        <v>52</v>
      </c>
      <c r="AB810" s="28"/>
    </row>
    <row r="811" spans="1:33" s="29" customFormat="1" ht="15" customHeight="1" x14ac:dyDescent="0.25">
      <c r="A811" s="14">
        <v>9</v>
      </c>
      <c r="B811" s="15">
        <v>45912</v>
      </c>
      <c r="C811" s="15">
        <f>B811+8</f>
        <v>45920</v>
      </c>
      <c r="D811" s="14">
        <v>13385</v>
      </c>
      <c r="E811" s="16" t="s">
        <v>312</v>
      </c>
      <c r="F811" s="17" t="s">
        <v>313</v>
      </c>
      <c r="G811" s="17" t="s">
        <v>102</v>
      </c>
      <c r="H811" s="18" t="s">
        <v>57</v>
      </c>
      <c r="I811" s="19" t="s">
        <v>94</v>
      </c>
      <c r="J811" s="20">
        <v>45876</v>
      </c>
      <c r="K811" s="20">
        <v>45901</v>
      </c>
      <c r="L811" s="21">
        <v>24000</v>
      </c>
      <c r="M811" s="22">
        <f>SUM(N811:O811)</f>
        <v>24000</v>
      </c>
      <c r="N811" s="23">
        <v>0</v>
      </c>
      <c r="O811" s="23">
        <v>24000</v>
      </c>
      <c r="P811" s="24">
        <f>L811-N811</f>
        <v>24000</v>
      </c>
      <c r="Q811" s="25">
        <v>27000</v>
      </c>
      <c r="R811" s="26">
        <v>50000</v>
      </c>
      <c r="S811" s="91">
        <f t="shared" si="728"/>
        <v>0.48</v>
      </c>
      <c r="T811" s="91">
        <f t="shared" si="729"/>
        <v>0.54</v>
      </c>
      <c r="U811" s="27" t="s">
        <v>193</v>
      </c>
      <c r="V811" s="30" t="s">
        <v>59</v>
      </c>
      <c r="W811" s="31">
        <v>45908</v>
      </c>
      <c r="X811" s="22"/>
      <c r="Y811" s="19" t="s">
        <v>52</v>
      </c>
      <c r="Z811" s="19" t="s">
        <v>52</v>
      </c>
      <c r="AA811" s="19" t="s">
        <v>52</v>
      </c>
      <c r="AB811" s="28"/>
    </row>
    <row r="812" spans="1:33" s="29" customFormat="1" ht="15" customHeight="1" x14ac:dyDescent="0.25">
      <c r="A812" s="14">
        <v>4</v>
      </c>
      <c r="B812" s="15">
        <v>45912</v>
      </c>
      <c r="C812" s="15">
        <f>B812+8</f>
        <v>45920</v>
      </c>
      <c r="D812" s="14">
        <v>13428</v>
      </c>
      <c r="E812" s="16" t="s">
        <v>76</v>
      </c>
      <c r="F812" s="40" t="s">
        <v>77</v>
      </c>
      <c r="G812" s="17" t="s">
        <v>75</v>
      </c>
      <c r="H812" s="18" t="s">
        <v>62</v>
      </c>
      <c r="I812" s="19" t="s">
        <v>63</v>
      </c>
      <c r="J812" s="20">
        <v>45883</v>
      </c>
      <c r="K812" s="20">
        <v>45911</v>
      </c>
      <c r="L812" s="21">
        <v>500000</v>
      </c>
      <c r="M812" s="22">
        <f>SUM(N812:O812)</f>
        <v>570000</v>
      </c>
      <c r="N812" s="23">
        <v>450000</v>
      </c>
      <c r="O812" s="23">
        <v>120000</v>
      </c>
      <c r="P812" s="24">
        <f>L812-N812</f>
        <v>50000</v>
      </c>
      <c r="Q812" s="25">
        <v>120000</v>
      </c>
      <c r="R812" s="26">
        <v>150000</v>
      </c>
      <c r="S812" s="91">
        <f t="shared" si="728"/>
        <v>0.33333333333333331</v>
      </c>
      <c r="T812" s="91">
        <f t="shared" si="729"/>
        <v>0.8</v>
      </c>
      <c r="U812" s="27" t="s">
        <v>193</v>
      </c>
      <c r="V812" s="19" t="s">
        <v>51</v>
      </c>
      <c r="W812" s="20">
        <v>45899</v>
      </c>
      <c r="X812" s="22"/>
      <c r="Y812" s="19" t="s">
        <v>52</v>
      </c>
      <c r="Z812" s="19" t="s">
        <v>52</v>
      </c>
      <c r="AA812" s="19" t="s">
        <v>52</v>
      </c>
      <c r="AB812" s="28"/>
    </row>
    <row r="813" spans="1:33" s="29" customFormat="1" ht="15" customHeight="1" x14ac:dyDescent="0.25">
      <c r="A813" s="14">
        <v>3</v>
      </c>
      <c r="B813" s="15">
        <v>45912</v>
      </c>
      <c r="C813" s="15">
        <f t="shared" ref="C813:C815" si="730">B813+8</f>
        <v>45920</v>
      </c>
      <c r="D813" s="14">
        <v>13423</v>
      </c>
      <c r="E813" s="16" t="s">
        <v>92</v>
      </c>
      <c r="F813" s="40" t="s">
        <v>93</v>
      </c>
      <c r="G813" s="17" t="s">
        <v>75</v>
      </c>
      <c r="H813" s="18" t="s">
        <v>57</v>
      </c>
      <c r="I813" s="19" t="s">
        <v>94</v>
      </c>
      <c r="J813" s="20">
        <v>45883</v>
      </c>
      <c r="K813" s="20">
        <v>45910</v>
      </c>
      <c r="L813" s="21">
        <v>750000</v>
      </c>
      <c r="M813" s="22">
        <f t="shared" ref="M813" si="731">SUM(N813:O813)</f>
        <v>759000</v>
      </c>
      <c r="N813" s="23">
        <v>150000</v>
      </c>
      <c r="O813" s="23">
        <v>609000</v>
      </c>
      <c r="P813" s="24">
        <f t="shared" ref="P813" si="732">L813-N813</f>
        <v>600000</v>
      </c>
      <c r="Q813" s="25">
        <v>609000</v>
      </c>
      <c r="R813" s="26">
        <v>150000</v>
      </c>
      <c r="S813" s="91">
        <f t="shared" si="728"/>
        <v>4</v>
      </c>
      <c r="T813" s="91">
        <f t="shared" si="729"/>
        <v>4.0599999999999996</v>
      </c>
      <c r="U813" s="27" t="s">
        <v>193</v>
      </c>
      <c r="V813" s="19" t="s">
        <v>51</v>
      </c>
      <c r="W813" s="20">
        <v>45903</v>
      </c>
      <c r="X813" s="22"/>
      <c r="Y813" s="19" t="s">
        <v>52</v>
      </c>
      <c r="Z813" s="19" t="s">
        <v>52</v>
      </c>
      <c r="AA813" s="19" t="s">
        <v>52</v>
      </c>
      <c r="AB813" s="28"/>
    </row>
    <row r="814" spans="1:33" s="29" customFormat="1" ht="15" customHeight="1" x14ac:dyDescent="0.25">
      <c r="A814" s="14">
        <v>3</v>
      </c>
      <c r="B814" s="15">
        <v>45912</v>
      </c>
      <c r="C814" s="15">
        <f>B814+8</f>
        <v>45920</v>
      </c>
      <c r="D814" s="14">
        <v>13460</v>
      </c>
      <c r="E814" s="16" t="s">
        <v>787</v>
      </c>
      <c r="F814" s="17" t="s">
        <v>112</v>
      </c>
      <c r="G814" s="17" t="s">
        <v>102</v>
      </c>
      <c r="H814" s="18" t="s">
        <v>57</v>
      </c>
      <c r="I814" s="19" t="s">
        <v>94</v>
      </c>
      <c r="J814" s="20">
        <v>45889</v>
      </c>
      <c r="K814" s="20">
        <v>45903</v>
      </c>
      <c r="L814" s="21">
        <v>500000</v>
      </c>
      <c r="M814" s="22">
        <f t="shared" ref="M814" si="733">SUM(N814:O814)</f>
        <v>478000</v>
      </c>
      <c r="N814" s="23">
        <v>450000</v>
      </c>
      <c r="O814" s="23">
        <v>28000</v>
      </c>
      <c r="P814" s="24">
        <f>L814-N814</f>
        <v>50000</v>
      </c>
      <c r="Q814" s="25">
        <v>28000</v>
      </c>
      <c r="R814" s="26">
        <v>50000</v>
      </c>
      <c r="S814" s="91">
        <f t="shared" si="728"/>
        <v>1</v>
      </c>
      <c r="T814" s="91">
        <f t="shared" si="729"/>
        <v>0.56000000000000005</v>
      </c>
      <c r="U814" s="27" t="s">
        <v>193</v>
      </c>
      <c r="V814" s="19" t="s">
        <v>51</v>
      </c>
      <c r="W814" s="20">
        <v>45891</v>
      </c>
      <c r="X814" s="22"/>
      <c r="Y814" s="19" t="s">
        <v>52</v>
      </c>
      <c r="Z814" s="19" t="s">
        <v>52</v>
      </c>
      <c r="AA814" s="19" t="s">
        <v>52</v>
      </c>
      <c r="AB814" s="28"/>
    </row>
    <row r="815" spans="1:33" s="29" customFormat="1" ht="15" customHeight="1" x14ac:dyDescent="0.25">
      <c r="A815" s="14">
        <v>2</v>
      </c>
      <c r="B815" s="15">
        <v>45912</v>
      </c>
      <c r="C815" s="15">
        <f t="shared" si="730"/>
        <v>45920</v>
      </c>
      <c r="D815" s="14">
        <v>13454</v>
      </c>
      <c r="E815" s="16" t="s">
        <v>702</v>
      </c>
      <c r="F815" s="40" t="s">
        <v>703</v>
      </c>
      <c r="G815" s="17" t="s">
        <v>47</v>
      </c>
      <c r="H815" s="18" t="s">
        <v>542</v>
      </c>
      <c r="I815" s="19" t="s">
        <v>104</v>
      </c>
      <c r="J815" s="20">
        <v>45888</v>
      </c>
      <c r="K815" s="20">
        <v>45916</v>
      </c>
      <c r="L815" s="21">
        <v>1500000</v>
      </c>
      <c r="M815" s="22">
        <f t="shared" ref="M815" si="734">SUM(N815:O815)</f>
        <v>1683000</v>
      </c>
      <c r="N815" s="23">
        <v>1512000</v>
      </c>
      <c r="O815" s="23">
        <v>171000</v>
      </c>
      <c r="P815" s="24">
        <f t="shared" ref="P815" si="735">L815-N815</f>
        <v>-12000</v>
      </c>
      <c r="Q815" s="25">
        <v>171000</v>
      </c>
      <c r="R815" s="26">
        <v>94500</v>
      </c>
      <c r="S815" s="91">
        <f t="shared" si="728"/>
        <v>0</v>
      </c>
      <c r="T815" s="91">
        <f t="shared" si="729"/>
        <v>1.8095238095238095</v>
      </c>
      <c r="U815" s="27" t="s">
        <v>193</v>
      </c>
      <c r="V815" s="19" t="s">
        <v>51</v>
      </c>
      <c r="W815" s="20">
        <v>45901</v>
      </c>
      <c r="X815" s="22"/>
      <c r="Y815" s="19" t="s">
        <v>52</v>
      </c>
      <c r="Z815" s="19" t="s">
        <v>52</v>
      </c>
      <c r="AA815" s="19" t="s">
        <v>52</v>
      </c>
      <c r="AB815" s="28"/>
    </row>
    <row r="816" spans="1:33" ht="15" customHeight="1" x14ac:dyDescent="0.25">
      <c r="A816" s="33" t="s">
        <v>71</v>
      </c>
      <c r="B816" s="34"/>
      <c r="C816" s="34"/>
      <c r="D816" s="34"/>
      <c r="E816" s="34"/>
      <c r="F816" s="35"/>
      <c r="G816" s="35"/>
      <c r="H816" s="34"/>
      <c r="I816" s="34"/>
      <c r="J816" s="34"/>
      <c r="K816" s="34"/>
      <c r="L816" s="36"/>
      <c r="M816" s="36"/>
      <c r="N816" s="36"/>
      <c r="O816" s="36"/>
      <c r="P816" s="36"/>
      <c r="Q816" s="36">
        <f>SUM(Q809:Q815)</f>
        <v>1799000</v>
      </c>
      <c r="R816" s="36"/>
      <c r="S816" s="92"/>
      <c r="T816" s="93">
        <f>SUM(T809:T815)</f>
        <v>21.067142857142855</v>
      </c>
      <c r="U816" s="37"/>
      <c r="V816" s="38"/>
      <c r="W816" s="38"/>
      <c r="X816" s="38"/>
      <c r="Y816" s="34"/>
      <c r="Z816" s="34"/>
      <c r="AA816" s="39"/>
      <c r="AB816" s="29" t="s">
        <v>807</v>
      </c>
      <c r="AC816" s="81" t="s">
        <v>812</v>
      </c>
      <c r="AD816" s="83">
        <v>5000</v>
      </c>
      <c r="AF816" s="83">
        <v>0</v>
      </c>
      <c r="AG816" s="83">
        <f>SUM(AD816,AF816)</f>
        <v>5000</v>
      </c>
    </row>
    <row r="817" spans="1:33" s="29" customFormat="1" ht="15" customHeight="1" x14ac:dyDescent="0.25">
      <c r="A817" s="14">
        <v>1</v>
      </c>
      <c r="B817" s="15">
        <v>45919</v>
      </c>
      <c r="C817" s="15">
        <f t="shared" ref="C817" si="736">B817+8</f>
        <v>45927</v>
      </c>
      <c r="D817" s="14">
        <v>13354</v>
      </c>
      <c r="E817" s="16" t="s">
        <v>750</v>
      </c>
      <c r="F817" s="17" t="s">
        <v>751</v>
      </c>
      <c r="G817" s="17" t="s">
        <v>47</v>
      </c>
      <c r="H817" s="18" t="s">
        <v>62</v>
      </c>
      <c r="I817" s="19" t="s">
        <v>63</v>
      </c>
      <c r="J817" s="20">
        <v>45869</v>
      </c>
      <c r="K817" s="20">
        <v>45911</v>
      </c>
      <c r="L817" s="21">
        <v>2000000</v>
      </c>
      <c r="M817" s="22">
        <f t="shared" ref="M817" si="737">SUM(N817:O817)</f>
        <v>1120000</v>
      </c>
      <c r="N817" s="23">
        <v>480000</v>
      </c>
      <c r="O817" s="23">
        <v>640000</v>
      </c>
      <c r="P817" s="24">
        <f t="shared" ref="P817" si="738">L817-N817</f>
        <v>1520000</v>
      </c>
      <c r="Q817" s="25">
        <v>480000</v>
      </c>
      <c r="R817" s="26">
        <v>80000</v>
      </c>
      <c r="S817" s="91">
        <f t="shared" ref="S817:S825" si="739">IF(P817&gt;0,P817/$R817,0)</f>
        <v>19</v>
      </c>
      <c r="T817" s="91">
        <f t="shared" ref="T817:T825" si="740">IF(Q817&gt;0,Q817/$R817,0)</f>
        <v>6</v>
      </c>
      <c r="U817" s="27" t="s">
        <v>192</v>
      </c>
      <c r="V817" s="30" t="s">
        <v>59</v>
      </c>
      <c r="W817" s="31">
        <v>45903</v>
      </c>
      <c r="X817" s="22"/>
      <c r="Y817" s="19" t="s">
        <v>52</v>
      </c>
      <c r="Z817" s="19" t="s">
        <v>52</v>
      </c>
      <c r="AA817" s="19" t="s">
        <v>52</v>
      </c>
      <c r="AB817" s="42"/>
    </row>
    <row r="818" spans="1:33" s="29" customFormat="1" ht="15" customHeight="1" x14ac:dyDescent="0.25">
      <c r="A818" s="14">
        <v>4</v>
      </c>
      <c r="B818" s="15">
        <v>45919</v>
      </c>
      <c r="C818" s="15">
        <f>B818+8</f>
        <v>45927</v>
      </c>
      <c r="D818" s="14">
        <v>13144</v>
      </c>
      <c r="E818" s="16" t="s">
        <v>307</v>
      </c>
      <c r="F818" s="17" t="s">
        <v>308</v>
      </c>
      <c r="G818" s="17" t="s">
        <v>132</v>
      </c>
      <c r="H818" s="18" t="s">
        <v>133</v>
      </c>
      <c r="I818" s="19" t="s">
        <v>198</v>
      </c>
      <c r="J818" s="20">
        <v>45831</v>
      </c>
      <c r="K818" s="20">
        <v>45882</v>
      </c>
      <c r="L818" s="21">
        <v>450000</v>
      </c>
      <c r="M818" s="22">
        <f>SUM(N818:O818)</f>
        <v>436000</v>
      </c>
      <c r="N818" s="23">
        <v>220000</v>
      </c>
      <c r="O818" s="23">
        <v>216000</v>
      </c>
      <c r="P818" s="24">
        <f>L818-N818</f>
        <v>230000</v>
      </c>
      <c r="Q818" s="25">
        <v>216000</v>
      </c>
      <c r="R818" s="26">
        <v>128000</v>
      </c>
      <c r="S818" s="91">
        <f t="shared" si="739"/>
        <v>1.796875</v>
      </c>
      <c r="T818" s="91">
        <f t="shared" si="740"/>
        <v>1.6875</v>
      </c>
      <c r="U818" s="27" t="s">
        <v>56</v>
      </c>
      <c r="V818" s="19" t="s">
        <v>51</v>
      </c>
      <c r="W818" s="20">
        <v>45862</v>
      </c>
      <c r="X818" s="22"/>
      <c r="Y818" s="19" t="s">
        <v>52</v>
      </c>
      <c r="Z818" s="19" t="s">
        <v>52</v>
      </c>
      <c r="AA818" s="19" t="s">
        <v>52</v>
      </c>
      <c r="AB818" s="28"/>
    </row>
    <row r="819" spans="1:33" s="29" customFormat="1" ht="15" customHeight="1" x14ac:dyDescent="0.25">
      <c r="A819" s="14">
        <v>13</v>
      </c>
      <c r="B819" s="15">
        <v>45919</v>
      </c>
      <c r="C819" s="15">
        <f>B819+8</f>
        <v>45927</v>
      </c>
      <c r="D819" s="14">
        <v>13411</v>
      </c>
      <c r="E819" s="16" t="s">
        <v>314</v>
      </c>
      <c r="F819" s="17" t="s">
        <v>315</v>
      </c>
      <c r="G819" s="17" t="s">
        <v>47</v>
      </c>
      <c r="H819" s="18" t="s">
        <v>133</v>
      </c>
      <c r="I819" s="19" t="s">
        <v>198</v>
      </c>
      <c r="J819" s="20">
        <v>45881</v>
      </c>
      <c r="K819" s="20">
        <v>45946</v>
      </c>
      <c r="L819" s="21">
        <v>80000</v>
      </c>
      <c r="M819" s="22">
        <f>SUM(N819:O819)</f>
        <v>84000</v>
      </c>
      <c r="N819" s="23">
        <v>0</v>
      </c>
      <c r="O819" s="23">
        <v>84000</v>
      </c>
      <c r="P819" s="24">
        <f>L819-N819</f>
        <v>80000</v>
      </c>
      <c r="Q819" s="25">
        <v>84000</v>
      </c>
      <c r="R819" s="26">
        <v>32000</v>
      </c>
      <c r="S819" s="91">
        <f t="shared" si="739"/>
        <v>2.5</v>
      </c>
      <c r="T819" s="91">
        <f t="shared" si="740"/>
        <v>2.625</v>
      </c>
      <c r="U819" s="27" t="s">
        <v>56</v>
      </c>
      <c r="V819" s="30" t="s">
        <v>59</v>
      </c>
      <c r="W819" s="31">
        <v>45910</v>
      </c>
      <c r="X819" s="22"/>
      <c r="Y819" s="19" t="s">
        <v>52</v>
      </c>
      <c r="Z819" s="19" t="s">
        <v>52</v>
      </c>
      <c r="AA819" s="19" t="s">
        <v>52</v>
      </c>
      <c r="AB819" s="42"/>
    </row>
    <row r="820" spans="1:33" s="29" customFormat="1" ht="15" customHeight="1" x14ac:dyDescent="0.25">
      <c r="A820" s="14">
        <v>13</v>
      </c>
      <c r="B820" s="15">
        <v>45919</v>
      </c>
      <c r="C820" s="15">
        <f>B820+8</f>
        <v>45927</v>
      </c>
      <c r="D820" s="14">
        <v>13413</v>
      </c>
      <c r="E820" s="16" t="s">
        <v>434</v>
      </c>
      <c r="F820" s="17" t="s">
        <v>435</v>
      </c>
      <c r="G820" s="17" t="s">
        <v>132</v>
      </c>
      <c r="H820" s="18" t="s">
        <v>54</v>
      </c>
      <c r="I820" s="19" t="s">
        <v>135</v>
      </c>
      <c r="J820" s="20">
        <v>45884</v>
      </c>
      <c r="K820" s="20">
        <v>45932</v>
      </c>
      <c r="L820" s="21">
        <v>25000</v>
      </c>
      <c r="M820" s="22">
        <f>SUM(N820:O820)</f>
        <v>25480</v>
      </c>
      <c r="N820" s="23">
        <v>0</v>
      </c>
      <c r="O820" s="23">
        <v>25480</v>
      </c>
      <c r="P820" s="24">
        <f>L820-N820</f>
        <v>25000</v>
      </c>
      <c r="Q820" s="25">
        <v>25480</v>
      </c>
      <c r="R820" s="26">
        <v>57330</v>
      </c>
      <c r="S820" s="91">
        <f t="shared" si="739"/>
        <v>0.43607186464329323</v>
      </c>
      <c r="T820" s="91">
        <f t="shared" si="740"/>
        <v>0.44444444444444442</v>
      </c>
      <c r="U820" s="27" t="s">
        <v>56</v>
      </c>
      <c r="V820" s="30" t="s">
        <v>59</v>
      </c>
      <c r="W820" s="31">
        <v>45910</v>
      </c>
      <c r="X820" s="22"/>
      <c r="Y820" s="19" t="s">
        <v>52</v>
      </c>
      <c r="Z820" s="19" t="s">
        <v>52</v>
      </c>
      <c r="AA820" s="19" t="s">
        <v>52</v>
      </c>
      <c r="AB820" s="28"/>
    </row>
    <row r="821" spans="1:33" s="29" customFormat="1" ht="15" customHeight="1" x14ac:dyDescent="0.25">
      <c r="A821" s="14">
        <v>15</v>
      </c>
      <c r="B821" s="15">
        <v>45919</v>
      </c>
      <c r="C821" s="15">
        <f t="shared" ref="C821" si="741">B821+8</f>
        <v>45927</v>
      </c>
      <c r="D821" s="14">
        <v>13418</v>
      </c>
      <c r="E821" s="16" t="s">
        <v>228</v>
      </c>
      <c r="F821" s="17" t="s">
        <v>229</v>
      </c>
      <c r="G821" s="17" t="s">
        <v>132</v>
      </c>
      <c r="H821" s="18" t="s">
        <v>54</v>
      </c>
      <c r="I821" s="19" t="s">
        <v>135</v>
      </c>
      <c r="J821" s="20">
        <v>45884</v>
      </c>
      <c r="K821" s="20">
        <v>45932</v>
      </c>
      <c r="L821" s="21">
        <v>115000</v>
      </c>
      <c r="M821" s="22">
        <f>SUM(N821:O821)</f>
        <v>130110</v>
      </c>
      <c r="N821" s="23">
        <v>0</v>
      </c>
      <c r="O821" s="23">
        <v>130110</v>
      </c>
      <c r="P821" s="24">
        <f>L821-N821</f>
        <v>115000</v>
      </c>
      <c r="Q821" s="25">
        <v>130110</v>
      </c>
      <c r="R821" s="26">
        <v>57330</v>
      </c>
      <c r="S821" s="91">
        <f t="shared" si="739"/>
        <v>2.0059305773591487</v>
      </c>
      <c r="T821" s="91">
        <f t="shared" si="740"/>
        <v>2.269492412349555</v>
      </c>
      <c r="U821" s="27" t="s">
        <v>56</v>
      </c>
      <c r="V821" s="30" t="s">
        <v>59</v>
      </c>
      <c r="W821" s="31">
        <v>45910</v>
      </c>
      <c r="X821" s="22"/>
      <c r="Y821" s="19" t="s">
        <v>52</v>
      </c>
      <c r="Z821" s="19" t="s">
        <v>52</v>
      </c>
      <c r="AA821" s="19" t="s">
        <v>52</v>
      </c>
      <c r="AB821" s="28"/>
    </row>
    <row r="822" spans="1:33" s="29" customFormat="1" ht="15" customHeight="1" x14ac:dyDescent="0.25">
      <c r="A822" s="14">
        <v>8</v>
      </c>
      <c r="B822" s="15">
        <v>45919</v>
      </c>
      <c r="C822" s="15">
        <f>B822+8</f>
        <v>45927</v>
      </c>
      <c r="D822" s="14">
        <v>13397</v>
      </c>
      <c r="E822" s="16" t="s">
        <v>767</v>
      </c>
      <c r="F822" s="17" t="s">
        <v>768</v>
      </c>
      <c r="G822" s="17" t="s">
        <v>132</v>
      </c>
      <c r="H822" s="18" t="s">
        <v>78</v>
      </c>
      <c r="I822" s="19" t="s">
        <v>79</v>
      </c>
      <c r="J822" s="20">
        <v>45882</v>
      </c>
      <c r="K822" s="20">
        <v>45905</v>
      </c>
      <c r="L822" s="21">
        <v>200000</v>
      </c>
      <c r="M822" s="22">
        <f>SUM(N822:O822)</f>
        <v>171400</v>
      </c>
      <c r="N822" s="23">
        <v>51420</v>
      </c>
      <c r="O822" s="23">
        <v>119980</v>
      </c>
      <c r="P822" s="24">
        <f t="shared" ref="P822" si="742">L822-N822</f>
        <v>148580</v>
      </c>
      <c r="Q822" s="25">
        <v>119980</v>
      </c>
      <c r="R822" s="26">
        <v>205680</v>
      </c>
      <c r="S822" s="91">
        <f t="shared" si="739"/>
        <v>0.7223842862699339</v>
      </c>
      <c r="T822" s="91">
        <f t="shared" si="740"/>
        <v>0.58333333333333337</v>
      </c>
      <c r="U822" s="27" t="s">
        <v>56</v>
      </c>
      <c r="V822" s="19" t="s">
        <v>51</v>
      </c>
      <c r="W822" s="20">
        <v>45906</v>
      </c>
      <c r="X822" s="22"/>
      <c r="Y822" s="19" t="s">
        <v>52</v>
      </c>
      <c r="Z822" s="19" t="s">
        <v>52</v>
      </c>
      <c r="AA822" s="19" t="s">
        <v>52</v>
      </c>
      <c r="AB822" s="28"/>
    </row>
    <row r="823" spans="1:33" s="29" customFormat="1" ht="15" customHeight="1" x14ac:dyDescent="0.25">
      <c r="A823" s="14">
        <v>5</v>
      </c>
      <c r="B823" s="15">
        <v>45919</v>
      </c>
      <c r="C823" s="15">
        <f t="shared" ref="C823:C825" si="743">B823+8</f>
        <v>45927</v>
      </c>
      <c r="D823" s="14">
        <v>13439</v>
      </c>
      <c r="E823" s="16" t="s">
        <v>99</v>
      </c>
      <c r="F823" s="40" t="s">
        <v>100</v>
      </c>
      <c r="G823" s="17" t="s">
        <v>75</v>
      </c>
      <c r="H823" s="18" t="s">
        <v>775</v>
      </c>
      <c r="I823" s="19" t="s">
        <v>86</v>
      </c>
      <c r="J823" s="20">
        <v>45887</v>
      </c>
      <c r="K823" s="20">
        <v>45924</v>
      </c>
      <c r="L823" s="21">
        <v>500000</v>
      </c>
      <c r="M823" s="22">
        <f t="shared" ref="M823:M825" si="744">SUM(N823:O823)</f>
        <v>605000</v>
      </c>
      <c r="N823" s="23">
        <v>0</v>
      </c>
      <c r="O823" s="23">
        <v>605000</v>
      </c>
      <c r="P823" s="24">
        <f t="shared" ref="P823:P825" si="745">L823-N823</f>
        <v>500000</v>
      </c>
      <c r="Q823" s="25">
        <v>605000</v>
      </c>
      <c r="R823" s="26">
        <v>160000</v>
      </c>
      <c r="S823" s="91">
        <f t="shared" si="739"/>
        <v>3.125</v>
      </c>
      <c r="T823" s="91">
        <f t="shared" si="740"/>
        <v>3.78125</v>
      </c>
      <c r="U823" s="27" t="s">
        <v>56</v>
      </c>
      <c r="V823" s="30" t="s">
        <v>59</v>
      </c>
      <c r="W823" s="31">
        <v>45910</v>
      </c>
      <c r="X823" s="22"/>
      <c r="Y823" s="19" t="s">
        <v>52</v>
      </c>
      <c r="Z823" s="19" t="s">
        <v>52</v>
      </c>
      <c r="AA823" s="19" t="s">
        <v>52</v>
      </c>
      <c r="AB823" s="28"/>
    </row>
    <row r="824" spans="1:33" s="29" customFormat="1" ht="15" customHeight="1" x14ac:dyDescent="0.25">
      <c r="A824" s="14">
        <v>1</v>
      </c>
      <c r="B824" s="15">
        <v>45919</v>
      </c>
      <c r="C824" s="15">
        <f t="shared" si="743"/>
        <v>45927</v>
      </c>
      <c r="D824" s="14">
        <v>13354</v>
      </c>
      <c r="E824" s="16" t="s">
        <v>750</v>
      </c>
      <c r="F824" s="17" t="s">
        <v>751</v>
      </c>
      <c r="G824" s="17" t="s">
        <v>47</v>
      </c>
      <c r="H824" s="18" t="s">
        <v>62</v>
      </c>
      <c r="I824" s="19" t="s">
        <v>63</v>
      </c>
      <c r="J824" s="20">
        <v>45869</v>
      </c>
      <c r="K824" s="20">
        <v>45911</v>
      </c>
      <c r="L824" s="21">
        <v>2000000</v>
      </c>
      <c r="M824" s="22">
        <f t="shared" si="744"/>
        <v>1120000</v>
      </c>
      <c r="N824" s="23">
        <v>1120000</v>
      </c>
      <c r="O824" s="23">
        <v>0</v>
      </c>
      <c r="P824" s="24">
        <f t="shared" si="745"/>
        <v>880000</v>
      </c>
      <c r="Q824" s="25">
        <v>160000</v>
      </c>
      <c r="R824" s="26">
        <v>80000</v>
      </c>
      <c r="S824" s="91">
        <f t="shared" si="739"/>
        <v>11</v>
      </c>
      <c r="T824" s="91">
        <f t="shared" si="740"/>
        <v>2</v>
      </c>
      <c r="U824" s="27" t="s">
        <v>193</v>
      </c>
      <c r="V824" s="19" t="s">
        <v>51</v>
      </c>
      <c r="W824" s="20">
        <v>45903</v>
      </c>
      <c r="X824" s="22"/>
      <c r="Y824" s="19" t="s">
        <v>52</v>
      </c>
      <c r="Z824" s="19" t="s">
        <v>52</v>
      </c>
      <c r="AA824" s="19" t="s">
        <v>52</v>
      </c>
      <c r="AB824" s="42"/>
    </row>
    <row r="825" spans="1:33" s="29" customFormat="1" ht="15" customHeight="1" x14ac:dyDescent="0.25">
      <c r="A825" s="14">
        <v>6</v>
      </c>
      <c r="B825" s="15">
        <v>45919</v>
      </c>
      <c r="C825" s="15">
        <f t="shared" si="743"/>
        <v>45927</v>
      </c>
      <c r="D825" s="14">
        <v>13441</v>
      </c>
      <c r="E825" s="16" t="s">
        <v>287</v>
      </c>
      <c r="F825" s="17" t="s">
        <v>288</v>
      </c>
      <c r="G825" s="17" t="s">
        <v>102</v>
      </c>
      <c r="H825" s="18" t="s">
        <v>784</v>
      </c>
      <c r="I825" s="19" t="s">
        <v>63</v>
      </c>
      <c r="J825" s="20">
        <v>45887</v>
      </c>
      <c r="K825" s="20">
        <v>45930</v>
      </c>
      <c r="L825" s="21">
        <v>1000000</v>
      </c>
      <c r="M825" s="22">
        <f t="shared" si="744"/>
        <v>588000</v>
      </c>
      <c r="N825" s="23">
        <v>0</v>
      </c>
      <c r="O825" s="23">
        <v>588000</v>
      </c>
      <c r="P825" s="24">
        <f t="shared" si="745"/>
        <v>1000000</v>
      </c>
      <c r="Q825" s="25">
        <v>588000</v>
      </c>
      <c r="R825" s="26">
        <v>84000</v>
      </c>
      <c r="S825" s="91">
        <f t="shared" si="739"/>
        <v>11.904761904761905</v>
      </c>
      <c r="T825" s="91">
        <f t="shared" si="740"/>
        <v>7</v>
      </c>
      <c r="U825" s="27" t="s">
        <v>193</v>
      </c>
      <c r="V825" s="30" t="s">
        <v>59</v>
      </c>
      <c r="W825" s="31">
        <v>45910</v>
      </c>
      <c r="X825" s="22"/>
      <c r="Y825" s="19" t="s">
        <v>52</v>
      </c>
      <c r="Z825" s="19" t="s">
        <v>52</v>
      </c>
      <c r="AA825" s="19" t="s">
        <v>52</v>
      </c>
      <c r="AB825" s="28"/>
    </row>
    <row r="826" spans="1:33" ht="15" customHeight="1" x14ac:dyDescent="0.25">
      <c r="A826" s="33" t="s">
        <v>71</v>
      </c>
      <c r="B826" s="34"/>
      <c r="C826" s="34"/>
      <c r="D826" s="34"/>
      <c r="E826" s="34"/>
      <c r="F826" s="35"/>
      <c r="G826" s="35"/>
      <c r="H826" s="34"/>
      <c r="I826" s="34"/>
      <c r="J826" s="34"/>
      <c r="K826" s="34"/>
      <c r="L826" s="36"/>
      <c r="M826" s="36"/>
      <c r="N826" s="36"/>
      <c r="O826" s="36"/>
      <c r="P826" s="36"/>
      <c r="Q826" s="36">
        <f>SUM(Q817:Q825)</f>
        <v>2408570</v>
      </c>
      <c r="R826" s="36"/>
      <c r="S826" s="92"/>
      <c r="T826" s="93">
        <f>SUM(T817:T825)</f>
        <v>26.391020190127335</v>
      </c>
      <c r="U826" s="37"/>
      <c r="V826" s="38"/>
      <c r="W826" s="38"/>
      <c r="X826" s="38"/>
      <c r="Y826" s="34"/>
      <c r="Z826" s="34"/>
      <c r="AA826" s="39"/>
      <c r="AB826" s="29" t="s">
        <v>814</v>
      </c>
      <c r="AC826" s="81" t="s">
        <v>880</v>
      </c>
      <c r="AD826" s="83">
        <v>5000</v>
      </c>
      <c r="AF826" s="83">
        <v>0</v>
      </c>
      <c r="AG826" s="83">
        <f>SUM(AD826,AF826)</f>
        <v>5000</v>
      </c>
    </row>
    <row r="827" spans="1:33" s="29" customFormat="1" ht="15" customHeight="1" x14ac:dyDescent="0.25">
      <c r="A827" s="14">
        <v>5</v>
      </c>
      <c r="B827" s="15">
        <v>45924</v>
      </c>
      <c r="C827" s="15">
        <f t="shared" ref="C827" si="746">B827+8</f>
        <v>45932</v>
      </c>
      <c r="D827" s="14">
        <v>13480</v>
      </c>
      <c r="E827" s="16" t="s">
        <v>208</v>
      </c>
      <c r="F827" s="40" t="s">
        <v>209</v>
      </c>
      <c r="G827" s="17" t="s">
        <v>47</v>
      </c>
      <c r="H827" s="18" t="s">
        <v>542</v>
      </c>
      <c r="I827" s="19" t="s">
        <v>49</v>
      </c>
      <c r="J827" s="20">
        <v>45895</v>
      </c>
      <c r="K827" s="20">
        <v>45931</v>
      </c>
      <c r="L827" s="21">
        <v>175000</v>
      </c>
      <c r="M827" s="22">
        <f t="shared" ref="M827" si="747">SUM(N827:O827)</f>
        <v>166000</v>
      </c>
      <c r="N827" s="23">
        <v>0</v>
      </c>
      <c r="O827" s="23">
        <v>166000</v>
      </c>
      <c r="P827" s="24">
        <f t="shared" ref="P827" si="748">L827-N827</f>
        <v>175000</v>
      </c>
      <c r="Q827" s="25">
        <v>166000</v>
      </c>
      <c r="R827" s="26">
        <v>50000</v>
      </c>
      <c r="S827" s="91">
        <f t="shared" ref="S827:S835" si="749">IF(P827&gt;0,P827/$R827,0)</f>
        <v>3.5</v>
      </c>
      <c r="T827" s="91">
        <f t="shared" ref="T827:T835" si="750">IF(Q827&gt;0,Q827/$R827,0)</f>
        <v>3.32</v>
      </c>
      <c r="U827" s="27" t="s">
        <v>192</v>
      </c>
      <c r="V827" s="30" t="s">
        <v>59</v>
      </c>
      <c r="W827" s="31">
        <v>45915</v>
      </c>
      <c r="X827" s="22"/>
      <c r="Y827" s="19" t="s">
        <v>52</v>
      </c>
      <c r="Z827" s="19" t="s">
        <v>52</v>
      </c>
      <c r="AA827" s="19" t="s">
        <v>52</v>
      </c>
      <c r="AB827" s="28"/>
    </row>
    <row r="828" spans="1:33" s="29" customFormat="1" ht="15" customHeight="1" x14ac:dyDescent="0.25">
      <c r="A828" s="14">
        <v>8</v>
      </c>
      <c r="B828" s="15">
        <v>45924</v>
      </c>
      <c r="C828" s="15">
        <f>B828+8</f>
        <v>45932</v>
      </c>
      <c r="D828" s="14">
        <v>13532</v>
      </c>
      <c r="E828" s="16" t="s">
        <v>680</v>
      </c>
      <c r="F828" s="17" t="s">
        <v>681</v>
      </c>
      <c r="G828" s="17" t="s">
        <v>102</v>
      </c>
      <c r="H828" s="18" t="s">
        <v>542</v>
      </c>
      <c r="I828" s="19" t="s">
        <v>104</v>
      </c>
      <c r="J828" s="20">
        <v>45908</v>
      </c>
      <c r="K828" s="20">
        <v>45938</v>
      </c>
      <c r="L828" s="21">
        <v>1000000</v>
      </c>
      <c r="M828" s="22">
        <f t="shared" ref="M828:M834" si="751">SUM(N828:O828)</f>
        <v>0</v>
      </c>
      <c r="N828" s="23">
        <v>0</v>
      </c>
      <c r="O828" s="23">
        <v>0</v>
      </c>
      <c r="P828" s="24">
        <f t="shared" ref="P828" si="752">L828-N828</f>
        <v>1000000</v>
      </c>
      <c r="Q828" s="25">
        <v>315000</v>
      </c>
      <c r="R828" s="26">
        <v>63000</v>
      </c>
      <c r="S828" s="91">
        <f t="shared" si="749"/>
        <v>15.873015873015873</v>
      </c>
      <c r="T828" s="91">
        <f t="shared" si="750"/>
        <v>5</v>
      </c>
      <c r="U828" s="27" t="s">
        <v>192</v>
      </c>
      <c r="V828" s="30" t="s">
        <v>68</v>
      </c>
      <c r="W828" s="31" t="s">
        <v>68</v>
      </c>
      <c r="X828" s="22"/>
      <c r="Y828" s="19" t="s">
        <v>52</v>
      </c>
      <c r="Z828" s="19" t="s">
        <v>52</v>
      </c>
      <c r="AA828" s="19" t="s">
        <v>52</v>
      </c>
      <c r="AB828" s="28"/>
    </row>
    <row r="829" spans="1:33" s="29" customFormat="1" ht="15" customHeight="1" x14ac:dyDescent="0.25">
      <c r="A829" s="14">
        <v>3</v>
      </c>
      <c r="B829" s="15">
        <v>45924</v>
      </c>
      <c r="C829" s="15">
        <f>B829+8</f>
        <v>45932</v>
      </c>
      <c r="D829" s="14">
        <v>13333</v>
      </c>
      <c r="E829" s="16" t="s">
        <v>740</v>
      </c>
      <c r="F829" s="17" t="s">
        <v>317</v>
      </c>
      <c r="G829" s="17" t="s">
        <v>132</v>
      </c>
      <c r="H829" s="18" t="s">
        <v>133</v>
      </c>
      <c r="I829" s="19" t="s">
        <v>198</v>
      </c>
      <c r="J829" s="20">
        <v>45866</v>
      </c>
      <c r="K829" s="20">
        <v>45884</v>
      </c>
      <c r="L829" s="21">
        <v>2000000</v>
      </c>
      <c r="M829" s="22">
        <f t="shared" si="751"/>
        <v>168000</v>
      </c>
      <c r="N829" s="23">
        <v>128000</v>
      </c>
      <c r="O829" s="23">
        <v>40000</v>
      </c>
      <c r="P829" s="24">
        <f>L829-N829</f>
        <v>1872000</v>
      </c>
      <c r="Q829" s="25">
        <v>40000</v>
      </c>
      <c r="R829" s="26">
        <v>128000</v>
      </c>
      <c r="S829" s="91">
        <f t="shared" si="749"/>
        <v>14.625</v>
      </c>
      <c r="T829" s="91">
        <f t="shared" si="750"/>
        <v>0.3125</v>
      </c>
      <c r="U829" s="27" t="s">
        <v>56</v>
      </c>
      <c r="V829" s="30" t="s">
        <v>59</v>
      </c>
      <c r="W829" s="31">
        <v>45903</v>
      </c>
      <c r="X829" s="22"/>
      <c r="Y829" s="19" t="s">
        <v>52</v>
      </c>
      <c r="Z829" s="19" t="s">
        <v>52</v>
      </c>
      <c r="AA829" s="19" t="s">
        <v>52</v>
      </c>
      <c r="AB829" s="28"/>
    </row>
    <row r="830" spans="1:33" s="29" customFormat="1" ht="15" customHeight="1" x14ac:dyDescent="0.25">
      <c r="A830" s="14">
        <v>9</v>
      </c>
      <c r="B830" s="15">
        <v>45924</v>
      </c>
      <c r="C830" s="15">
        <f t="shared" ref="C830" si="753">B830+8</f>
        <v>45932</v>
      </c>
      <c r="D830" s="14">
        <v>13425</v>
      </c>
      <c r="E830" s="16" t="s">
        <v>769</v>
      </c>
      <c r="F830" s="17" t="s">
        <v>770</v>
      </c>
      <c r="G830" s="17" t="s">
        <v>132</v>
      </c>
      <c r="H830" s="18" t="s">
        <v>78</v>
      </c>
      <c r="I830" s="19" t="s">
        <v>79</v>
      </c>
      <c r="J830" s="20">
        <v>45882</v>
      </c>
      <c r="K830" s="20">
        <v>45910</v>
      </c>
      <c r="L830" s="21">
        <v>80000</v>
      </c>
      <c r="M830" s="22">
        <f t="shared" si="751"/>
        <v>60263</v>
      </c>
      <c r="N830" s="23">
        <v>0</v>
      </c>
      <c r="O830" s="23">
        <v>60263</v>
      </c>
      <c r="P830" s="24">
        <f t="shared" ref="P830" si="754">L830-N830</f>
        <v>80000</v>
      </c>
      <c r="Q830" s="25">
        <v>17210</v>
      </c>
      <c r="R830" s="26">
        <v>232443</v>
      </c>
      <c r="S830" s="91">
        <f t="shared" si="749"/>
        <v>0.34417039876442829</v>
      </c>
      <c r="T830" s="91">
        <f t="shared" si="750"/>
        <v>7.4039657034197626E-2</v>
      </c>
      <c r="U830" s="27" t="s">
        <v>56</v>
      </c>
      <c r="V830" s="30" t="s">
        <v>59</v>
      </c>
      <c r="W830" s="31">
        <v>45917</v>
      </c>
      <c r="X830" s="22"/>
      <c r="Y830" s="19" t="s">
        <v>52</v>
      </c>
      <c r="Z830" s="19" t="s">
        <v>52</v>
      </c>
      <c r="AA830" s="19" t="s">
        <v>52</v>
      </c>
      <c r="AB830" s="28"/>
    </row>
    <row r="831" spans="1:33" s="29" customFormat="1" ht="15" customHeight="1" x14ac:dyDescent="0.25">
      <c r="A831" s="14">
        <v>8</v>
      </c>
      <c r="B831" s="15">
        <v>45924</v>
      </c>
      <c r="C831" s="15">
        <f t="shared" ref="C831" si="755">B831+8</f>
        <v>45932</v>
      </c>
      <c r="D831" s="14">
        <v>13532</v>
      </c>
      <c r="E831" s="16" t="s">
        <v>680</v>
      </c>
      <c r="F831" s="17" t="s">
        <v>681</v>
      </c>
      <c r="G831" s="17" t="s">
        <v>102</v>
      </c>
      <c r="H831" s="18" t="s">
        <v>542</v>
      </c>
      <c r="I831" s="19" t="s">
        <v>104</v>
      </c>
      <c r="J831" s="20">
        <v>45908</v>
      </c>
      <c r="K831" s="20">
        <v>45938</v>
      </c>
      <c r="L831" s="21">
        <v>1000000</v>
      </c>
      <c r="M831" s="22">
        <f t="shared" si="751"/>
        <v>0</v>
      </c>
      <c r="N831" s="23">
        <v>0</v>
      </c>
      <c r="O831" s="23">
        <v>0</v>
      </c>
      <c r="P831" s="24">
        <f t="shared" ref="P831" si="756">L831-N831</f>
        <v>1000000</v>
      </c>
      <c r="Q831" s="25">
        <v>252000</v>
      </c>
      <c r="R831" s="26">
        <v>63000</v>
      </c>
      <c r="S831" s="91">
        <f t="shared" si="749"/>
        <v>15.873015873015873</v>
      </c>
      <c r="T831" s="91">
        <f t="shared" si="750"/>
        <v>4</v>
      </c>
      <c r="U831" s="27" t="s">
        <v>56</v>
      </c>
      <c r="V831" s="30" t="s">
        <v>68</v>
      </c>
      <c r="W831" s="31" t="s">
        <v>68</v>
      </c>
      <c r="X831" s="22"/>
      <c r="Y831" s="19" t="s">
        <v>52</v>
      </c>
      <c r="Z831" s="19" t="s">
        <v>52</v>
      </c>
      <c r="AA831" s="19" t="s">
        <v>52</v>
      </c>
      <c r="AB831" s="28"/>
    </row>
    <row r="832" spans="1:33" s="29" customFormat="1" ht="15" customHeight="1" x14ac:dyDescent="0.25">
      <c r="A832" s="14">
        <v>7</v>
      </c>
      <c r="B832" s="15">
        <v>45924</v>
      </c>
      <c r="C832" s="15">
        <f>B832+8</f>
        <v>45932</v>
      </c>
      <c r="D832" s="14">
        <v>13441</v>
      </c>
      <c r="E832" s="16" t="s">
        <v>287</v>
      </c>
      <c r="F832" s="17" t="s">
        <v>288</v>
      </c>
      <c r="G832" s="17" t="s">
        <v>102</v>
      </c>
      <c r="H832" s="18" t="s">
        <v>784</v>
      </c>
      <c r="I832" s="19" t="s">
        <v>63</v>
      </c>
      <c r="J832" s="20">
        <v>45887</v>
      </c>
      <c r="K832" s="20">
        <v>45930</v>
      </c>
      <c r="L832" s="21">
        <v>1000000</v>
      </c>
      <c r="M832" s="22">
        <f t="shared" si="751"/>
        <v>588000</v>
      </c>
      <c r="N832" s="23">
        <v>0</v>
      </c>
      <c r="O832" s="23">
        <v>588000</v>
      </c>
      <c r="P832" s="24">
        <f>L832-N832</f>
        <v>1000000</v>
      </c>
      <c r="Q832" s="25">
        <v>368000</v>
      </c>
      <c r="R832" s="26">
        <v>84000</v>
      </c>
      <c r="S832" s="91">
        <f t="shared" si="749"/>
        <v>11.904761904761905</v>
      </c>
      <c r="T832" s="91">
        <f t="shared" si="750"/>
        <v>4.3809523809523814</v>
      </c>
      <c r="U832" s="27" t="s">
        <v>193</v>
      </c>
      <c r="V832" s="30" t="s">
        <v>59</v>
      </c>
      <c r="W832" s="31">
        <v>45910</v>
      </c>
      <c r="X832" s="22"/>
      <c r="Y832" s="19" t="s">
        <v>52</v>
      </c>
      <c r="Z832" s="19" t="s">
        <v>52</v>
      </c>
      <c r="AA832" s="19" t="s">
        <v>52</v>
      </c>
      <c r="AB832" s="28"/>
    </row>
    <row r="833" spans="1:33" s="29" customFormat="1" ht="15" customHeight="1" x14ac:dyDescent="0.25">
      <c r="A833" s="14">
        <v>6</v>
      </c>
      <c r="B833" s="15">
        <v>45924</v>
      </c>
      <c r="C833" s="15">
        <f>B833+8</f>
        <v>45932</v>
      </c>
      <c r="D833" s="14">
        <v>13483</v>
      </c>
      <c r="E833" s="16" t="s">
        <v>116</v>
      </c>
      <c r="F833" s="17" t="s">
        <v>117</v>
      </c>
      <c r="G833" s="17" t="s">
        <v>102</v>
      </c>
      <c r="H833" s="18" t="s">
        <v>771</v>
      </c>
      <c r="I833" s="19" t="s">
        <v>118</v>
      </c>
      <c r="J833" s="20">
        <v>45895</v>
      </c>
      <c r="K833" s="20">
        <v>45923</v>
      </c>
      <c r="L833" s="21">
        <v>300000</v>
      </c>
      <c r="M833" s="22">
        <f t="shared" si="751"/>
        <v>100000</v>
      </c>
      <c r="N833" s="23">
        <v>0</v>
      </c>
      <c r="O833" s="23">
        <v>100000</v>
      </c>
      <c r="P833" s="24">
        <f>L833-N833</f>
        <v>300000</v>
      </c>
      <c r="Q833" s="25">
        <v>100000</v>
      </c>
      <c r="R833" s="26">
        <v>100000</v>
      </c>
      <c r="S833" s="91">
        <f t="shared" si="749"/>
        <v>3</v>
      </c>
      <c r="T833" s="91">
        <f t="shared" si="750"/>
        <v>1</v>
      </c>
      <c r="U833" s="27" t="s">
        <v>193</v>
      </c>
      <c r="V833" s="30" t="s">
        <v>59</v>
      </c>
      <c r="W833" s="31">
        <v>45915</v>
      </c>
      <c r="X833" s="22"/>
      <c r="Y833" s="19" t="s">
        <v>52</v>
      </c>
      <c r="Z833" s="19" t="s">
        <v>52</v>
      </c>
      <c r="AA833" s="19" t="s">
        <v>52</v>
      </c>
      <c r="AB833" s="28"/>
    </row>
    <row r="834" spans="1:33" s="29" customFormat="1" ht="15" customHeight="1" x14ac:dyDescent="0.25">
      <c r="A834" s="14">
        <v>8</v>
      </c>
      <c r="B834" s="15">
        <v>45924</v>
      </c>
      <c r="C834" s="15">
        <f>B834+8</f>
        <v>45932</v>
      </c>
      <c r="D834" s="14">
        <v>13528</v>
      </c>
      <c r="E834" s="16" t="s">
        <v>119</v>
      </c>
      <c r="F834" s="17" t="s">
        <v>120</v>
      </c>
      <c r="G834" s="17" t="s">
        <v>102</v>
      </c>
      <c r="H834" s="18" t="s">
        <v>57</v>
      </c>
      <c r="I834" s="19" t="s">
        <v>81</v>
      </c>
      <c r="J834" s="20">
        <v>45904</v>
      </c>
      <c r="K834" s="20">
        <v>45931</v>
      </c>
      <c r="L834" s="21">
        <v>100000</v>
      </c>
      <c r="M834" s="22">
        <f t="shared" si="751"/>
        <v>136000</v>
      </c>
      <c r="N834" s="23">
        <v>0</v>
      </c>
      <c r="O834" s="23">
        <v>136000</v>
      </c>
      <c r="P834" s="24">
        <f>L834-N834</f>
        <v>100000</v>
      </c>
      <c r="Q834" s="25">
        <v>136000</v>
      </c>
      <c r="R834" s="26">
        <v>84000</v>
      </c>
      <c r="S834" s="91">
        <f t="shared" si="749"/>
        <v>1.1904761904761905</v>
      </c>
      <c r="T834" s="91">
        <f t="shared" si="750"/>
        <v>1.6190476190476191</v>
      </c>
      <c r="U834" s="27" t="s">
        <v>193</v>
      </c>
      <c r="V834" s="30" t="s">
        <v>59</v>
      </c>
      <c r="W834" s="31">
        <v>45918</v>
      </c>
      <c r="X834" s="22"/>
      <c r="Y834" s="19" t="s">
        <v>52</v>
      </c>
      <c r="Z834" s="19" t="s">
        <v>52</v>
      </c>
      <c r="AA834" s="19" t="s">
        <v>52</v>
      </c>
      <c r="AB834" s="28"/>
    </row>
    <row r="835" spans="1:33" s="29" customFormat="1" ht="15" customHeight="1" x14ac:dyDescent="0.25">
      <c r="A835" s="14">
        <v>9</v>
      </c>
      <c r="B835" s="15">
        <v>45924</v>
      </c>
      <c r="C835" s="15">
        <f>B835+8</f>
        <v>45932</v>
      </c>
      <c r="D835" s="14">
        <v>13538</v>
      </c>
      <c r="E835" s="16" t="s">
        <v>216</v>
      </c>
      <c r="F835" s="40" t="s">
        <v>217</v>
      </c>
      <c r="G835" s="17" t="s">
        <v>75</v>
      </c>
      <c r="H835" s="18" t="s">
        <v>542</v>
      </c>
      <c r="I835" s="19" t="s">
        <v>104</v>
      </c>
      <c r="J835" s="20">
        <v>45904</v>
      </c>
      <c r="K835" s="20">
        <v>45938</v>
      </c>
      <c r="L835" s="21">
        <v>400000</v>
      </c>
      <c r="M835" s="22">
        <f t="shared" ref="M835" si="757">SUM(N835:O835)</f>
        <v>219000</v>
      </c>
      <c r="N835" s="23">
        <v>0</v>
      </c>
      <c r="O835" s="23">
        <v>219000</v>
      </c>
      <c r="P835" s="24">
        <f>L835-N835</f>
        <v>400000</v>
      </c>
      <c r="Q835" s="25">
        <v>219000</v>
      </c>
      <c r="R835" s="26">
        <v>150000</v>
      </c>
      <c r="S835" s="91">
        <f t="shared" si="749"/>
        <v>2.6666666666666665</v>
      </c>
      <c r="T835" s="91">
        <f t="shared" si="750"/>
        <v>1.46</v>
      </c>
      <c r="U835" s="27" t="s">
        <v>193</v>
      </c>
      <c r="V835" s="30" t="s">
        <v>59</v>
      </c>
      <c r="W835" s="31">
        <v>45922</v>
      </c>
      <c r="X835" s="22"/>
      <c r="Y835" s="19" t="s">
        <v>52</v>
      </c>
      <c r="Z835" s="19" t="s">
        <v>52</v>
      </c>
      <c r="AA835" s="19" t="s">
        <v>52</v>
      </c>
      <c r="AB835" s="28"/>
    </row>
    <row r="836" spans="1:33" ht="15" customHeight="1" x14ac:dyDescent="0.25">
      <c r="A836" s="33" t="s">
        <v>71</v>
      </c>
      <c r="B836" s="34"/>
      <c r="C836" s="34"/>
      <c r="D836" s="34"/>
      <c r="E836" s="34"/>
      <c r="F836" s="35"/>
      <c r="G836" s="35"/>
      <c r="H836" s="34"/>
      <c r="I836" s="34"/>
      <c r="J836" s="34"/>
      <c r="K836" s="34"/>
      <c r="L836" s="36"/>
      <c r="M836" s="36"/>
      <c r="N836" s="36"/>
      <c r="O836" s="36"/>
      <c r="P836" s="36"/>
      <c r="Q836" s="36">
        <f>SUM(Q827:Q835)</f>
        <v>1613210</v>
      </c>
      <c r="R836" s="36"/>
      <c r="S836" s="92"/>
      <c r="T836" s="93">
        <f>SUM(T827:T835)</f>
        <v>21.1665396570342</v>
      </c>
      <c r="U836" s="37"/>
      <c r="V836" s="38"/>
      <c r="W836" s="38"/>
      <c r="X836" s="38"/>
      <c r="Y836" s="34"/>
      <c r="Z836" s="34"/>
      <c r="AA836" s="39"/>
      <c r="AB836" s="29" t="s">
        <v>869</v>
      </c>
      <c r="AC836" s="81" t="s">
        <v>888</v>
      </c>
      <c r="AD836" s="83">
        <v>5000</v>
      </c>
      <c r="AF836" s="83">
        <v>0</v>
      </c>
      <c r="AG836" s="83">
        <f>SUM(AD836,AF836)</f>
        <v>5000</v>
      </c>
    </row>
    <row r="837" spans="1:33" s="29" customFormat="1" ht="15" customHeight="1" x14ac:dyDescent="0.25">
      <c r="A837" s="14">
        <v>8</v>
      </c>
      <c r="B837" s="15">
        <v>45927</v>
      </c>
      <c r="C837" s="15">
        <f>B837+8</f>
        <v>45935</v>
      </c>
      <c r="D837" s="14">
        <v>13549</v>
      </c>
      <c r="E837" s="16" t="s">
        <v>403</v>
      </c>
      <c r="F837" s="17" t="s">
        <v>708</v>
      </c>
      <c r="G837" s="17" t="s">
        <v>47</v>
      </c>
      <c r="H837" s="18" t="s">
        <v>801</v>
      </c>
      <c r="I837" s="19" t="s">
        <v>70</v>
      </c>
      <c r="J837" s="20">
        <v>45908</v>
      </c>
      <c r="K837" s="20">
        <v>45940</v>
      </c>
      <c r="L837" s="21">
        <v>2000000</v>
      </c>
      <c r="M837" s="22">
        <f>SUM(N837:O837)</f>
        <v>1000000</v>
      </c>
      <c r="N837" s="23">
        <v>250000</v>
      </c>
      <c r="O837" s="23">
        <v>750000</v>
      </c>
      <c r="P837" s="24">
        <f>L837-N837</f>
        <v>1750000</v>
      </c>
      <c r="Q837" s="25">
        <v>750000</v>
      </c>
      <c r="R837" s="26">
        <v>50000</v>
      </c>
      <c r="S837" s="91">
        <f t="shared" ref="S837:S840" si="758">IF(P837&gt;0,P837/$R837,0)</f>
        <v>35</v>
      </c>
      <c r="T837" s="91">
        <f t="shared" ref="T837:T840" si="759">IF(Q837&gt;0,Q837/$R837,0)</f>
        <v>15</v>
      </c>
      <c r="U837" s="27" t="s">
        <v>193</v>
      </c>
      <c r="V837" s="19" t="s">
        <v>51</v>
      </c>
      <c r="W837" s="20">
        <v>45918</v>
      </c>
      <c r="X837" s="22"/>
      <c r="Y837" s="19" t="s">
        <v>52</v>
      </c>
      <c r="Z837" s="19" t="s">
        <v>52</v>
      </c>
      <c r="AA837" s="19" t="s">
        <v>52</v>
      </c>
      <c r="AB837" s="42"/>
    </row>
    <row r="838" spans="1:33" s="29" customFormat="1" ht="15" customHeight="1" x14ac:dyDescent="0.25">
      <c r="A838" s="14">
        <v>4</v>
      </c>
      <c r="B838" s="15">
        <v>45927</v>
      </c>
      <c r="C838" s="15">
        <f t="shared" ref="C838:C839" si="760">B838+8</f>
        <v>45935</v>
      </c>
      <c r="D838" s="14">
        <v>13462</v>
      </c>
      <c r="E838" s="16" t="s">
        <v>806</v>
      </c>
      <c r="F838" s="40" t="s">
        <v>790</v>
      </c>
      <c r="G838" s="17" t="s">
        <v>75</v>
      </c>
      <c r="H838" s="18" t="s">
        <v>542</v>
      </c>
      <c r="I838" s="19" t="s">
        <v>49</v>
      </c>
      <c r="J838" s="20">
        <v>45890</v>
      </c>
      <c r="K838" s="20">
        <v>45929</v>
      </c>
      <c r="L838" s="21">
        <v>75000</v>
      </c>
      <c r="M838" s="22">
        <f t="shared" ref="M838:M840" si="761">SUM(N838:O838)</f>
        <v>75000</v>
      </c>
      <c r="N838" s="23">
        <v>0</v>
      </c>
      <c r="O838" s="23">
        <v>75000</v>
      </c>
      <c r="P838" s="24">
        <f t="shared" ref="P838:P839" si="762">L838-N838</f>
        <v>75000</v>
      </c>
      <c r="Q838" s="25">
        <v>78000</v>
      </c>
      <c r="R838" s="26">
        <v>150000</v>
      </c>
      <c r="S838" s="91">
        <f t="shared" si="758"/>
        <v>0.5</v>
      </c>
      <c r="T838" s="91">
        <f t="shared" si="759"/>
        <v>0.52</v>
      </c>
      <c r="U838" s="27" t="s">
        <v>193</v>
      </c>
      <c r="V838" s="30" t="s">
        <v>59</v>
      </c>
      <c r="W838" s="31">
        <v>45926</v>
      </c>
      <c r="X838" s="22"/>
      <c r="Y838" s="41" t="s">
        <v>82</v>
      </c>
      <c r="Z838" s="41" t="s">
        <v>82</v>
      </c>
      <c r="AA838" s="41" t="s">
        <v>82</v>
      </c>
      <c r="AB838" s="28"/>
    </row>
    <row r="839" spans="1:33" s="29" customFormat="1" ht="15" customHeight="1" x14ac:dyDescent="0.25">
      <c r="A839" s="14">
        <v>10</v>
      </c>
      <c r="B839" s="15">
        <v>45927</v>
      </c>
      <c r="C839" s="15">
        <f t="shared" si="760"/>
        <v>45935</v>
      </c>
      <c r="D839" s="14">
        <v>13595</v>
      </c>
      <c r="E839" s="16" t="s">
        <v>808</v>
      </c>
      <c r="F839" s="40" t="s">
        <v>657</v>
      </c>
      <c r="G839" s="17" t="s">
        <v>75</v>
      </c>
      <c r="H839" s="18" t="s">
        <v>57</v>
      </c>
      <c r="I839" s="19" t="s">
        <v>94</v>
      </c>
      <c r="J839" s="20">
        <v>45911</v>
      </c>
      <c r="K839" s="20">
        <v>45952</v>
      </c>
      <c r="L839" s="21">
        <v>750000</v>
      </c>
      <c r="M839" s="22">
        <f t="shared" si="761"/>
        <v>350000</v>
      </c>
      <c r="N839" s="23">
        <v>0</v>
      </c>
      <c r="O839" s="23">
        <v>350000</v>
      </c>
      <c r="P839" s="24">
        <f t="shared" si="762"/>
        <v>750000</v>
      </c>
      <c r="Q839" s="25">
        <v>350000</v>
      </c>
      <c r="R839" s="26">
        <v>100000</v>
      </c>
      <c r="S839" s="91">
        <f t="shared" si="758"/>
        <v>7.5</v>
      </c>
      <c r="T839" s="91">
        <f t="shared" si="759"/>
        <v>3.5</v>
      </c>
      <c r="U839" s="27" t="s">
        <v>193</v>
      </c>
      <c r="V839" s="19" t="s">
        <v>51</v>
      </c>
      <c r="W839" s="20">
        <v>45910</v>
      </c>
      <c r="X839" s="22"/>
      <c r="Y839" s="19" t="s">
        <v>52</v>
      </c>
      <c r="Z839" s="19" t="s">
        <v>52</v>
      </c>
      <c r="AA839" s="19" t="s">
        <v>52</v>
      </c>
      <c r="AB839" s="28"/>
    </row>
    <row r="840" spans="1:33" s="29" customFormat="1" ht="15" customHeight="1" x14ac:dyDescent="0.25">
      <c r="A840" s="14">
        <v>16</v>
      </c>
      <c r="B840" s="15">
        <v>45927</v>
      </c>
      <c r="C840" s="15">
        <f>B840+8</f>
        <v>45935</v>
      </c>
      <c r="D840" s="14">
        <v>13435</v>
      </c>
      <c r="E840" s="16" t="s">
        <v>774</v>
      </c>
      <c r="F840" s="40" t="s">
        <v>657</v>
      </c>
      <c r="G840" s="17" t="s">
        <v>75</v>
      </c>
      <c r="H840" s="18" t="s">
        <v>771</v>
      </c>
      <c r="I840" s="19" t="s">
        <v>94</v>
      </c>
      <c r="J840" s="20">
        <v>45883</v>
      </c>
      <c r="K840" s="20">
        <v>45925</v>
      </c>
      <c r="L840" s="21">
        <v>1500000</v>
      </c>
      <c r="M840" s="22">
        <f t="shared" si="761"/>
        <v>1823000</v>
      </c>
      <c r="N840" s="23">
        <v>1500000</v>
      </c>
      <c r="O840" s="23">
        <v>323000</v>
      </c>
      <c r="P840" s="24">
        <f>L840-N840</f>
        <v>0</v>
      </c>
      <c r="Q840" s="25">
        <v>323000</v>
      </c>
      <c r="R840" s="26">
        <v>100000</v>
      </c>
      <c r="S840" s="91">
        <f t="shared" si="758"/>
        <v>0</v>
      </c>
      <c r="T840" s="91">
        <f t="shared" si="759"/>
        <v>3.23</v>
      </c>
      <c r="U840" s="27" t="s">
        <v>193</v>
      </c>
      <c r="V840" s="19" t="s">
        <v>51</v>
      </c>
      <c r="W840" s="20">
        <v>45899</v>
      </c>
      <c r="X840" s="22"/>
      <c r="Y840" s="19" t="s">
        <v>52</v>
      </c>
      <c r="Z840" s="19" t="s">
        <v>52</v>
      </c>
      <c r="AA840" s="19" t="s">
        <v>52</v>
      </c>
      <c r="AB840" s="28"/>
    </row>
    <row r="841" spans="1:33" ht="15" customHeight="1" x14ac:dyDescent="0.25">
      <c r="A841" s="33" t="s">
        <v>71</v>
      </c>
      <c r="B841" s="34"/>
      <c r="C841" s="34"/>
      <c r="D841" s="34"/>
      <c r="E841" s="34"/>
      <c r="F841" s="35"/>
      <c r="G841" s="35"/>
      <c r="H841" s="34"/>
      <c r="I841" s="34"/>
      <c r="J841" s="34"/>
      <c r="K841" s="34"/>
      <c r="L841" s="36"/>
      <c r="M841" s="36"/>
      <c r="N841" s="36"/>
      <c r="O841" s="36"/>
      <c r="P841" s="36"/>
      <c r="Q841" s="36">
        <f>SUM(Q837:Q840)</f>
        <v>1501000</v>
      </c>
      <c r="R841" s="36"/>
      <c r="S841" s="92"/>
      <c r="T841" s="93">
        <f>SUM(T837:T840)</f>
        <v>22.25</v>
      </c>
      <c r="U841" s="37"/>
      <c r="V841" s="38"/>
      <c r="W841" s="38"/>
      <c r="X841" s="38"/>
      <c r="Y841" s="34"/>
      <c r="Z841" s="34"/>
      <c r="AA841" s="39"/>
      <c r="AB841" s="29" t="s">
        <v>881</v>
      </c>
      <c r="AC841" s="81" t="s">
        <v>889</v>
      </c>
      <c r="AD841" s="83">
        <v>5000</v>
      </c>
      <c r="AF841" s="83">
        <v>0</v>
      </c>
      <c r="AG841" s="83">
        <f>SUM(AD841,AF841)</f>
        <v>5000</v>
      </c>
    </row>
    <row r="842" spans="1:33" s="29" customFormat="1" ht="15" customHeight="1" x14ac:dyDescent="0.25">
      <c r="A842" s="14">
        <v>5</v>
      </c>
      <c r="B842" s="15">
        <v>45927</v>
      </c>
      <c r="C842" s="15">
        <f>B842+8</f>
        <v>45935</v>
      </c>
      <c r="D842" s="14">
        <v>13366</v>
      </c>
      <c r="E842" s="16" t="s">
        <v>757</v>
      </c>
      <c r="F842" s="17" t="s">
        <v>672</v>
      </c>
      <c r="G842" s="17" t="s">
        <v>47</v>
      </c>
      <c r="H842" s="18" t="s">
        <v>57</v>
      </c>
      <c r="I842" s="19" t="s">
        <v>58</v>
      </c>
      <c r="J842" s="20">
        <v>45873</v>
      </c>
      <c r="K842" s="20">
        <v>45933</v>
      </c>
      <c r="L842" s="21">
        <v>300000</v>
      </c>
      <c r="M842" s="22">
        <f>SUM(N842:O842)</f>
        <v>593000</v>
      </c>
      <c r="N842" s="23">
        <v>0</v>
      </c>
      <c r="O842" s="23">
        <v>593000</v>
      </c>
      <c r="P842" s="24">
        <f>L842-N842</f>
        <v>300000</v>
      </c>
      <c r="Q842" s="25">
        <v>300000</v>
      </c>
      <c r="R842" s="26">
        <v>42000</v>
      </c>
      <c r="S842" s="91">
        <f t="shared" ref="S842:S845" si="763">IF(P842&gt;0,P842/$R842,0)</f>
        <v>7.1428571428571432</v>
      </c>
      <c r="T842" s="91">
        <f t="shared" ref="T842:T845" si="764">IF(Q842&gt;0,Q842/$R842,0)</f>
        <v>7.1428571428571432</v>
      </c>
      <c r="U842" s="27" t="s">
        <v>192</v>
      </c>
      <c r="V842" s="19" t="s">
        <v>51</v>
      </c>
      <c r="W842" s="20">
        <v>45910</v>
      </c>
      <c r="X842" s="22"/>
      <c r="Y842" s="19" t="s">
        <v>52</v>
      </c>
      <c r="Z842" s="19" t="s">
        <v>52</v>
      </c>
      <c r="AA842" s="19" t="s">
        <v>52</v>
      </c>
      <c r="AB842" s="42"/>
    </row>
    <row r="843" spans="1:33" s="29" customFormat="1" ht="15" customHeight="1" x14ac:dyDescent="0.25">
      <c r="A843" s="14">
        <v>1</v>
      </c>
      <c r="B843" s="15">
        <v>45927</v>
      </c>
      <c r="C843" s="15">
        <f t="shared" ref="C843:C845" si="765">B843+8</f>
        <v>45935</v>
      </c>
      <c r="D843" s="14">
        <v>13354</v>
      </c>
      <c r="E843" s="16" t="s">
        <v>750</v>
      </c>
      <c r="F843" s="17" t="s">
        <v>751</v>
      </c>
      <c r="G843" s="17" t="s">
        <v>47</v>
      </c>
      <c r="H843" s="18" t="s">
        <v>62</v>
      </c>
      <c r="I843" s="19" t="s">
        <v>63</v>
      </c>
      <c r="J843" s="20">
        <v>45869</v>
      </c>
      <c r="K843" s="20">
        <v>45911</v>
      </c>
      <c r="L843" s="21">
        <v>2000000</v>
      </c>
      <c r="M843" s="22">
        <f t="shared" ref="M843:M845" si="766">SUM(N843:O843)</f>
        <v>2258000</v>
      </c>
      <c r="N843" s="23">
        <v>1120000</v>
      </c>
      <c r="O843" s="23">
        <v>1138000</v>
      </c>
      <c r="P843" s="24">
        <f t="shared" ref="P843:P845" si="767">L843-N843</f>
        <v>880000</v>
      </c>
      <c r="Q843" s="25">
        <v>1138000</v>
      </c>
      <c r="R843" s="26">
        <v>80000</v>
      </c>
      <c r="S843" s="91">
        <f t="shared" si="763"/>
        <v>11</v>
      </c>
      <c r="T843" s="91">
        <f t="shared" si="764"/>
        <v>14.225</v>
      </c>
      <c r="U843" s="27" t="s">
        <v>192</v>
      </c>
      <c r="V843" s="19" t="s">
        <v>51</v>
      </c>
      <c r="W843" s="20">
        <v>45903</v>
      </c>
      <c r="X843" s="22"/>
      <c r="Y843" s="19" t="s">
        <v>52</v>
      </c>
      <c r="Z843" s="19" t="s">
        <v>52</v>
      </c>
      <c r="AA843" s="19" t="s">
        <v>52</v>
      </c>
      <c r="AB843" s="42"/>
    </row>
    <row r="844" spans="1:33" s="29" customFormat="1" ht="15" customHeight="1" x14ac:dyDescent="0.25">
      <c r="A844" s="14">
        <v>3</v>
      </c>
      <c r="B844" s="15">
        <v>45927</v>
      </c>
      <c r="C844" s="15">
        <f>B844+8</f>
        <v>45935</v>
      </c>
      <c r="D844" s="14">
        <v>13501</v>
      </c>
      <c r="E844" s="16" t="s">
        <v>400</v>
      </c>
      <c r="F844" s="40" t="s">
        <v>401</v>
      </c>
      <c r="G844" s="17" t="s">
        <v>47</v>
      </c>
      <c r="H844" s="18" t="s">
        <v>542</v>
      </c>
      <c r="I844" s="19" t="s">
        <v>49</v>
      </c>
      <c r="J844" s="20">
        <v>45897</v>
      </c>
      <c r="K844" s="20">
        <v>45923</v>
      </c>
      <c r="L844" s="21">
        <v>150000</v>
      </c>
      <c r="M844" s="22">
        <f>SUM(N844:O844)</f>
        <v>206000</v>
      </c>
      <c r="N844" s="23">
        <v>0</v>
      </c>
      <c r="O844" s="23">
        <v>206000</v>
      </c>
      <c r="P844" s="24">
        <f>L844-N844</f>
        <v>150000</v>
      </c>
      <c r="Q844" s="25">
        <v>206000</v>
      </c>
      <c r="R844" s="26">
        <v>50000</v>
      </c>
      <c r="S844" s="91">
        <f t="shared" si="763"/>
        <v>3</v>
      </c>
      <c r="T844" s="91">
        <f t="shared" si="764"/>
        <v>4.12</v>
      </c>
      <c r="U844" s="27" t="s">
        <v>192</v>
      </c>
      <c r="V844" s="19" t="s">
        <v>51</v>
      </c>
      <c r="W844" s="20">
        <v>45920</v>
      </c>
      <c r="X844" s="22"/>
      <c r="Y844" s="19" t="s">
        <v>52</v>
      </c>
      <c r="Z844" s="19" t="s">
        <v>52</v>
      </c>
      <c r="AA844" s="19" t="s">
        <v>52</v>
      </c>
      <c r="AB844" s="28"/>
    </row>
    <row r="845" spans="1:33" s="29" customFormat="1" ht="15" customHeight="1" x14ac:dyDescent="0.25">
      <c r="A845" s="14">
        <v>2</v>
      </c>
      <c r="B845" s="15">
        <v>45927</v>
      </c>
      <c r="C845" s="15">
        <f t="shared" si="765"/>
        <v>45935</v>
      </c>
      <c r="D845" s="14">
        <v>13534</v>
      </c>
      <c r="E845" s="16" t="s">
        <v>797</v>
      </c>
      <c r="F845" s="17" t="s">
        <v>798</v>
      </c>
      <c r="G845" s="17" t="s">
        <v>47</v>
      </c>
      <c r="H845" s="18" t="s">
        <v>57</v>
      </c>
      <c r="I845" s="19" t="s">
        <v>94</v>
      </c>
      <c r="J845" s="20">
        <v>45905</v>
      </c>
      <c r="K845" s="20">
        <v>45918</v>
      </c>
      <c r="L845" s="21">
        <v>50000</v>
      </c>
      <c r="M845" s="22">
        <f t="shared" si="766"/>
        <v>59000</v>
      </c>
      <c r="N845" s="23">
        <v>0</v>
      </c>
      <c r="O845" s="23">
        <v>59000</v>
      </c>
      <c r="P845" s="24">
        <f t="shared" si="767"/>
        <v>50000</v>
      </c>
      <c r="Q845" s="25">
        <v>50000</v>
      </c>
      <c r="R845" s="26">
        <v>50000</v>
      </c>
      <c r="S845" s="91">
        <f t="shared" si="763"/>
        <v>1</v>
      </c>
      <c r="T845" s="91">
        <f t="shared" si="764"/>
        <v>1</v>
      </c>
      <c r="U845" s="27" t="s">
        <v>192</v>
      </c>
      <c r="V845" s="30" t="s">
        <v>59</v>
      </c>
      <c r="W845" s="31">
        <v>45925</v>
      </c>
      <c r="X845" s="22"/>
      <c r="Y845" s="41" t="s">
        <v>82</v>
      </c>
      <c r="Z845" s="41" t="s">
        <v>82</v>
      </c>
      <c r="AA845" s="41" t="s">
        <v>82</v>
      </c>
      <c r="AB845" s="42"/>
    </row>
    <row r="846" spans="1:33" ht="15" customHeight="1" x14ac:dyDescent="0.25">
      <c r="A846" s="33" t="s">
        <v>71</v>
      </c>
      <c r="B846" s="34"/>
      <c r="C846" s="34"/>
      <c r="D846" s="34"/>
      <c r="E846" s="34"/>
      <c r="F846" s="35"/>
      <c r="G846" s="35"/>
      <c r="H846" s="34"/>
      <c r="I846" s="34"/>
      <c r="J846" s="34"/>
      <c r="K846" s="34"/>
      <c r="L846" s="36"/>
      <c r="M846" s="36"/>
      <c r="N846" s="36"/>
      <c r="O846" s="36"/>
      <c r="P846" s="36"/>
      <c r="Q846" s="36">
        <f>SUM(Q842:Q845)</f>
        <v>1694000</v>
      </c>
      <c r="R846" s="36"/>
      <c r="S846" s="92"/>
      <c r="T846" s="93">
        <f>SUM(T842:T845)</f>
        <v>26.487857142857145</v>
      </c>
      <c r="U846" s="37"/>
      <c r="V846" s="38"/>
      <c r="W846" s="38"/>
      <c r="X846" s="38"/>
      <c r="Y846" s="34"/>
      <c r="Z846" s="34"/>
      <c r="AA846" s="39"/>
      <c r="AB846" s="29" t="s">
        <v>882</v>
      </c>
      <c r="AC846" s="81" t="s">
        <v>890</v>
      </c>
      <c r="AD846" s="83">
        <v>5000</v>
      </c>
      <c r="AF846" s="83">
        <v>0</v>
      </c>
      <c r="AG846" s="83">
        <f>SUM(AD846,AF846)</f>
        <v>5000</v>
      </c>
    </row>
    <row r="847" spans="1:33" s="29" customFormat="1" ht="15" customHeight="1" x14ac:dyDescent="0.25">
      <c r="A847" s="14">
        <v>4</v>
      </c>
      <c r="B847" s="15">
        <v>45930</v>
      </c>
      <c r="C847" s="15">
        <f t="shared" ref="C847:C852" si="768">B847+8</f>
        <v>45938</v>
      </c>
      <c r="D847" s="14">
        <v>13480</v>
      </c>
      <c r="E847" s="16" t="s">
        <v>208</v>
      </c>
      <c r="F847" s="40" t="s">
        <v>209</v>
      </c>
      <c r="G847" s="17" t="s">
        <v>47</v>
      </c>
      <c r="H847" s="18" t="s">
        <v>542</v>
      </c>
      <c r="I847" s="19" t="s">
        <v>49</v>
      </c>
      <c r="J847" s="20">
        <v>45895</v>
      </c>
      <c r="K847" s="20">
        <v>45931</v>
      </c>
      <c r="L847" s="21">
        <v>175000</v>
      </c>
      <c r="M847" s="22">
        <f t="shared" ref="M847:M852" si="769">SUM(N847:O847)</f>
        <v>216000</v>
      </c>
      <c r="N847" s="23">
        <v>166000</v>
      </c>
      <c r="O847" s="23">
        <v>50000</v>
      </c>
      <c r="P847" s="24">
        <f t="shared" ref="P847:P852" si="770">L847-N847</f>
        <v>9000</v>
      </c>
      <c r="Q847" s="25">
        <v>50000</v>
      </c>
      <c r="R847" s="26">
        <v>50000</v>
      </c>
      <c r="S847" s="91">
        <f t="shared" ref="S847:S852" si="771">IF(P847&gt;0,P847/$R847,0)</f>
        <v>0.18</v>
      </c>
      <c r="T847" s="91">
        <f t="shared" ref="T847:T852" si="772">IF(Q847&gt;0,Q847/$R847,0)</f>
        <v>1</v>
      </c>
      <c r="U847" s="27" t="s">
        <v>192</v>
      </c>
      <c r="V847" s="19" t="s">
        <v>51</v>
      </c>
      <c r="W847" s="20">
        <v>45915</v>
      </c>
      <c r="X847" s="22"/>
      <c r="Y847" s="19" t="s">
        <v>52</v>
      </c>
      <c r="Z847" s="19" t="s">
        <v>52</v>
      </c>
      <c r="AA847" s="19" t="s">
        <v>52</v>
      </c>
      <c r="AB847" s="28"/>
    </row>
    <row r="848" spans="1:33" s="29" customFormat="1" ht="15" customHeight="1" x14ac:dyDescent="0.25">
      <c r="A848" s="14">
        <v>3</v>
      </c>
      <c r="B848" s="15">
        <v>45930</v>
      </c>
      <c r="C848" s="15">
        <f>B848+8</f>
        <v>45938</v>
      </c>
      <c r="D848" s="14">
        <v>13483</v>
      </c>
      <c r="E848" s="16" t="s">
        <v>116</v>
      </c>
      <c r="F848" s="17" t="s">
        <v>117</v>
      </c>
      <c r="G848" s="17" t="s">
        <v>102</v>
      </c>
      <c r="H848" s="18" t="s">
        <v>771</v>
      </c>
      <c r="I848" s="19" t="s">
        <v>118</v>
      </c>
      <c r="J848" s="20">
        <v>45895</v>
      </c>
      <c r="K848" s="20">
        <v>45923</v>
      </c>
      <c r="L848" s="21">
        <v>300000</v>
      </c>
      <c r="M848" s="22">
        <f>SUM(N848:O848)</f>
        <v>350000</v>
      </c>
      <c r="N848" s="23">
        <v>100000</v>
      </c>
      <c r="O848" s="23">
        <v>250000</v>
      </c>
      <c r="P848" s="24">
        <f>L848-N848</f>
        <v>200000</v>
      </c>
      <c r="Q848" s="25">
        <v>100000</v>
      </c>
      <c r="R848" s="26">
        <v>100000</v>
      </c>
      <c r="S848" s="91">
        <f t="shared" si="771"/>
        <v>2</v>
      </c>
      <c r="T848" s="91">
        <f t="shared" si="772"/>
        <v>1</v>
      </c>
      <c r="U848" s="27" t="s">
        <v>192</v>
      </c>
      <c r="V848" s="19" t="s">
        <v>51</v>
      </c>
      <c r="W848" s="20">
        <v>45915</v>
      </c>
      <c r="X848" s="22"/>
      <c r="Y848" s="19" t="s">
        <v>52</v>
      </c>
      <c r="Z848" s="19" t="s">
        <v>52</v>
      </c>
      <c r="AA848" s="19" t="s">
        <v>52</v>
      </c>
      <c r="AB848" s="28"/>
    </row>
    <row r="849" spans="1:33" s="29" customFormat="1" ht="15" customHeight="1" x14ac:dyDescent="0.25">
      <c r="A849" s="14">
        <v>3</v>
      </c>
      <c r="B849" s="15">
        <v>45930</v>
      </c>
      <c r="C849" s="15">
        <f t="shared" ref="C849" si="773">B849+8</f>
        <v>45938</v>
      </c>
      <c r="D849" s="14">
        <v>13483</v>
      </c>
      <c r="E849" s="16" t="s">
        <v>116</v>
      </c>
      <c r="F849" s="17" t="s">
        <v>117</v>
      </c>
      <c r="G849" s="17" t="s">
        <v>102</v>
      </c>
      <c r="H849" s="18" t="s">
        <v>771</v>
      </c>
      <c r="I849" s="19" t="s">
        <v>118</v>
      </c>
      <c r="J849" s="20">
        <v>45895</v>
      </c>
      <c r="K849" s="20">
        <v>45923</v>
      </c>
      <c r="L849" s="21">
        <v>300000</v>
      </c>
      <c r="M849" s="22">
        <f t="shared" ref="M849" si="774">SUM(N849:O849)</f>
        <v>350000</v>
      </c>
      <c r="N849" s="23">
        <v>100000</v>
      </c>
      <c r="O849" s="23">
        <v>250000</v>
      </c>
      <c r="P849" s="24">
        <f t="shared" ref="P849" si="775">L849-N849</f>
        <v>200000</v>
      </c>
      <c r="Q849" s="25">
        <v>150000</v>
      </c>
      <c r="R849" s="26">
        <v>100000</v>
      </c>
      <c r="S849" s="91">
        <f t="shared" si="771"/>
        <v>2</v>
      </c>
      <c r="T849" s="91">
        <f t="shared" si="772"/>
        <v>1.5</v>
      </c>
      <c r="U849" s="27" t="s">
        <v>193</v>
      </c>
      <c r="V849" s="19" t="s">
        <v>51</v>
      </c>
      <c r="W849" s="20">
        <v>45915</v>
      </c>
      <c r="X849" s="22"/>
      <c r="Y849" s="19" t="s">
        <v>52</v>
      </c>
      <c r="Z849" s="19" t="s">
        <v>52</v>
      </c>
      <c r="AA849" s="19" t="s">
        <v>52</v>
      </c>
      <c r="AB849" s="28"/>
    </row>
    <row r="850" spans="1:33" s="29" customFormat="1" ht="15" customHeight="1" x14ac:dyDescent="0.25">
      <c r="A850" s="14">
        <v>5</v>
      </c>
      <c r="B850" s="15">
        <v>45930</v>
      </c>
      <c r="C850" s="15">
        <f>B850+8</f>
        <v>45938</v>
      </c>
      <c r="D850" s="14">
        <v>13574</v>
      </c>
      <c r="E850" s="16" t="s">
        <v>206</v>
      </c>
      <c r="F850" s="40" t="s">
        <v>207</v>
      </c>
      <c r="G850" s="17" t="s">
        <v>75</v>
      </c>
      <c r="H850" s="18" t="s">
        <v>542</v>
      </c>
      <c r="I850" s="19" t="s">
        <v>49</v>
      </c>
      <c r="J850" s="20">
        <v>45910</v>
      </c>
      <c r="K850" s="20">
        <v>45933</v>
      </c>
      <c r="L850" s="21">
        <v>600000</v>
      </c>
      <c r="M850" s="22">
        <f>SUM(N850:O850)</f>
        <v>300000</v>
      </c>
      <c r="N850" s="23">
        <v>0</v>
      </c>
      <c r="O850" s="23">
        <v>300000</v>
      </c>
      <c r="P850" s="24">
        <f>L850-N850</f>
        <v>600000</v>
      </c>
      <c r="Q850" s="25">
        <v>300000</v>
      </c>
      <c r="R850" s="26">
        <v>150000</v>
      </c>
      <c r="S850" s="91">
        <f t="shared" si="771"/>
        <v>4</v>
      </c>
      <c r="T850" s="91">
        <f t="shared" si="772"/>
        <v>2</v>
      </c>
      <c r="U850" s="27" t="s">
        <v>193</v>
      </c>
      <c r="V850" s="30" t="s">
        <v>59</v>
      </c>
      <c r="W850" s="31">
        <v>45926</v>
      </c>
      <c r="X850" s="22"/>
      <c r="Y850" s="19" t="s">
        <v>52</v>
      </c>
      <c r="Z850" s="19" t="s">
        <v>52</v>
      </c>
      <c r="AA850" s="19" t="s">
        <v>52</v>
      </c>
      <c r="AB850" s="28"/>
    </row>
    <row r="851" spans="1:33" s="29" customFormat="1" ht="15" customHeight="1" x14ac:dyDescent="0.25">
      <c r="A851" s="14">
        <v>6</v>
      </c>
      <c r="B851" s="15">
        <v>45930</v>
      </c>
      <c r="C851" s="15">
        <f>B851+8</f>
        <v>45938</v>
      </c>
      <c r="D851" s="14">
        <v>13538</v>
      </c>
      <c r="E851" s="16" t="s">
        <v>216</v>
      </c>
      <c r="F851" s="40" t="s">
        <v>217</v>
      </c>
      <c r="G851" s="17" t="s">
        <v>75</v>
      </c>
      <c r="H851" s="18" t="s">
        <v>542</v>
      </c>
      <c r="I851" s="19" t="s">
        <v>104</v>
      </c>
      <c r="J851" s="20">
        <v>45904</v>
      </c>
      <c r="K851" s="20">
        <v>45938</v>
      </c>
      <c r="L851" s="21">
        <v>400000</v>
      </c>
      <c r="M851" s="22">
        <f t="shared" ref="M851" si="776">SUM(N851:O851)</f>
        <v>486000</v>
      </c>
      <c r="N851" s="23">
        <v>219000</v>
      </c>
      <c r="O851" s="23">
        <v>267000</v>
      </c>
      <c r="P851" s="24">
        <f>L851-N851</f>
        <v>181000</v>
      </c>
      <c r="Q851" s="25">
        <v>267000</v>
      </c>
      <c r="R851" s="26">
        <v>150000</v>
      </c>
      <c r="S851" s="91">
        <f t="shared" si="771"/>
        <v>1.2066666666666668</v>
      </c>
      <c r="T851" s="91">
        <f t="shared" si="772"/>
        <v>1.78</v>
      </c>
      <c r="U851" s="27" t="s">
        <v>193</v>
      </c>
      <c r="V851" s="19" t="s">
        <v>51</v>
      </c>
      <c r="W851" s="20">
        <v>45918</v>
      </c>
      <c r="X851" s="22"/>
      <c r="Y851" s="19" t="s">
        <v>52</v>
      </c>
      <c r="Z851" s="19" t="s">
        <v>52</v>
      </c>
      <c r="AA851" s="19" t="s">
        <v>52</v>
      </c>
      <c r="AB851" s="28"/>
    </row>
    <row r="852" spans="1:33" s="29" customFormat="1" ht="15" customHeight="1" x14ac:dyDescent="0.25">
      <c r="A852" s="14">
        <v>12</v>
      </c>
      <c r="B852" s="15">
        <v>45930</v>
      </c>
      <c r="C852" s="15">
        <f t="shared" si="768"/>
        <v>45938</v>
      </c>
      <c r="D852" s="14">
        <v>13601</v>
      </c>
      <c r="E852" s="16" t="s">
        <v>756</v>
      </c>
      <c r="F852" s="17" t="s">
        <v>813</v>
      </c>
      <c r="G852" s="17" t="s">
        <v>47</v>
      </c>
      <c r="H852" s="18" t="s">
        <v>57</v>
      </c>
      <c r="I852" s="19" t="s">
        <v>58</v>
      </c>
      <c r="J852" s="20">
        <v>45916</v>
      </c>
      <c r="K852" s="20">
        <v>45947</v>
      </c>
      <c r="L852" s="21">
        <v>2000000</v>
      </c>
      <c r="M852" s="22">
        <f t="shared" si="769"/>
        <v>1000000</v>
      </c>
      <c r="N852" s="23">
        <v>0</v>
      </c>
      <c r="O852" s="23">
        <v>1000000</v>
      </c>
      <c r="P852" s="24">
        <f t="shared" si="770"/>
        <v>2000000</v>
      </c>
      <c r="Q852" s="25">
        <v>1000000</v>
      </c>
      <c r="R852" s="26">
        <v>50000</v>
      </c>
      <c r="S852" s="91">
        <f t="shared" si="771"/>
        <v>40</v>
      </c>
      <c r="T852" s="91">
        <f t="shared" si="772"/>
        <v>20</v>
      </c>
      <c r="U852" s="27" t="s">
        <v>193</v>
      </c>
      <c r="V852" s="30" t="s">
        <v>59</v>
      </c>
      <c r="W852" s="31">
        <v>45926</v>
      </c>
      <c r="X852" s="22"/>
      <c r="Y852" s="19" t="s">
        <v>52</v>
      </c>
      <c r="Z852" s="19" t="s">
        <v>52</v>
      </c>
      <c r="AA852" s="19" t="s">
        <v>52</v>
      </c>
      <c r="AB852" s="42"/>
    </row>
    <row r="853" spans="1:33" ht="15" customHeight="1" x14ac:dyDescent="0.25">
      <c r="A853" s="33" t="s">
        <v>71</v>
      </c>
      <c r="B853" s="34"/>
      <c r="C853" s="34"/>
      <c r="D853" s="34"/>
      <c r="E853" s="34"/>
      <c r="F853" s="35"/>
      <c r="G853" s="35"/>
      <c r="H853" s="34"/>
      <c r="I853" s="34"/>
      <c r="J853" s="34"/>
      <c r="K853" s="34"/>
      <c r="L853" s="36"/>
      <c r="M853" s="36"/>
      <c r="N853" s="36"/>
      <c r="O853" s="36"/>
      <c r="P853" s="36"/>
      <c r="Q853" s="36">
        <f>SUM(Q847:Q852)</f>
        <v>1867000</v>
      </c>
      <c r="R853" s="36"/>
      <c r="S853" s="92"/>
      <c r="T853" s="93">
        <f>SUM(T847:T852)</f>
        <v>27.28</v>
      </c>
      <c r="U853" s="37"/>
      <c r="V853" s="38"/>
      <c r="W853" s="38"/>
      <c r="X853" s="38"/>
      <c r="Y853" s="34"/>
      <c r="Z853" s="34"/>
      <c r="AA853" s="39"/>
      <c r="AB853" s="29" t="s">
        <v>883</v>
      </c>
      <c r="AC853" s="81">
        <v>12720</v>
      </c>
      <c r="AD853" s="83">
        <v>5000</v>
      </c>
      <c r="AF853" s="83">
        <v>0</v>
      </c>
      <c r="AG853" s="83">
        <f>SUM(AD853,AF853)</f>
        <v>5000</v>
      </c>
    </row>
    <row r="854" spans="1:33" s="29" customFormat="1" ht="15" customHeight="1" x14ac:dyDescent="0.25">
      <c r="A854" s="14">
        <v>2</v>
      </c>
      <c r="B854" s="15">
        <v>45930</v>
      </c>
      <c r="C854" s="15">
        <f>B854+8</f>
        <v>45938</v>
      </c>
      <c r="D854" s="14">
        <v>13363</v>
      </c>
      <c r="E854" s="16" t="s">
        <v>737</v>
      </c>
      <c r="F854" s="17" t="s">
        <v>478</v>
      </c>
      <c r="G854" s="17" t="s">
        <v>102</v>
      </c>
      <c r="H854" s="18" t="s">
        <v>57</v>
      </c>
      <c r="I854" s="19" t="s">
        <v>58</v>
      </c>
      <c r="J854" s="20">
        <v>45874</v>
      </c>
      <c r="K854" s="20">
        <v>45905</v>
      </c>
      <c r="L854" s="21">
        <v>1000000</v>
      </c>
      <c r="M854" s="22">
        <f>SUM(N854:O854)</f>
        <v>832000</v>
      </c>
      <c r="N854" s="23">
        <v>0</v>
      </c>
      <c r="O854" s="23">
        <v>832000</v>
      </c>
      <c r="P854" s="24">
        <f>L854-N854</f>
        <v>1000000</v>
      </c>
      <c r="Q854" s="25">
        <v>118000</v>
      </c>
      <c r="R854" s="26">
        <v>48000</v>
      </c>
      <c r="S854" s="91">
        <f t="shared" ref="S854:S856" si="777">IF(P854&gt;0,P854/$R854,0)</f>
        <v>20.833333333333332</v>
      </c>
      <c r="T854" s="91">
        <f t="shared" ref="T854:T856" si="778">IF(Q854&gt;0,Q854/$R854,0)</f>
        <v>2.4583333333333335</v>
      </c>
      <c r="U854" s="27" t="s">
        <v>192</v>
      </c>
      <c r="V854" s="19" t="s">
        <v>51</v>
      </c>
      <c r="W854" s="20">
        <v>45908</v>
      </c>
      <c r="X854" s="22"/>
      <c r="Y854" s="19" t="s">
        <v>52</v>
      </c>
      <c r="Z854" s="19" t="s">
        <v>52</v>
      </c>
      <c r="AA854" s="19" t="s">
        <v>52</v>
      </c>
      <c r="AB854" s="28"/>
    </row>
    <row r="855" spans="1:33" s="29" customFormat="1" ht="15" customHeight="1" x14ac:dyDescent="0.25">
      <c r="A855" s="14">
        <v>2</v>
      </c>
      <c r="B855" s="15">
        <v>45930</v>
      </c>
      <c r="C855" s="15">
        <f t="shared" ref="C855" si="779">B855+8</f>
        <v>45938</v>
      </c>
      <c r="D855" s="14">
        <v>13363</v>
      </c>
      <c r="E855" s="16" t="s">
        <v>737</v>
      </c>
      <c r="F855" s="17" t="s">
        <v>478</v>
      </c>
      <c r="G855" s="17" t="s">
        <v>102</v>
      </c>
      <c r="H855" s="18" t="s">
        <v>57</v>
      </c>
      <c r="I855" s="19" t="s">
        <v>58</v>
      </c>
      <c r="J855" s="20">
        <v>45874</v>
      </c>
      <c r="K855" s="20">
        <v>45905</v>
      </c>
      <c r="L855" s="21">
        <v>1000000</v>
      </c>
      <c r="M855" s="22">
        <f t="shared" ref="M855" si="780">SUM(N855:O855)</f>
        <v>832000</v>
      </c>
      <c r="N855" s="23">
        <v>0</v>
      </c>
      <c r="O855" s="23">
        <v>832000</v>
      </c>
      <c r="P855" s="24">
        <f t="shared" ref="P855" si="781">L855-N855</f>
        <v>1000000</v>
      </c>
      <c r="Q855" s="25">
        <v>714000</v>
      </c>
      <c r="R855" s="26">
        <v>48000</v>
      </c>
      <c r="S855" s="91">
        <f t="shared" si="777"/>
        <v>20.833333333333332</v>
      </c>
      <c r="T855" s="91">
        <f t="shared" si="778"/>
        <v>14.875</v>
      </c>
      <c r="U855" s="27" t="s">
        <v>193</v>
      </c>
      <c r="V855" s="19" t="s">
        <v>51</v>
      </c>
      <c r="W855" s="20">
        <v>45908</v>
      </c>
      <c r="X855" s="22"/>
      <c r="Y855" s="19" t="s">
        <v>52</v>
      </c>
      <c r="Z855" s="19" t="s">
        <v>52</v>
      </c>
      <c r="AA855" s="19" t="s">
        <v>52</v>
      </c>
      <c r="AB855" s="28"/>
    </row>
    <row r="856" spans="1:33" s="29" customFormat="1" ht="15" customHeight="1" x14ac:dyDescent="0.25">
      <c r="A856" s="14">
        <v>10</v>
      </c>
      <c r="B856" s="15">
        <v>45930</v>
      </c>
      <c r="C856" s="15">
        <f t="shared" ref="C856" si="782">B856+8</f>
        <v>45938</v>
      </c>
      <c r="D856" s="14">
        <v>13595</v>
      </c>
      <c r="E856" s="16" t="s">
        <v>808</v>
      </c>
      <c r="F856" s="40" t="s">
        <v>657</v>
      </c>
      <c r="G856" s="17" t="s">
        <v>75</v>
      </c>
      <c r="H856" s="18" t="s">
        <v>57</v>
      </c>
      <c r="I856" s="19" t="s">
        <v>94</v>
      </c>
      <c r="J856" s="20">
        <v>45911</v>
      </c>
      <c r="K856" s="20">
        <v>45952</v>
      </c>
      <c r="L856" s="21">
        <v>750000</v>
      </c>
      <c r="M856" s="22">
        <f t="shared" ref="M856" si="783">SUM(N856:O856)</f>
        <v>512000</v>
      </c>
      <c r="N856" s="23">
        <v>0</v>
      </c>
      <c r="O856" s="23">
        <v>512000</v>
      </c>
      <c r="P856" s="24">
        <f t="shared" ref="P856" si="784">L856-N856</f>
        <v>750000</v>
      </c>
      <c r="Q856" s="25">
        <v>512000</v>
      </c>
      <c r="R856" s="26">
        <v>100000</v>
      </c>
      <c r="S856" s="91">
        <f t="shared" si="777"/>
        <v>7.5</v>
      </c>
      <c r="T856" s="91">
        <f t="shared" si="778"/>
        <v>5.12</v>
      </c>
      <c r="U856" s="27" t="s">
        <v>193</v>
      </c>
      <c r="V856" s="19" t="s">
        <v>51</v>
      </c>
      <c r="W856" s="20">
        <v>45910</v>
      </c>
      <c r="X856" s="22"/>
      <c r="Y856" s="19" t="s">
        <v>52</v>
      </c>
      <c r="Z856" s="19" t="s">
        <v>52</v>
      </c>
      <c r="AA856" s="19" t="s">
        <v>52</v>
      </c>
      <c r="AB856" s="28"/>
    </row>
    <row r="857" spans="1:33" ht="15" customHeight="1" x14ac:dyDescent="0.25">
      <c r="A857" s="33" t="s">
        <v>71</v>
      </c>
      <c r="B857" s="34"/>
      <c r="C857" s="34"/>
      <c r="D857" s="34"/>
      <c r="E857" s="34"/>
      <c r="F857" s="35"/>
      <c r="G857" s="35"/>
      <c r="H857" s="34"/>
      <c r="I857" s="34"/>
      <c r="J857" s="34"/>
      <c r="K857" s="34"/>
      <c r="L857" s="36"/>
      <c r="M857" s="36"/>
      <c r="N857" s="36"/>
      <c r="O857" s="36"/>
      <c r="P857" s="36"/>
      <c r="Q857" s="36">
        <f>SUM(Q854:Q856)</f>
        <v>1344000</v>
      </c>
      <c r="R857" s="36"/>
      <c r="S857" s="92"/>
      <c r="T857" s="93">
        <f>SUM(T854:T856)</f>
        <v>22.453333333333333</v>
      </c>
      <c r="U857" s="37"/>
      <c r="V857" s="38"/>
      <c r="W857" s="38"/>
      <c r="X857" s="38"/>
      <c r="Y857" s="34"/>
      <c r="Z857" s="34"/>
      <c r="AA857" s="39"/>
      <c r="AB857" s="29" t="s">
        <v>884</v>
      </c>
      <c r="AC857" s="81" t="s">
        <v>901</v>
      </c>
      <c r="AD857" s="83">
        <v>5000</v>
      </c>
      <c r="AF857" s="83">
        <v>0</v>
      </c>
      <c r="AG857" s="83">
        <f>SUM(AD857,AF857)</f>
        <v>5000</v>
      </c>
    </row>
    <row r="858" spans="1:33" s="29" customFormat="1" ht="15" customHeight="1" x14ac:dyDescent="0.25">
      <c r="A858" s="14">
        <v>7</v>
      </c>
      <c r="B858" s="15">
        <v>45934</v>
      </c>
      <c r="C858" s="15">
        <f t="shared" ref="C858" si="785">B858+8</f>
        <v>45942</v>
      </c>
      <c r="D858" s="14">
        <v>13461</v>
      </c>
      <c r="E858" s="16" t="s">
        <v>297</v>
      </c>
      <c r="F858" s="17" t="s">
        <v>298</v>
      </c>
      <c r="G858" s="17" t="s">
        <v>102</v>
      </c>
      <c r="H858" s="18" t="s">
        <v>57</v>
      </c>
      <c r="I858" s="19" t="s">
        <v>94</v>
      </c>
      <c r="J858" s="20">
        <v>45891</v>
      </c>
      <c r="K858" s="20">
        <v>45938</v>
      </c>
      <c r="L858" s="21">
        <v>600000</v>
      </c>
      <c r="M858" s="22">
        <f t="shared" ref="M858" si="786">SUM(N858:O858)</f>
        <v>390000</v>
      </c>
      <c r="N858" s="23">
        <v>0</v>
      </c>
      <c r="O858" s="23">
        <v>390000</v>
      </c>
      <c r="P858" s="24">
        <f t="shared" ref="P858" si="787">L858-N858</f>
        <v>600000</v>
      </c>
      <c r="Q858" s="25">
        <v>330000</v>
      </c>
      <c r="R858" s="26">
        <v>30000</v>
      </c>
      <c r="S858" s="91">
        <f t="shared" ref="S858:S862" si="788">IF(P858&gt;0,P858/$R858,0)</f>
        <v>20</v>
      </c>
      <c r="T858" s="91">
        <f t="shared" ref="T858:T862" si="789">IF(Q858&gt;0,Q858/$R858,0)</f>
        <v>11</v>
      </c>
      <c r="U858" s="27" t="s">
        <v>192</v>
      </c>
      <c r="V858" s="30" t="s">
        <v>59</v>
      </c>
      <c r="W858" s="31">
        <v>45925</v>
      </c>
      <c r="X858" s="22"/>
      <c r="Y858" s="19" t="s">
        <v>52</v>
      </c>
      <c r="Z858" s="19" t="s">
        <v>52</v>
      </c>
      <c r="AA858" s="19" t="s">
        <v>52</v>
      </c>
      <c r="AB858" s="28"/>
    </row>
    <row r="859" spans="1:33" s="29" customFormat="1" ht="15" customHeight="1" x14ac:dyDescent="0.25">
      <c r="A859" s="14">
        <v>8</v>
      </c>
      <c r="B859" s="15">
        <v>45934</v>
      </c>
      <c r="C859" s="15">
        <f>B859+8</f>
        <v>45942</v>
      </c>
      <c r="D859" s="14">
        <v>13549</v>
      </c>
      <c r="E859" s="16" t="s">
        <v>403</v>
      </c>
      <c r="F859" s="17" t="s">
        <v>708</v>
      </c>
      <c r="G859" s="17" t="s">
        <v>47</v>
      </c>
      <c r="H859" s="18" t="s">
        <v>801</v>
      </c>
      <c r="I859" s="19" t="s">
        <v>70</v>
      </c>
      <c r="J859" s="20">
        <v>45908</v>
      </c>
      <c r="K859" s="20">
        <v>45940</v>
      </c>
      <c r="L859" s="21">
        <v>2000000</v>
      </c>
      <c r="M859" s="22">
        <f t="shared" ref="M859" si="790">SUM(N859:O859)</f>
        <v>1560000</v>
      </c>
      <c r="N859" s="23">
        <v>250000</v>
      </c>
      <c r="O859" s="23">
        <v>1310000</v>
      </c>
      <c r="P859" s="24">
        <f>L859-N859</f>
        <v>1750000</v>
      </c>
      <c r="Q859" s="25">
        <v>800000</v>
      </c>
      <c r="R859" s="26">
        <v>50000</v>
      </c>
      <c r="S859" s="91">
        <f t="shared" si="788"/>
        <v>35</v>
      </c>
      <c r="T859" s="91">
        <f t="shared" si="789"/>
        <v>16</v>
      </c>
      <c r="U859" s="27" t="s">
        <v>192</v>
      </c>
      <c r="V859" s="19" t="s">
        <v>51</v>
      </c>
      <c r="W859" s="20">
        <v>45918</v>
      </c>
      <c r="X859" s="22"/>
      <c r="Y859" s="19" t="s">
        <v>52</v>
      </c>
      <c r="Z859" s="19" t="s">
        <v>52</v>
      </c>
      <c r="AA859" s="19" t="s">
        <v>52</v>
      </c>
      <c r="AB859" s="42"/>
    </row>
    <row r="860" spans="1:33" s="29" customFormat="1" ht="15" customHeight="1" x14ac:dyDescent="0.25">
      <c r="A860" s="14">
        <v>3</v>
      </c>
      <c r="B860" s="15">
        <v>45934</v>
      </c>
      <c r="C860" s="15">
        <f>B860+8</f>
        <v>45942</v>
      </c>
      <c r="D860" s="14">
        <v>13333</v>
      </c>
      <c r="E860" s="16" t="s">
        <v>740</v>
      </c>
      <c r="F860" s="17" t="s">
        <v>317</v>
      </c>
      <c r="G860" s="17" t="s">
        <v>132</v>
      </c>
      <c r="H860" s="18" t="s">
        <v>133</v>
      </c>
      <c r="I860" s="19" t="s">
        <v>198</v>
      </c>
      <c r="J860" s="20">
        <v>45866</v>
      </c>
      <c r="K860" s="20">
        <v>45884</v>
      </c>
      <c r="L860" s="21">
        <v>2000000</v>
      </c>
      <c r="M860" s="22">
        <f t="shared" ref="M860" si="791">SUM(N860:O860)</f>
        <v>296000</v>
      </c>
      <c r="N860" s="23">
        <v>168000</v>
      </c>
      <c r="O860" s="23">
        <v>128000</v>
      </c>
      <c r="P860" s="24">
        <f>L860-N860</f>
        <v>1832000</v>
      </c>
      <c r="Q860" s="25">
        <v>128000</v>
      </c>
      <c r="R860" s="26">
        <v>128000</v>
      </c>
      <c r="S860" s="91">
        <f t="shared" si="788"/>
        <v>14.3125</v>
      </c>
      <c r="T860" s="91">
        <f t="shared" si="789"/>
        <v>1</v>
      </c>
      <c r="U860" s="27" t="s">
        <v>56</v>
      </c>
      <c r="V860" s="19" t="s">
        <v>51</v>
      </c>
      <c r="W860" s="20">
        <v>45903</v>
      </c>
      <c r="X860" s="22"/>
      <c r="Y860" s="19" t="s">
        <v>52</v>
      </c>
      <c r="Z860" s="19" t="s">
        <v>52</v>
      </c>
      <c r="AA860" s="19" t="s">
        <v>52</v>
      </c>
      <c r="AB860" s="28"/>
    </row>
    <row r="861" spans="1:33" s="29" customFormat="1" ht="15" customHeight="1" x14ac:dyDescent="0.25">
      <c r="A861" s="14">
        <v>7</v>
      </c>
      <c r="B861" s="15">
        <v>45934</v>
      </c>
      <c r="C861" s="15">
        <f t="shared" ref="C861" si="792">B861+8</f>
        <v>45942</v>
      </c>
      <c r="D861" s="14">
        <v>13461</v>
      </c>
      <c r="E861" s="16" t="s">
        <v>297</v>
      </c>
      <c r="F861" s="17" t="s">
        <v>298</v>
      </c>
      <c r="G861" s="17" t="s">
        <v>102</v>
      </c>
      <c r="H861" s="18" t="s">
        <v>57</v>
      </c>
      <c r="I861" s="19" t="s">
        <v>94</v>
      </c>
      <c r="J861" s="20">
        <v>45891</v>
      </c>
      <c r="K861" s="20">
        <v>45938</v>
      </c>
      <c r="L861" s="21">
        <v>600000</v>
      </c>
      <c r="M861" s="22">
        <f t="shared" ref="M861" si="793">SUM(N861:O861)</f>
        <v>390000</v>
      </c>
      <c r="N861" s="23">
        <v>0</v>
      </c>
      <c r="O861" s="23">
        <v>390000</v>
      </c>
      <c r="P861" s="24">
        <f t="shared" ref="P861" si="794">L861-N861</f>
        <v>600000</v>
      </c>
      <c r="Q861" s="25">
        <v>30000</v>
      </c>
      <c r="R861" s="26">
        <v>30000</v>
      </c>
      <c r="S861" s="91">
        <f t="shared" si="788"/>
        <v>20</v>
      </c>
      <c r="T861" s="91">
        <f t="shared" si="789"/>
        <v>1</v>
      </c>
      <c r="U861" s="27" t="s">
        <v>56</v>
      </c>
      <c r="V861" s="30" t="s">
        <v>59</v>
      </c>
      <c r="W861" s="31">
        <v>45925</v>
      </c>
      <c r="X861" s="22"/>
      <c r="Y861" s="19" t="s">
        <v>52</v>
      </c>
      <c r="Z861" s="19" t="s">
        <v>52</v>
      </c>
      <c r="AA861" s="19" t="s">
        <v>52</v>
      </c>
      <c r="AB861" s="28"/>
    </row>
    <row r="862" spans="1:33" s="29" customFormat="1" ht="15" customHeight="1" x14ac:dyDescent="0.25">
      <c r="A862" s="14">
        <v>7</v>
      </c>
      <c r="B862" s="15">
        <v>45934</v>
      </c>
      <c r="C862" s="15">
        <f t="shared" ref="C862" si="795">B862+8</f>
        <v>45942</v>
      </c>
      <c r="D862" s="14">
        <v>13461</v>
      </c>
      <c r="E862" s="16" t="s">
        <v>297</v>
      </c>
      <c r="F862" s="17" t="s">
        <v>298</v>
      </c>
      <c r="G862" s="17" t="s">
        <v>102</v>
      </c>
      <c r="H862" s="18" t="s">
        <v>57</v>
      </c>
      <c r="I862" s="19" t="s">
        <v>94</v>
      </c>
      <c r="J862" s="20">
        <v>45891</v>
      </c>
      <c r="K862" s="20">
        <v>45938</v>
      </c>
      <c r="L862" s="21">
        <v>600000</v>
      </c>
      <c r="M862" s="22">
        <f t="shared" ref="M862" si="796">SUM(N862:O862)</f>
        <v>390000</v>
      </c>
      <c r="N862" s="23">
        <v>0</v>
      </c>
      <c r="O862" s="23">
        <v>390000</v>
      </c>
      <c r="P862" s="24">
        <f t="shared" ref="P862" si="797">L862-N862</f>
        <v>600000</v>
      </c>
      <c r="Q862" s="25">
        <v>30000</v>
      </c>
      <c r="R862" s="26">
        <v>30000</v>
      </c>
      <c r="S862" s="91">
        <f t="shared" si="788"/>
        <v>20</v>
      </c>
      <c r="T862" s="91">
        <f t="shared" si="789"/>
        <v>1</v>
      </c>
      <c r="U862" s="27" t="s">
        <v>193</v>
      </c>
      <c r="V862" s="30" t="s">
        <v>59</v>
      </c>
      <c r="W862" s="31">
        <v>45925</v>
      </c>
      <c r="X862" s="22"/>
      <c r="Y862" s="19" t="s">
        <v>52</v>
      </c>
      <c r="Z862" s="19" t="s">
        <v>52</v>
      </c>
      <c r="AA862" s="19" t="s">
        <v>52</v>
      </c>
      <c r="AB862" s="28"/>
    </row>
    <row r="863" spans="1:33" ht="15" customHeight="1" x14ac:dyDescent="0.25">
      <c r="A863" s="33" t="s">
        <v>71</v>
      </c>
      <c r="B863" s="34"/>
      <c r="C863" s="34"/>
      <c r="D863" s="34"/>
      <c r="E863" s="34"/>
      <c r="F863" s="35"/>
      <c r="G863" s="35"/>
      <c r="H863" s="34"/>
      <c r="I863" s="34"/>
      <c r="J863" s="34"/>
      <c r="K863" s="34"/>
      <c r="L863" s="36"/>
      <c r="M863" s="36"/>
      <c r="N863" s="36"/>
      <c r="O863" s="36"/>
      <c r="P863" s="36"/>
      <c r="Q863" s="36">
        <f>SUM(Q858:Q862)</f>
        <v>1318000</v>
      </c>
      <c r="R863" s="36"/>
      <c r="S863" s="92"/>
      <c r="T863" s="93">
        <f>SUM(T858:T862)</f>
        <v>30</v>
      </c>
      <c r="U863" s="37"/>
      <c r="V863" s="38"/>
      <c r="W863" s="38"/>
      <c r="X863" s="38"/>
      <c r="Y863" s="34"/>
      <c r="Z863" s="34"/>
      <c r="AA863" s="39"/>
      <c r="AB863" s="29" t="s">
        <v>885</v>
      </c>
      <c r="AC863" s="81" t="s">
        <v>903</v>
      </c>
      <c r="AD863" s="83">
        <v>5000</v>
      </c>
      <c r="AF863" s="83">
        <v>0</v>
      </c>
      <c r="AG863" s="83">
        <f>SUM(AD863,AF863)</f>
        <v>5000</v>
      </c>
    </row>
    <row r="864" spans="1:33" s="29" customFormat="1" ht="15" customHeight="1" x14ac:dyDescent="0.25">
      <c r="A864" s="14">
        <v>4</v>
      </c>
      <c r="B864" s="15">
        <v>45931</v>
      </c>
      <c r="C864" s="15">
        <f>B864+8</f>
        <v>45939</v>
      </c>
      <c r="D864" s="14">
        <v>13291</v>
      </c>
      <c r="E864" s="16" t="s">
        <v>148</v>
      </c>
      <c r="F864" s="17" t="s">
        <v>149</v>
      </c>
      <c r="G864" s="17" t="s">
        <v>132</v>
      </c>
      <c r="H864" s="18" t="s">
        <v>54</v>
      </c>
      <c r="I864" s="19" t="s">
        <v>135</v>
      </c>
      <c r="J864" s="20">
        <v>45859</v>
      </c>
      <c r="K864" s="20">
        <v>45904</v>
      </c>
      <c r="L864" s="21">
        <v>56000</v>
      </c>
      <c r="M864" s="22">
        <f>SUM(N864:O864)</f>
        <v>73260</v>
      </c>
      <c r="N864" s="23">
        <v>0</v>
      </c>
      <c r="O864" s="23">
        <v>73260</v>
      </c>
      <c r="P864" s="24">
        <f>L864-N864</f>
        <v>56000</v>
      </c>
      <c r="Q864" s="25">
        <v>73250</v>
      </c>
      <c r="R864" s="26">
        <v>57330</v>
      </c>
      <c r="S864" s="91">
        <f t="shared" ref="S864:S868" si="798">IF(P864&gt;0,P864/$R864,0)</f>
        <v>0.97680097680097677</v>
      </c>
      <c r="T864" s="91">
        <f t="shared" ref="T864:T868" si="799">IF(Q864&gt;0,Q864/$R864,0)</f>
        <v>1.2776905634048492</v>
      </c>
      <c r="U864" s="27" t="s">
        <v>56</v>
      </c>
      <c r="V864" s="30" t="s">
        <v>59</v>
      </c>
      <c r="W864" s="31">
        <v>45925</v>
      </c>
      <c r="X864" s="22"/>
      <c r="Y864" s="19" t="s">
        <v>52</v>
      </c>
      <c r="Z864" s="19" t="s">
        <v>52</v>
      </c>
      <c r="AA864" s="19" t="s">
        <v>52</v>
      </c>
      <c r="AB864" s="28"/>
    </row>
    <row r="865" spans="1:33" s="29" customFormat="1" ht="15" customHeight="1" x14ac:dyDescent="0.25">
      <c r="A865" s="14">
        <v>5</v>
      </c>
      <c r="B865" s="15">
        <v>45931</v>
      </c>
      <c r="C865" s="15">
        <f>B865+8</f>
        <v>45939</v>
      </c>
      <c r="D865" s="14">
        <v>13290</v>
      </c>
      <c r="E865" s="16" t="s">
        <v>158</v>
      </c>
      <c r="F865" s="17" t="s">
        <v>159</v>
      </c>
      <c r="G865" s="17" t="s">
        <v>132</v>
      </c>
      <c r="H865" s="18" t="s">
        <v>54</v>
      </c>
      <c r="I865" s="19" t="s">
        <v>135</v>
      </c>
      <c r="J865" s="20">
        <v>45859</v>
      </c>
      <c r="K865" s="20">
        <v>45904</v>
      </c>
      <c r="L865" s="21">
        <v>290000</v>
      </c>
      <c r="M865" s="22">
        <f>SUM(N865:O865)</f>
        <v>285710</v>
      </c>
      <c r="N865" s="23">
        <v>0</v>
      </c>
      <c r="O865" s="23">
        <v>285710</v>
      </c>
      <c r="P865" s="24">
        <f>L865-N865</f>
        <v>290000</v>
      </c>
      <c r="Q865" s="25">
        <v>285710</v>
      </c>
      <c r="R865" s="26">
        <v>57330</v>
      </c>
      <c r="S865" s="91">
        <f t="shared" si="798"/>
        <v>5.0584336298622015</v>
      </c>
      <c r="T865" s="91">
        <f t="shared" si="799"/>
        <v>4.9836036978894125</v>
      </c>
      <c r="U865" s="27" t="s">
        <v>56</v>
      </c>
      <c r="V865" s="30" t="s">
        <v>59</v>
      </c>
      <c r="W865" s="31">
        <v>45925</v>
      </c>
      <c r="X865" s="22"/>
      <c r="Y865" s="19" t="s">
        <v>52</v>
      </c>
      <c r="Z865" s="19" t="s">
        <v>52</v>
      </c>
      <c r="AA865" s="19" t="s">
        <v>52</v>
      </c>
      <c r="AB865" s="28"/>
    </row>
    <row r="866" spans="1:33" s="29" customFormat="1" ht="15" customHeight="1" x14ac:dyDescent="0.25">
      <c r="A866" s="14">
        <v>11</v>
      </c>
      <c r="B866" s="15">
        <v>45931</v>
      </c>
      <c r="C866" s="15">
        <f>B866+8</f>
        <v>45939</v>
      </c>
      <c r="D866" s="14">
        <v>13414</v>
      </c>
      <c r="E866" s="16" t="s">
        <v>156</v>
      </c>
      <c r="F866" s="17" t="s">
        <v>157</v>
      </c>
      <c r="G866" s="17" t="s">
        <v>132</v>
      </c>
      <c r="H866" s="18" t="s">
        <v>54</v>
      </c>
      <c r="I866" s="19" t="s">
        <v>135</v>
      </c>
      <c r="J866" s="20">
        <v>45884</v>
      </c>
      <c r="K866" s="20">
        <v>45932</v>
      </c>
      <c r="L866" s="21">
        <v>400000</v>
      </c>
      <c r="M866" s="22">
        <f>SUM(N866:O866)</f>
        <v>387440</v>
      </c>
      <c r="N866" s="23">
        <v>0</v>
      </c>
      <c r="O866" s="23">
        <v>387440</v>
      </c>
      <c r="P866" s="24">
        <f>L866-N866</f>
        <v>400000</v>
      </c>
      <c r="Q866" s="25">
        <v>330110</v>
      </c>
      <c r="R866" s="26">
        <v>57330</v>
      </c>
      <c r="S866" s="91">
        <f t="shared" si="798"/>
        <v>6.9771498342926916</v>
      </c>
      <c r="T866" s="91">
        <f t="shared" si="799"/>
        <v>5.7580673294959013</v>
      </c>
      <c r="U866" s="27" t="s">
        <v>56</v>
      </c>
      <c r="V866" s="30" t="s">
        <v>59</v>
      </c>
      <c r="W866" s="31">
        <v>45925</v>
      </c>
      <c r="X866" s="22"/>
      <c r="Y866" s="19" t="s">
        <v>52</v>
      </c>
      <c r="Z866" s="19" t="s">
        <v>52</v>
      </c>
      <c r="AA866" s="19" t="s">
        <v>52</v>
      </c>
      <c r="AB866" s="28"/>
    </row>
    <row r="867" spans="1:33" s="29" customFormat="1" ht="15" customHeight="1" x14ac:dyDescent="0.25">
      <c r="A867" s="14">
        <v>12</v>
      </c>
      <c r="B867" s="15">
        <v>45931</v>
      </c>
      <c r="C867" s="15">
        <f>B867+8</f>
        <v>45939</v>
      </c>
      <c r="D867" s="14">
        <v>13417</v>
      </c>
      <c r="E867" s="16" t="s">
        <v>152</v>
      </c>
      <c r="F867" s="17" t="s">
        <v>153</v>
      </c>
      <c r="G867" s="17" t="s">
        <v>132</v>
      </c>
      <c r="H867" s="18" t="s">
        <v>54</v>
      </c>
      <c r="I867" s="19" t="s">
        <v>135</v>
      </c>
      <c r="J867" s="20">
        <v>45884</v>
      </c>
      <c r="K867" s="20">
        <v>45932</v>
      </c>
      <c r="L867" s="21">
        <v>175000</v>
      </c>
      <c r="M867" s="22">
        <f>SUM(N867:O867)</f>
        <v>229320</v>
      </c>
      <c r="N867" s="23">
        <v>0</v>
      </c>
      <c r="O867" s="23">
        <v>229320</v>
      </c>
      <c r="P867" s="24">
        <f>L867-N867</f>
        <v>175000</v>
      </c>
      <c r="Q867" s="25">
        <v>229320</v>
      </c>
      <c r="R867" s="26">
        <v>57330</v>
      </c>
      <c r="S867" s="91">
        <f t="shared" si="798"/>
        <v>3.0525030525030523</v>
      </c>
      <c r="T867" s="91">
        <f t="shared" si="799"/>
        <v>4</v>
      </c>
      <c r="U867" s="27" t="s">
        <v>56</v>
      </c>
      <c r="V867" s="30" t="s">
        <v>59</v>
      </c>
      <c r="W867" s="31">
        <v>45926</v>
      </c>
      <c r="X867" s="22"/>
      <c r="Y867" s="19" t="s">
        <v>52</v>
      </c>
      <c r="Z867" s="19" t="s">
        <v>52</v>
      </c>
      <c r="AA867" s="19" t="s">
        <v>52</v>
      </c>
      <c r="AB867" s="28"/>
    </row>
    <row r="868" spans="1:33" s="29" customFormat="1" ht="15" customHeight="1" x14ac:dyDescent="0.25">
      <c r="A868" s="14">
        <v>13</v>
      </c>
      <c r="B868" s="15">
        <v>45931</v>
      </c>
      <c r="C868" s="15">
        <f>B868+8</f>
        <v>45939</v>
      </c>
      <c r="D868" s="14">
        <v>13419</v>
      </c>
      <c r="E868" s="16" t="s">
        <v>147</v>
      </c>
      <c r="F868" s="17" t="s">
        <v>260</v>
      </c>
      <c r="G868" s="17" t="s">
        <v>132</v>
      </c>
      <c r="H868" s="18" t="s">
        <v>54</v>
      </c>
      <c r="I868" s="19" t="s">
        <v>135</v>
      </c>
      <c r="J868" s="20">
        <v>45884</v>
      </c>
      <c r="K868" s="20">
        <v>45932</v>
      </c>
      <c r="L868" s="21">
        <v>80000</v>
      </c>
      <c r="M868" s="22">
        <f t="shared" ref="M868" si="800">SUM(N868:O868)</f>
        <v>85100</v>
      </c>
      <c r="N868" s="23">
        <v>0</v>
      </c>
      <c r="O868" s="23">
        <v>85100</v>
      </c>
      <c r="P868" s="24">
        <f>L868-N868</f>
        <v>80000</v>
      </c>
      <c r="Q868" s="25">
        <v>85100</v>
      </c>
      <c r="R868" s="26">
        <v>57330</v>
      </c>
      <c r="S868" s="91">
        <f t="shared" si="798"/>
        <v>1.3954299668585384</v>
      </c>
      <c r="T868" s="91">
        <f t="shared" si="799"/>
        <v>1.48438862724577</v>
      </c>
      <c r="U868" s="27" t="s">
        <v>56</v>
      </c>
      <c r="V868" s="30" t="s">
        <v>59</v>
      </c>
      <c r="W868" s="31">
        <v>45926</v>
      </c>
      <c r="X868" s="22"/>
      <c r="Y868" s="19" t="s">
        <v>52</v>
      </c>
      <c r="Z868" s="19" t="s">
        <v>52</v>
      </c>
      <c r="AA868" s="19" t="s">
        <v>52</v>
      </c>
      <c r="AB868" s="28"/>
    </row>
    <row r="869" spans="1:33" ht="15" customHeight="1" x14ac:dyDescent="0.25">
      <c r="A869" s="33" t="s">
        <v>71</v>
      </c>
      <c r="B869" s="34"/>
      <c r="C869" s="34"/>
      <c r="D869" s="34"/>
      <c r="E869" s="34"/>
      <c r="F869" s="35"/>
      <c r="G869" s="35"/>
      <c r="H869" s="34"/>
      <c r="I869" s="34"/>
      <c r="J869" s="34"/>
      <c r="K869" s="34"/>
      <c r="L869" s="36"/>
      <c r="M869" s="36"/>
      <c r="N869" s="36"/>
      <c r="O869" s="36"/>
      <c r="P869" s="36"/>
      <c r="Q869" s="36">
        <f>SUM(Q864:Q868)</f>
        <v>1003490</v>
      </c>
      <c r="R869" s="36"/>
      <c r="S869" s="92"/>
      <c r="T869" s="93">
        <f>SUM(T864:T868)</f>
        <v>17.503750218035933</v>
      </c>
      <c r="U869" s="37"/>
      <c r="V869" s="38"/>
      <c r="W869" s="38"/>
      <c r="X869" s="38"/>
      <c r="Y869" s="34"/>
      <c r="Z869" s="34"/>
      <c r="AA869" s="39"/>
      <c r="AB869" s="29" t="s">
        <v>886</v>
      </c>
      <c r="AC869" s="81" t="s">
        <v>959</v>
      </c>
      <c r="AD869" s="83">
        <v>3958.33</v>
      </c>
      <c r="AF869" s="83">
        <v>0</v>
      </c>
      <c r="AG869" s="83">
        <f>SUM(AD869,AF869)</f>
        <v>3958.33</v>
      </c>
    </row>
    <row r="870" spans="1:33" s="29" customFormat="1" ht="15" customHeight="1" x14ac:dyDescent="0.25">
      <c r="A870" s="14">
        <v>7</v>
      </c>
      <c r="B870" s="15">
        <v>45931</v>
      </c>
      <c r="C870" s="15">
        <f t="shared" ref="C870" si="801">B870+8</f>
        <v>45939</v>
      </c>
      <c r="D870" s="14">
        <v>13461</v>
      </c>
      <c r="E870" s="16" t="s">
        <v>297</v>
      </c>
      <c r="F870" s="17" t="s">
        <v>298</v>
      </c>
      <c r="G870" s="17" t="s">
        <v>102</v>
      </c>
      <c r="H870" s="18" t="s">
        <v>57</v>
      </c>
      <c r="I870" s="19" t="s">
        <v>94</v>
      </c>
      <c r="J870" s="20">
        <v>45891</v>
      </c>
      <c r="K870" s="20">
        <v>45938</v>
      </c>
      <c r="L870" s="21">
        <v>600000</v>
      </c>
      <c r="M870" s="22">
        <f t="shared" ref="M870:M875" si="802">SUM(N870:O870)</f>
        <v>390000</v>
      </c>
      <c r="N870" s="23">
        <v>0</v>
      </c>
      <c r="O870" s="23">
        <v>390000</v>
      </c>
      <c r="P870" s="24">
        <f t="shared" ref="P870" si="803">L870-N870</f>
        <v>600000</v>
      </c>
      <c r="Q870" s="25">
        <v>60000</v>
      </c>
      <c r="R870" s="26">
        <v>30000</v>
      </c>
      <c r="S870" s="91">
        <f t="shared" ref="S870:S873" si="804">IF(P870&gt;0,P870/$R870,0)</f>
        <v>20</v>
      </c>
      <c r="T870" s="91">
        <f t="shared" ref="T870:T873" si="805">IF(Q870&gt;0,Q870/$R870,0)</f>
        <v>2</v>
      </c>
      <c r="U870" s="27" t="s">
        <v>192</v>
      </c>
      <c r="V870" s="30" t="s">
        <v>59</v>
      </c>
      <c r="W870" s="31">
        <v>45925</v>
      </c>
      <c r="X870" s="22"/>
      <c r="Y870" s="19" t="s">
        <v>52</v>
      </c>
      <c r="Z870" s="19" t="s">
        <v>52</v>
      </c>
      <c r="AA870" s="19" t="s">
        <v>52</v>
      </c>
      <c r="AB870" s="28"/>
    </row>
    <row r="871" spans="1:33" s="29" customFormat="1" ht="15" customHeight="1" x14ac:dyDescent="0.25">
      <c r="A871" s="14">
        <v>6</v>
      </c>
      <c r="B871" s="15">
        <v>45931</v>
      </c>
      <c r="C871" s="15">
        <f t="shared" ref="C871" si="806">B871+8</f>
        <v>45939</v>
      </c>
      <c r="D871" s="14">
        <v>13301</v>
      </c>
      <c r="E871" s="16" t="s">
        <v>732</v>
      </c>
      <c r="F871" s="17" t="s">
        <v>242</v>
      </c>
      <c r="G871" s="17" t="s">
        <v>47</v>
      </c>
      <c r="H871" s="18" t="s">
        <v>113</v>
      </c>
      <c r="I871" s="19" t="s">
        <v>118</v>
      </c>
      <c r="J871" s="20">
        <v>45895</v>
      </c>
      <c r="K871" s="20">
        <v>45933</v>
      </c>
      <c r="L871" s="21">
        <v>500000</v>
      </c>
      <c r="M871" s="22">
        <f t="shared" si="802"/>
        <v>494000</v>
      </c>
      <c r="N871" s="23">
        <v>0</v>
      </c>
      <c r="O871" s="23">
        <v>494000</v>
      </c>
      <c r="P871" s="24">
        <f t="shared" ref="P871" si="807">L871-N871</f>
        <v>500000</v>
      </c>
      <c r="Q871" s="25">
        <v>200000</v>
      </c>
      <c r="R871" s="26">
        <v>50000</v>
      </c>
      <c r="S871" s="91">
        <f t="shared" si="804"/>
        <v>10</v>
      </c>
      <c r="T871" s="91">
        <f t="shared" si="805"/>
        <v>4</v>
      </c>
      <c r="U871" s="27" t="s">
        <v>192</v>
      </c>
      <c r="V871" s="19" t="s">
        <v>51</v>
      </c>
      <c r="W871" s="20">
        <v>45915</v>
      </c>
      <c r="X871" s="22"/>
      <c r="Y871" s="19" t="s">
        <v>52</v>
      </c>
      <c r="Z871" s="19" t="s">
        <v>52</v>
      </c>
      <c r="AA871" s="19" t="s">
        <v>52</v>
      </c>
      <c r="AB871" s="42"/>
    </row>
    <row r="872" spans="1:33" s="29" customFormat="1" ht="15" customHeight="1" x14ac:dyDescent="0.25">
      <c r="A872" s="14">
        <v>8</v>
      </c>
      <c r="B872" s="15">
        <v>45931</v>
      </c>
      <c r="C872" s="15">
        <f>B872+8</f>
        <v>45939</v>
      </c>
      <c r="D872" s="14">
        <v>13532</v>
      </c>
      <c r="E872" s="16" t="s">
        <v>680</v>
      </c>
      <c r="F872" s="17" t="s">
        <v>681</v>
      </c>
      <c r="G872" s="17" t="s">
        <v>102</v>
      </c>
      <c r="H872" s="18" t="s">
        <v>542</v>
      </c>
      <c r="I872" s="19" t="s">
        <v>104</v>
      </c>
      <c r="J872" s="20">
        <v>45908</v>
      </c>
      <c r="K872" s="20">
        <v>45938</v>
      </c>
      <c r="L872" s="21">
        <v>1000000</v>
      </c>
      <c r="M872" s="22">
        <f t="shared" si="802"/>
        <v>378000</v>
      </c>
      <c r="N872" s="23">
        <v>0</v>
      </c>
      <c r="O872" s="23">
        <v>378000</v>
      </c>
      <c r="P872" s="24">
        <f>L872-N872</f>
        <v>1000000</v>
      </c>
      <c r="Q872" s="25">
        <v>378000</v>
      </c>
      <c r="R872" s="26">
        <v>63000</v>
      </c>
      <c r="S872" s="91">
        <f t="shared" si="804"/>
        <v>15.873015873015873</v>
      </c>
      <c r="T872" s="91">
        <f t="shared" si="805"/>
        <v>6</v>
      </c>
      <c r="U872" s="27" t="s">
        <v>192</v>
      </c>
      <c r="V872" s="30" t="s">
        <v>68</v>
      </c>
      <c r="W872" s="31" t="s">
        <v>68</v>
      </c>
      <c r="X872" s="22"/>
      <c r="Y872" s="19" t="s">
        <v>52</v>
      </c>
      <c r="Z872" s="19" t="s">
        <v>52</v>
      </c>
      <c r="AA872" s="19" t="s">
        <v>52</v>
      </c>
      <c r="AB872" s="28"/>
    </row>
    <row r="873" spans="1:33" s="29" customFormat="1" ht="15" customHeight="1" x14ac:dyDescent="0.25">
      <c r="A873" s="14">
        <v>7</v>
      </c>
      <c r="B873" s="15">
        <v>45931</v>
      </c>
      <c r="C873" s="15">
        <f t="shared" ref="C873" si="808">B873+8</f>
        <v>45939</v>
      </c>
      <c r="D873" s="14">
        <v>13461</v>
      </c>
      <c r="E873" s="16" t="s">
        <v>297</v>
      </c>
      <c r="F873" s="17" t="s">
        <v>298</v>
      </c>
      <c r="G873" s="17" t="s">
        <v>102</v>
      </c>
      <c r="H873" s="18" t="s">
        <v>57</v>
      </c>
      <c r="I873" s="19" t="s">
        <v>94</v>
      </c>
      <c r="J873" s="20">
        <v>45891</v>
      </c>
      <c r="K873" s="20">
        <v>45938</v>
      </c>
      <c r="L873" s="21">
        <v>600000</v>
      </c>
      <c r="M873" s="22">
        <f t="shared" si="802"/>
        <v>390000</v>
      </c>
      <c r="N873" s="23">
        <v>0</v>
      </c>
      <c r="O873" s="23">
        <v>390000</v>
      </c>
      <c r="P873" s="24">
        <f t="shared" ref="P873" si="809">L873-N873</f>
        <v>600000</v>
      </c>
      <c r="Q873" s="25">
        <v>60000</v>
      </c>
      <c r="R873" s="26">
        <v>30000</v>
      </c>
      <c r="S873" s="91">
        <f t="shared" si="804"/>
        <v>20</v>
      </c>
      <c r="T873" s="91">
        <f t="shared" si="805"/>
        <v>2</v>
      </c>
      <c r="U873" s="27" t="s">
        <v>56</v>
      </c>
      <c r="V873" s="30" t="s">
        <v>59</v>
      </c>
      <c r="W873" s="31">
        <v>45925</v>
      </c>
      <c r="X873" s="22"/>
      <c r="Y873" s="19" t="s">
        <v>52</v>
      </c>
      <c r="Z873" s="19" t="s">
        <v>52</v>
      </c>
      <c r="AA873" s="19" t="s">
        <v>52</v>
      </c>
      <c r="AB873" s="28"/>
    </row>
    <row r="874" spans="1:33" s="29" customFormat="1" ht="15" customHeight="1" x14ac:dyDescent="0.25">
      <c r="A874" s="14">
        <v>7</v>
      </c>
      <c r="B874" s="15">
        <v>45931</v>
      </c>
      <c r="C874" s="15">
        <f>B874+8</f>
        <v>45939</v>
      </c>
      <c r="D874" s="14">
        <v>13606</v>
      </c>
      <c r="E874" s="16" t="s">
        <v>394</v>
      </c>
      <c r="F874" s="17" t="s">
        <v>638</v>
      </c>
      <c r="G874" s="17" t="s">
        <v>47</v>
      </c>
      <c r="H874" s="18" t="s">
        <v>639</v>
      </c>
      <c r="I874" s="19" t="s">
        <v>395</v>
      </c>
      <c r="J874" s="20">
        <v>45915</v>
      </c>
      <c r="K874" s="20">
        <v>45938</v>
      </c>
      <c r="L874" s="21">
        <v>100000</v>
      </c>
      <c r="M874" s="22">
        <f t="shared" si="802"/>
        <v>610000</v>
      </c>
      <c r="N874" s="23">
        <v>0</v>
      </c>
      <c r="O874" s="23">
        <v>610000</v>
      </c>
      <c r="P874" s="24">
        <f>L874-N874</f>
        <v>100000</v>
      </c>
      <c r="Q874" s="25">
        <v>61000</v>
      </c>
      <c r="R874" s="26">
        <v>50000</v>
      </c>
      <c r="S874" s="91">
        <f t="shared" ref="S874:S876" si="810">IF(P874&gt;0,P874/$R874,0)</f>
        <v>2</v>
      </c>
      <c r="T874" s="91">
        <f t="shared" ref="T874:T876" si="811">IF(Q874&gt;0,Q874/$R874,0)</f>
        <v>1.22</v>
      </c>
      <c r="U874" s="27" t="s">
        <v>56</v>
      </c>
      <c r="V874" s="30" t="s">
        <v>59</v>
      </c>
      <c r="W874" s="31">
        <v>45934</v>
      </c>
      <c r="X874" s="22"/>
      <c r="Y874" s="19" t="s">
        <v>52</v>
      </c>
      <c r="Z874" s="19" t="s">
        <v>52</v>
      </c>
      <c r="AA874" s="19" t="s">
        <v>52</v>
      </c>
      <c r="AB874" s="42"/>
    </row>
    <row r="875" spans="1:33" s="29" customFormat="1" ht="15" customHeight="1" x14ac:dyDescent="0.25">
      <c r="A875" s="14">
        <v>7</v>
      </c>
      <c r="B875" s="15">
        <v>45931</v>
      </c>
      <c r="C875" s="15">
        <f>B875+8</f>
        <v>45939</v>
      </c>
      <c r="D875" s="14">
        <v>13461</v>
      </c>
      <c r="E875" s="16" t="s">
        <v>297</v>
      </c>
      <c r="F875" s="17" t="s">
        <v>298</v>
      </c>
      <c r="G875" s="17" t="s">
        <v>102</v>
      </c>
      <c r="H875" s="18" t="s">
        <v>57</v>
      </c>
      <c r="I875" s="19" t="s">
        <v>94</v>
      </c>
      <c r="J875" s="20">
        <v>45891</v>
      </c>
      <c r="K875" s="20">
        <v>45938</v>
      </c>
      <c r="L875" s="21">
        <v>600000</v>
      </c>
      <c r="M875" s="22">
        <f t="shared" si="802"/>
        <v>390000</v>
      </c>
      <c r="N875" s="23">
        <v>0</v>
      </c>
      <c r="O875" s="23">
        <v>390000</v>
      </c>
      <c r="P875" s="24">
        <f>L875-N875</f>
        <v>600000</v>
      </c>
      <c r="Q875" s="25">
        <v>60000</v>
      </c>
      <c r="R875" s="26">
        <v>30000</v>
      </c>
      <c r="S875" s="91">
        <f t="shared" si="810"/>
        <v>20</v>
      </c>
      <c r="T875" s="91">
        <f t="shared" si="811"/>
        <v>2</v>
      </c>
      <c r="U875" s="27" t="s">
        <v>193</v>
      </c>
      <c r="V875" s="30" t="s">
        <v>59</v>
      </c>
      <c r="W875" s="31">
        <v>45925</v>
      </c>
      <c r="X875" s="22"/>
      <c r="Y875" s="19" t="s">
        <v>52</v>
      </c>
      <c r="Z875" s="19" t="s">
        <v>52</v>
      </c>
      <c r="AA875" s="19" t="s">
        <v>52</v>
      </c>
      <c r="AB875" s="28"/>
    </row>
    <row r="876" spans="1:33" s="29" customFormat="1" ht="15" customHeight="1" x14ac:dyDescent="0.25">
      <c r="A876" s="14">
        <v>6</v>
      </c>
      <c r="B876" s="15">
        <v>45931</v>
      </c>
      <c r="C876" s="15">
        <f t="shared" ref="C876" si="812">B876+8</f>
        <v>45939</v>
      </c>
      <c r="D876" s="14">
        <v>13301</v>
      </c>
      <c r="E876" s="16" t="s">
        <v>732</v>
      </c>
      <c r="F876" s="17" t="s">
        <v>242</v>
      </c>
      <c r="G876" s="17" t="s">
        <v>47</v>
      </c>
      <c r="H876" s="18" t="s">
        <v>113</v>
      </c>
      <c r="I876" s="19" t="s">
        <v>118</v>
      </c>
      <c r="J876" s="20">
        <v>45895</v>
      </c>
      <c r="K876" s="20">
        <v>45933</v>
      </c>
      <c r="L876" s="21">
        <v>500000</v>
      </c>
      <c r="M876" s="22">
        <f t="shared" ref="M876" si="813">SUM(N876:O876)</f>
        <v>494000</v>
      </c>
      <c r="N876" s="23">
        <v>0</v>
      </c>
      <c r="O876" s="23">
        <v>494000</v>
      </c>
      <c r="P876" s="24">
        <f t="shared" ref="P876" si="814">L876-N876</f>
        <v>500000</v>
      </c>
      <c r="Q876" s="25">
        <v>294000</v>
      </c>
      <c r="R876" s="26">
        <v>50000</v>
      </c>
      <c r="S876" s="91">
        <f t="shared" si="810"/>
        <v>10</v>
      </c>
      <c r="T876" s="91">
        <f t="shared" si="811"/>
        <v>5.88</v>
      </c>
      <c r="U876" s="27" t="s">
        <v>193</v>
      </c>
      <c r="V876" s="19" t="s">
        <v>51</v>
      </c>
      <c r="W876" s="20">
        <v>45915</v>
      </c>
      <c r="X876" s="22"/>
      <c r="Y876" s="19" t="s">
        <v>52</v>
      </c>
      <c r="Z876" s="19" t="s">
        <v>52</v>
      </c>
      <c r="AA876" s="19" t="s">
        <v>52</v>
      </c>
      <c r="AB876" s="42"/>
    </row>
    <row r="877" spans="1:33" ht="15" customHeight="1" x14ac:dyDescent="0.25">
      <c r="A877" s="33" t="s">
        <v>71</v>
      </c>
      <c r="B877" s="34"/>
      <c r="C877" s="34"/>
      <c r="D877" s="34"/>
      <c r="E877" s="34"/>
      <c r="F877" s="35"/>
      <c r="G877" s="35"/>
      <c r="H877" s="34"/>
      <c r="I877" s="34"/>
      <c r="J877" s="34"/>
      <c r="K877" s="34"/>
      <c r="L877" s="36"/>
      <c r="M877" s="36"/>
      <c r="N877" s="36"/>
      <c r="O877" s="36"/>
      <c r="P877" s="36"/>
      <c r="Q877" s="36">
        <f>SUM(Q870:Q876)</f>
        <v>1113000</v>
      </c>
      <c r="R877" s="36"/>
      <c r="S877" s="92"/>
      <c r="T877" s="93">
        <f>SUM(T870:T876)</f>
        <v>23.099999999999998</v>
      </c>
      <c r="U877" s="37"/>
      <c r="V877" s="38"/>
      <c r="W877" s="38"/>
      <c r="X877" s="38"/>
      <c r="Y877" s="34"/>
      <c r="Z877" s="34"/>
      <c r="AA877" s="39"/>
      <c r="AB877" s="29" t="s">
        <v>887</v>
      </c>
      <c r="AC877" s="81" t="s">
        <v>902</v>
      </c>
      <c r="AD877" s="83">
        <v>5000</v>
      </c>
      <c r="AF877" s="83">
        <v>0</v>
      </c>
      <c r="AG877" s="83">
        <f>SUM(AD877,AF877)</f>
        <v>5000</v>
      </c>
    </row>
    <row r="878" spans="1:33" s="29" customFormat="1" ht="15" customHeight="1" x14ac:dyDescent="0.25">
      <c r="A878" s="14">
        <v>3</v>
      </c>
      <c r="B878" s="15">
        <v>45934</v>
      </c>
      <c r="C878" s="15">
        <f t="shared" ref="C878" si="815">B878+8</f>
        <v>45942</v>
      </c>
      <c r="D878" s="14">
        <v>13549</v>
      </c>
      <c r="E878" s="16" t="s">
        <v>403</v>
      </c>
      <c r="F878" s="17" t="s">
        <v>708</v>
      </c>
      <c r="G878" s="17" t="s">
        <v>47</v>
      </c>
      <c r="H878" s="18" t="s">
        <v>801</v>
      </c>
      <c r="I878" s="19" t="s">
        <v>70</v>
      </c>
      <c r="J878" s="20">
        <v>45908</v>
      </c>
      <c r="K878" s="20">
        <v>45940</v>
      </c>
      <c r="L878" s="21">
        <v>2000000</v>
      </c>
      <c r="M878" s="22">
        <f t="shared" ref="M878" si="816">SUM(N878:O878)</f>
        <v>2060000</v>
      </c>
      <c r="N878" s="23">
        <v>2060000</v>
      </c>
      <c r="O878" s="23">
        <v>0</v>
      </c>
      <c r="P878" s="24">
        <f t="shared" ref="P878" si="817">L878-N878</f>
        <v>-60000</v>
      </c>
      <c r="Q878" s="25">
        <v>510000</v>
      </c>
      <c r="R878" s="26">
        <v>50000</v>
      </c>
      <c r="S878" s="91">
        <f t="shared" ref="S878" si="818">IF(P878&gt;0,P878/$R878,0)</f>
        <v>0</v>
      </c>
      <c r="T878" s="91">
        <f t="shared" ref="T878" si="819">IF(Q878&gt;0,Q878/$R878,0)</f>
        <v>10.199999999999999</v>
      </c>
      <c r="U878" s="27" t="s">
        <v>50</v>
      </c>
      <c r="V878" s="19" t="s">
        <v>51</v>
      </c>
      <c r="W878" s="20">
        <v>45918</v>
      </c>
      <c r="X878" s="22"/>
      <c r="Y878" s="19" t="s">
        <v>52</v>
      </c>
      <c r="Z878" s="19" t="s">
        <v>52</v>
      </c>
      <c r="AA878" s="19" t="s">
        <v>52</v>
      </c>
      <c r="AB878" s="42"/>
    </row>
    <row r="879" spans="1:33" ht="15" customHeight="1" x14ac:dyDescent="0.25">
      <c r="A879" s="33" t="s">
        <v>71</v>
      </c>
      <c r="B879" s="34"/>
      <c r="C879" s="34"/>
      <c r="D879" s="34"/>
      <c r="E879" s="34"/>
      <c r="F879" s="35"/>
      <c r="G879" s="35"/>
      <c r="H879" s="34"/>
      <c r="I879" s="34"/>
      <c r="J879" s="34"/>
      <c r="K879" s="34"/>
      <c r="L879" s="36"/>
      <c r="M879" s="36"/>
      <c r="N879" s="36"/>
      <c r="O879" s="36"/>
      <c r="P879" s="36"/>
      <c r="Q879" s="36">
        <f>SUM(Q878)</f>
        <v>510000</v>
      </c>
      <c r="R879" s="36"/>
      <c r="S879" s="92"/>
      <c r="T879" s="93">
        <f>SUM(T878)</f>
        <v>10.199999999999999</v>
      </c>
      <c r="U879" s="37"/>
      <c r="V879" s="38"/>
      <c r="W879" s="38"/>
      <c r="X879" s="38"/>
      <c r="Y879" s="34"/>
      <c r="Z879" s="34"/>
      <c r="AA879" s="39"/>
      <c r="AB879" s="29" t="s">
        <v>894</v>
      </c>
      <c r="AC879" s="81" t="s">
        <v>905</v>
      </c>
      <c r="AD879" s="83">
        <v>2291.66</v>
      </c>
      <c r="AF879" s="83">
        <v>0</v>
      </c>
      <c r="AG879" s="83">
        <f>SUM(AD879,AF879)</f>
        <v>2291.66</v>
      </c>
    </row>
    <row r="880" spans="1:33" s="29" customFormat="1" ht="15" customHeight="1" x14ac:dyDescent="0.25">
      <c r="A880" s="14">
        <v>2</v>
      </c>
      <c r="B880" s="15">
        <v>45937</v>
      </c>
      <c r="C880" s="15">
        <f t="shared" ref="C880:C886" si="820">B880+8</f>
        <v>45945</v>
      </c>
      <c r="D880" s="14">
        <v>13348</v>
      </c>
      <c r="E880" s="16" t="s">
        <v>342</v>
      </c>
      <c r="F880" s="40" t="s">
        <v>343</v>
      </c>
      <c r="G880" s="17" t="s">
        <v>75</v>
      </c>
      <c r="H880" s="18" t="s">
        <v>57</v>
      </c>
      <c r="I880" s="19" t="s">
        <v>94</v>
      </c>
      <c r="J880" s="20">
        <v>45867</v>
      </c>
      <c r="K880" s="20">
        <v>45895</v>
      </c>
      <c r="L880" s="21">
        <v>300000</v>
      </c>
      <c r="M880" s="22">
        <f>SUM(N880:O880)</f>
        <v>303000</v>
      </c>
      <c r="N880" s="23">
        <v>210000</v>
      </c>
      <c r="O880" s="23">
        <v>93000</v>
      </c>
      <c r="P880" s="24">
        <f>L880-N880</f>
        <v>90000</v>
      </c>
      <c r="Q880" s="25">
        <v>93000</v>
      </c>
      <c r="R880" s="26">
        <v>150000</v>
      </c>
      <c r="S880" s="91">
        <f t="shared" ref="S880:S889" si="821">IF(P880&gt;0,P880/$R880,0)</f>
        <v>0.6</v>
      </c>
      <c r="T880" s="91">
        <f t="shared" ref="T880:T889" si="822">IF(Q880&gt;0,Q880/$R880,0)</f>
        <v>0.62</v>
      </c>
      <c r="U880" s="27" t="s">
        <v>193</v>
      </c>
      <c r="V880" s="19" t="s">
        <v>51</v>
      </c>
      <c r="W880" s="20">
        <v>45896</v>
      </c>
      <c r="X880" s="22"/>
      <c r="Y880" s="19" t="s">
        <v>52</v>
      </c>
      <c r="Z880" s="19" t="s">
        <v>52</v>
      </c>
      <c r="AA880" s="19" t="s">
        <v>52</v>
      </c>
      <c r="AB880" s="28"/>
    </row>
    <row r="881" spans="1:33" s="29" customFormat="1" ht="15" customHeight="1" x14ac:dyDescent="0.25">
      <c r="A881" s="14">
        <v>4</v>
      </c>
      <c r="B881" s="15">
        <v>45937</v>
      </c>
      <c r="C881" s="15">
        <f t="shared" si="820"/>
        <v>45945</v>
      </c>
      <c r="D881" s="14">
        <v>13461</v>
      </c>
      <c r="E881" s="16" t="s">
        <v>297</v>
      </c>
      <c r="F881" s="17" t="s">
        <v>298</v>
      </c>
      <c r="G881" s="17" t="s">
        <v>102</v>
      </c>
      <c r="H881" s="18" t="s">
        <v>57</v>
      </c>
      <c r="I881" s="19" t="s">
        <v>94</v>
      </c>
      <c r="J881" s="20">
        <v>45891</v>
      </c>
      <c r="K881" s="20">
        <v>45938</v>
      </c>
      <c r="L881" s="21">
        <v>600000</v>
      </c>
      <c r="M881" s="22">
        <f>SUM(N881:O881)</f>
        <v>510000</v>
      </c>
      <c r="N881" s="23">
        <v>390000</v>
      </c>
      <c r="O881" s="23">
        <v>120000</v>
      </c>
      <c r="P881" s="24">
        <f>L881-N881</f>
        <v>210000</v>
      </c>
      <c r="Q881" s="25">
        <v>120000</v>
      </c>
      <c r="R881" s="26">
        <v>30000</v>
      </c>
      <c r="S881" s="91">
        <f t="shared" si="821"/>
        <v>7</v>
      </c>
      <c r="T881" s="91">
        <f t="shared" si="822"/>
        <v>4</v>
      </c>
      <c r="U881" s="27" t="s">
        <v>193</v>
      </c>
      <c r="V881" s="19" t="s">
        <v>51</v>
      </c>
      <c r="W881" s="20">
        <v>45925</v>
      </c>
      <c r="X881" s="22"/>
      <c r="Y881" s="19" t="s">
        <v>52</v>
      </c>
      <c r="Z881" s="19" t="s">
        <v>52</v>
      </c>
      <c r="AA881" s="19" t="s">
        <v>52</v>
      </c>
      <c r="AB881" s="28"/>
    </row>
    <row r="882" spans="1:33" s="29" customFormat="1" ht="15" customHeight="1" x14ac:dyDescent="0.25">
      <c r="A882" s="14">
        <v>6</v>
      </c>
      <c r="B882" s="15">
        <v>45937</v>
      </c>
      <c r="C882" s="15">
        <f t="shared" si="820"/>
        <v>45945</v>
      </c>
      <c r="D882" s="14">
        <v>13517</v>
      </c>
      <c r="E882" s="16" t="s">
        <v>291</v>
      </c>
      <c r="F882" s="17" t="s">
        <v>292</v>
      </c>
      <c r="G882" s="17" t="s">
        <v>47</v>
      </c>
      <c r="H882" s="18" t="s">
        <v>542</v>
      </c>
      <c r="I882" s="19" t="s">
        <v>104</v>
      </c>
      <c r="J882" s="20">
        <v>45898</v>
      </c>
      <c r="K882" s="20">
        <v>45945</v>
      </c>
      <c r="L882" s="21">
        <v>300000</v>
      </c>
      <c r="M882" s="22">
        <f>SUM(N882:O882)</f>
        <v>52500</v>
      </c>
      <c r="N882" s="23">
        <v>0</v>
      </c>
      <c r="O882" s="23">
        <v>52500</v>
      </c>
      <c r="P882" s="24">
        <f>L882-N882</f>
        <v>300000</v>
      </c>
      <c r="Q882" s="25">
        <v>52500</v>
      </c>
      <c r="R882" s="26">
        <v>72000</v>
      </c>
      <c r="S882" s="91">
        <f t="shared" si="821"/>
        <v>4.166666666666667</v>
      </c>
      <c r="T882" s="91">
        <f t="shared" si="822"/>
        <v>0.72916666666666663</v>
      </c>
      <c r="U882" s="27" t="s">
        <v>193</v>
      </c>
      <c r="V882" s="30" t="s">
        <v>59</v>
      </c>
      <c r="W882" s="31">
        <v>45931</v>
      </c>
      <c r="X882" s="22"/>
      <c r="Y882" s="19" t="s">
        <v>52</v>
      </c>
      <c r="Z882" s="19" t="s">
        <v>52</v>
      </c>
      <c r="AA882" s="19" t="s">
        <v>52</v>
      </c>
      <c r="AB882" s="42"/>
    </row>
    <row r="883" spans="1:33" s="29" customFormat="1" ht="15" customHeight="1" x14ac:dyDescent="0.25">
      <c r="A883" s="14">
        <v>4</v>
      </c>
      <c r="B883" s="15">
        <v>45937</v>
      </c>
      <c r="C883" s="15">
        <f t="shared" si="820"/>
        <v>45945</v>
      </c>
      <c r="D883" s="14">
        <v>13574</v>
      </c>
      <c r="E883" s="16" t="s">
        <v>206</v>
      </c>
      <c r="F883" s="40" t="s">
        <v>207</v>
      </c>
      <c r="G883" s="17" t="s">
        <v>75</v>
      </c>
      <c r="H883" s="18" t="s">
        <v>542</v>
      </c>
      <c r="I883" s="19" t="s">
        <v>49</v>
      </c>
      <c r="J883" s="20">
        <v>45910</v>
      </c>
      <c r="K883" s="20">
        <v>45933</v>
      </c>
      <c r="L883" s="21">
        <v>600000</v>
      </c>
      <c r="M883" s="22">
        <f>SUM(N883:O883)</f>
        <v>357000</v>
      </c>
      <c r="N883" s="23">
        <v>0</v>
      </c>
      <c r="O883" s="23">
        <v>357000</v>
      </c>
      <c r="P883" s="24">
        <f>L883-N883</f>
        <v>600000</v>
      </c>
      <c r="Q883" s="25">
        <v>357000</v>
      </c>
      <c r="R883" s="26">
        <v>150000</v>
      </c>
      <c r="S883" s="91">
        <f t="shared" si="821"/>
        <v>4</v>
      </c>
      <c r="T883" s="91">
        <f t="shared" si="822"/>
        <v>2.38</v>
      </c>
      <c r="U883" s="27" t="s">
        <v>193</v>
      </c>
      <c r="V883" s="19" t="s">
        <v>51</v>
      </c>
      <c r="W883" s="20">
        <v>45926</v>
      </c>
      <c r="X883" s="22"/>
      <c r="Y883" s="19" t="s">
        <v>52</v>
      </c>
      <c r="Z883" s="19" t="s">
        <v>52</v>
      </c>
      <c r="AA883" s="19" t="s">
        <v>52</v>
      </c>
      <c r="AB883" s="28"/>
    </row>
    <row r="884" spans="1:33" s="29" customFormat="1" ht="15" customHeight="1" x14ac:dyDescent="0.25">
      <c r="A884" s="14">
        <v>29</v>
      </c>
      <c r="B884" s="15">
        <v>45937</v>
      </c>
      <c r="C884" s="15">
        <f t="shared" si="820"/>
        <v>45945</v>
      </c>
      <c r="D884" s="14">
        <v>13657</v>
      </c>
      <c r="E884" s="16" t="s">
        <v>674</v>
      </c>
      <c r="F884" s="17" t="s">
        <v>675</v>
      </c>
      <c r="G884" s="17" t="s">
        <v>102</v>
      </c>
      <c r="H884" s="18" t="s">
        <v>542</v>
      </c>
      <c r="I884" s="19" t="s">
        <v>104</v>
      </c>
      <c r="J884" s="20">
        <v>45923</v>
      </c>
      <c r="K884" s="20">
        <v>45957</v>
      </c>
      <c r="L884" s="21">
        <v>140000</v>
      </c>
      <c r="M884" s="22">
        <f t="shared" ref="M884:M889" si="823">SUM(N884:O884)</f>
        <v>154000</v>
      </c>
      <c r="N884" s="23">
        <v>0</v>
      </c>
      <c r="O884" s="23">
        <v>154000</v>
      </c>
      <c r="P884" s="24">
        <f t="shared" ref="P884:P889" si="824">L884-N884</f>
        <v>140000</v>
      </c>
      <c r="Q884" s="25">
        <v>154000</v>
      </c>
      <c r="R884" s="26">
        <v>70000</v>
      </c>
      <c r="S884" s="91">
        <f t="shared" si="821"/>
        <v>2</v>
      </c>
      <c r="T884" s="91">
        <f t="shared" si="822"/>
        <v>2.2000000000000002</v>
      </c>
      <c r="U884" s="27" t="s">
        <v>193</v>
      </c>
      <c r="V884" s="30" t="s">
        <v>68</v>
      </c>
      <c r="W884" s="31" t="s">
        <v>68</v>
      </c>
      <c r="X884" s="22"/>
      <c r="Y884" s="41" t="s">
        <v>82</v>
      </c>
      <c r="Z884" s="41" t="s">
        <v>82</v>
      </c>
      <c r="AA884" s="41" t="s">
        <v>82</v>
      </c>
      <c r="AB884" s="28"/>
    </row>
    <row r="885" spans="1:33" s="29" customFormat="1" ht="15" customHeight="1" x14ac:dyDescent="0.25">
      <c r="A885" s="14">
        <v>30</v>
      </c>
      <c r="B885" s="15">
        <v>45937</v>
      </c>
      <c r="C885" s="15">
        <f t="shared" si="820"/>
        <v>45945</v>
      </c>
      <c r="D885" s="14">
        <v>13656</v>
      </c>
      <c r="E885" s="16" t="s">
        <v>636</v>
      </c>
      <c r="F885" s="17" t="s">
        <v>637</v>
      </c>
      <c r="G885" s="17" t="s">
        <v>102</v>
      </c>
      <c r="H885" s="18" t="s">
        <v>542</v>
      </c>
      <c r="I885" s="19" t="s">
        <v>104</v>
      </c>
      <c r="J885" s="20">
        <v>45923</v>
      </c>
      <c r="K885" s="20">
        <v>45961</v>
      </c>
      <c r="L885" s="21">
        <v>126000</v>
      </c>
      <c r="M885" s="22">
        <f t="shared" si="823"/>
        <v>133000</v>
      </c>
      <c r="N885" s="23">
        <v>0</v>
      </c>
      <c r="O885" s="23">
        <v>133000</v>
      </c>
      <c r="P885" s="24">
        <f t="shared" si="824"/>
        <v>126000</v>
      </c>
      <c r="Q885" s="25">
        <v>133000</v>
      </c>
      <c r="R885" s="26">
        <v>63000</v>
      </c>
      <c r="S885" s="91">
        <f t="shared" si="821"/>
        <v>2</v>
      </c>
      <c r="T885" s="91">
        <f t="shared" si="822"/>
        <v>2.1111111111111112</v>
      </c>
      <c r="U885" s="27" t="s">
        <v>193</v>
      </c>
      <c r="V885" s="30" t="s">
        <v>68</v>
      </c>
      <c r="W885" s="31" t="s">
        <v>68</v>
      </c>
      <c r="X885" s="22"/>
      <c r="Y885" s="41" t="s">
        <v>82</v>
      </c>
      <c r="Z885" s="41" t="s">
        <v>82</v>
      </c>
      <c r="AA885" s="41" t="s">
        <v>82</v>
      </c>
      <c r="AB885" s="28"/>
    </row>
    <row r="886" spans="1:33" s="29" customFormat="1" ht="15" customHeight="1" x14ac:dyDescent="0.25">
      <c r="A886" s="14">
        <v>3</v>
      </c>
      <c r="B886" s="15">
        <v>45937</v>
      </c>
      <c r="C886" s="15">
        <f t="shared" si="820"/>
        <v>45945</v>
      </c>
      <c r="D886" s="14">
        <v>13468</v>
      </c>
      <c r="E886" s="16" t="s">
        <v>459</v>
      </c>
      <c r="F886" s="40" t="s">
        <v>460</v>
      </c>
      <c r="G886" s="17" t="s">
        <v>75</v>
      </c>
      <c r="H886" s="18" t="s">
        <v>78</v>
      </c>
      <c r="I886" s="19" t="s">
        <v>79</v>
      </c>
      <c r="J886" s="20">
        <v>45891</v>
      </c>
      <c r="K886" s="20">
        <v>45925</v>
      </c>
      <c r="L886" s="21">
        <v>350000</v>
      </c>
      <c r="M886" s="22">
        <f>SUM(N886:O886)</f>
        <v>393000</v>
      </c>
      <c r="N886" s="23">
        <v>0</v>
      </c>
      <c r="O886" s="23">
        <v>393000</v>
      </c>
      <c r="P886" s="24">
        <f>L886-N886</f>
        <v>350000</v>
      </c>
      <c r="Q886" s="25">
        <v>393000</v>
      </c>
      <c r="R886" s="26">
        <v>96000</v>
      </c>
      <c r="S886" s="91">
        <f t="shared" si="821"/>
        <v>3.6458333333333335</v>
      </c>
      <c r="T886" s="91">
        <f t="shared" si="822"/>
        <v>4.09375</v>
      </c>
      <c r="U886" s="27" t="s">
        <v>56</v>
      </c>
      <c r="V886" s="19" t="s">
        <v>51</v>
      </c>
      <c r="W886" s="20">
        <v>45913</v>
      </c>
      <c r="X886" s="22"/>
      <c r="Y886" s="19" t="s">
        <v>52</v>
      </c>
      <c r="Z886" s="19" t="s">
        <v>52</v>
      </c>
      <c r="AA886" s="19" t="s">
        <v>52</v>
      </c>
      <c r="AB886" s="28"/>
    </row>
    <row r="887" spans="1:33" s="29" customFormat="1" ht="15" customHeight="1" x14ac:dyDescent="0.25">
      <c r="A887" s="14">
        <v>6</v>
      </c>
      <c r="B887" s="15">
        <v>45937</v>
      </c>
      <c r="C887" s="15">
        <f t="shared" ref="C887" si="825">B887+8</f>
        <v>45945</v>
      </c>
      <c r="D887" s="14">
        <v>13526</v>
      </c>
      <c r="E887" s="16" t="s">
        <v>552</v>
      </c>
      <c r="F887" s="40" t="s">
        <v>553</v>
      </c>
      <c r="G887" s="17" t="s">
        <v>75</v>
      </c>
      <c r="H887" s="18" t="s">
        <v>78</v>
      </c>
      <c r="I887" s="19" t="s">
        <v>79</v>
      </c>
      <c r="J887" s="20">
        <v>45903</v>
      </c>
      <c r="K887" s="20">
        <v>45945</v>
      </c>
      <c r="L887" s="21">
        <v>160000</v>
      </c>
      <c r="M887" s="22">
        <f>SUM(N887:O887)</f>
        <v>96000</v>
      </c>
      <c r="N887" s="23">
        <v>0</v>
      </c>
      <c r="O887" s="23">
        <v>96000</v>
      </c>
      <c r="P887" s="24">
        <f>L887-N887</f>
        <v>160000</v>
      </c>
      <c r="Q887" s="25">
        <v>96000</v>
      </c>
      <c r="R887" s="26">
        <v>96000</v>
      </c>
      <c r="S887" s="91">
        <f t="shared" si="821"/>
        <v>1.6666666666666667</v>
      </c>
      <c r="T887" s="91">
        <f t="shared" si="822"/>
        <v>1</v>
      </c>
      <c r="U887" s="27" t="s">
        <v>56</v>
      </c>
      <c r="V887" s="30" t="s">
        <v>59</v>
      </c>
      <c r="W887" s="31">
        <v>45926</v>
      </c>
      <c r="X887" s="22"/>
      <c r="Y887" s="19" t="s">
        <v>52</v>
      </c>
      <c r="Z887" s="19" t="s">
        <v>52</v>
      </c>
      <c r="AA887" s="19" t="s">
        <v>52</v>
      </c>
      <c r="AB887" s="28"/>
    </row>
    <row r="888" spans="1:33" s="29" customFormat="1" ht="15" customHeight="1" x14ac:dyDescent="0.25">
      <c r="A888" s="14">
        <v>7</v>
      </c>
      <c r="B888" s="15">
        <v>45937</v>
      </c>
      <c r="C888" s="15">
        <f t="shared" ref="C888" si="826">B888+8</f>
        <v>45945</v>
      </c>
      <c r="D888" s="14">
        <v>13642</v>
      </c>
      <c r="E888" s="16" t="s">
        <v>422</v>
      </c>
      <c r="F888" s="40" t="s">
        <v>476</v>
      </c>
      <c r="G888" s="17" t="s">
        <v>75</v>
      </c>
      <c r="H888" s="18" t="s">
        <v>78</v>
      </c>
      <c r="I888" s="19" t="s">
        <v>79</v>
      </c>
      <c r="J888" s="20">
        <v>45919</v>
      </c>
      <c r="K888" s="20">
        <v>45947</v>
      </c>
      <c r="L888" s="21">
        <v>550000</v>
      </c>
      <c r="M888" s="22">
        <f>SUM(N888:O888)</f>
        <v>625000</v>
      </c>
      <c r="N888" s="23">
        <v>0</v>
      </c>
      <c r="O888" s="23">
        <v>625000</v>
      </c>
      <c r="P888" s="24">
        <f>L888-N888</f>
        <v>550000</v>
      </c>
      <c r="Q888" s="25">
        <v>600000</v>
      </c>
      <c r="R888" s="26">
        <v>210000</v>
      </c>
      <c r="S888" s="91">
        <f t="shared" si="821"/>
        <v>2.6190476190476191</v>
      </c>
      <c r="T888" s="91">
        <f t="shared" si="822"/>
        <v>2.8571428571428572</v>
      </c>
      <c r="U888" s="27" t="s">
        <v>56</v>
      </c>
      <c r="V888" s="30" t="s">
        <v>59</v>
      </c>
      <c r="W888" s="31">
        <v>45934</v>
      </c>
      <c r="X888" s="22"/>
      <c r="Y888" s="19" t="s">
        <v>52</v>
      </c>
      <c r="Z888" s="19" t="s">
        <v>52</v>
      </c>
      <c r="AA888" s="19" t="s">
        <v>52</v>
      </c>
      <c r="AB888" s="28"/>
    </row>
    <row r="889" spans="1:33" s="29" customFormat="1" ht="15" customHeight="1" x14ac:dyDescent="0.25">
      <c r="A889" s="14">
        <v>5</v>
      </c>
      <c r="B889" s="15">
        <v>45937</v>
      </c>
      <c r="C889" s="15">
        <f>B889+8</f>
        <v>45945</v>
      </c>
      <c r="D889" s="14">
        <v>13532</v>
      </c>
      <c r="E889" s="16" t="s">
        <v>680</v>
      </c>
      <c r="F889" s="17" t="s">
        <v>681</v>
      </c>
      <c r="G889" s="17" t="s">
        <v>102</v>
      </c>
      <c r="H889" s="18" t="s">
        <v>542</v>
      </c>
      <c r="I889" s="19" t="s">
        <v>104</v>
      </c>
      <c r="J889" s="20">
        <v>45908</v>
      </c>
      <c r="K889" s="20">
        <v>45938</v>
      </c>
      <c r="L889" s="21">
        <v>1000000</v>
      </c>
      <c r="M889" s="22">
        <f t="shared" si="823"/>
        <v>630000</v>
      </c>
      <c r="N889" s="23">
        <v>567000</v>
      </c>
      <c r="O889" s="23">
        <v>63000</v>
      </c>
      <c r="P889" s="24">
        <f t="shared" si="824"/>
        <v>433000</v>
      </c>
      <c r="Q889" s="25">
        <v>63000</v>
      </c>
      <c r="R889" s="26">
        <v>63000</v>
      </c>
      <c r="S889" s="91">
        <f t="shared" si="821"/>
        <v>6.8730158730158726</v>
      </c>
      <c r="T889" s="91">
        <f t="shared" si="822"/>
        <v>1</v>
      </c>
      <c r="U889" s="27" t="s">
        <v>192</v>
      </c>
      <c r="V889" s="19" t="s">
        <v>51</v>
      </c>
      <c r="W889" s="20">
        <v>45925</v>
      </c>
      <c r="X889" s="22"/>
      <c r="Y889" s="19" t="s">
        <v>52</v>
      </c>
      <c r="Z889" s="19" t="s">
        <v>52</v>
      </c>
      <c r="AA889" s="19" t="s">
        <v>52</v>
      </c>
      <c r="AB889" s="28"/>
    </row>
    <row r="890" spans="1:33" ht="15" customHeight="1" x14ac:dyDescent="0.25">
      <c r="A890" s="33" t="s">
        <v>71</v>
      </c>
      <c r="B890" s="34"/>
      <c r="C890" s="34"/>
      <c r="D890" s="34"/>
      <c r="E890" s="34"/>
      <c r="F890" s="35"/>
      <c r="G890" s="35"/>
      <c r="H890" s="34"/>
      <c r="I890" s="34"/>
      <c r="J890" s="34"/>
      <c r="K890" s="34"/>
      <c r="L890" s="36"/>
      <c r="M890" s="36"/>
      <c r="N890" s="36"/>
      <c r="O890" s="36"/>
      <c r="P890" s="36"/>
      <c r="Q890" s="36">
        <f>SUM(Q880:Q889)</f>
        <v>2061500</v>
      </c>
      <c r="R890" s="36"/>
      <c r="S890" s="92"/>
      <c r="T890" s="93">
        <f>SUM(T880:T889)</f>
        <v>20.991170634920636</v>
      </c>
      <c r="U890" s="37"/>
      <c r="V890" s="38"/>
      <c r="W890" s="38"/>
      <c r="X890" s="38"/>
      <c r="Y890" s="34"/>
      <c r="Z890" s="34"/>
      <c r="AA890" s="39"/>
      <c r="AB890" s="29" t="s">
        <v>895</v>
      </c>
      <c r="AC890" s="81">
        <v>12854</v>
      </c>
      <c r="AD890" s="83">
        <v>5000</v>
      </c>
      <c r="AF890" s="83">
        <v>0</v>
      </c>
      <c r="AG890" s="83">
        <f>SUM(AD890,AF890)</f>
        <v>5000</v>
      </c>
    </row>
    <row r="891" spans="1:33" s="29" customFormat="1" ht="15" customHeight="1" x14ac:dyDescent="0.25">
      <c r="A891" s="14">
        <v>5</v>
      </c>
      <c r="B891" s="15">
        <v>45941</v>
      </c>
      <c r="C891" s="15">
        <f t="shared" ref="C891" si="827">B891+8</f>
        <v>45949</v>
      </c>
      <c r="D891" s="14">
        <v>13517</v>
      </c>
      <c r="E891" s="16" t="s">
        <v>291</v>
      </c>
      <c r="F891" s="17" t="s">
        <v>292</v>
      </c>
      <c r="G891" s="17" t="s">
        <v>47</v>
      </c>
      <c r="H891" s="18" t="s">
        <v>542</v>
      </c>
      <c r="I891" s="19" t="s">
        <v>104</v>
      </c>
      <c r="J891" s="20">
        <v>45898</v>
      </c>
      <c r="K891" s="20">
        <v>45945</v>
      </c>
      <c r="L891" s="21">
        <v>300000</v>
      </c>
      <c r="M891" s="22">
        <f t="shared" ref="M891" si="828">SUM(N891:O891)</f>
        <v>371000</v>
      </c>
      <c r="N891" s="23">
        <v>52500</v>
      </c>
      <c r="O891" s="23">
        <v>318500</v>
      </c>
      <c r="P891" s="24">
        <f t="shared" ref="P891" si="829">L891-N891</f>
        <v>247500</v>
      </c>
      <c r="Q891" s="25">
        <v>315000</v>
      </c>
      <c r="R891" s="26">
        <v>72000</v>
      </c>
      <c r="S891" s="91">
        <f t="shared" ref="S891:S899" si="830">IF(P891&gt;0,P891/$R891,0)</f>
        <v>3.4375</v>
      </c>
      <c r="T891" s="91">
        <f t="shared" ref="T891:T899" si="831">IF(Q891&gt;0,Q891/$R891,0)</f>
        <v>4.375</v>
      </c>
      <c r="U891" s="27" t="s">
        <v>192</v>
      </c>
      <c r="V891" s="19" t="s">
        <v>51</v>
      </c>
      <c r="W891" s="20">
        <v>45929</v>
      </c>
      <c r="X891" s="22"/>
      <c r="Y891" s="19" t="s">
        <v>52</v>
      </c>
      <c r="Z891" s="19" t="s">
        <v>52</v>
      </c>
      <c r="AA891" s="19" t="s">
        <v>52</v>
      </c>
      <c r="AB891" s="42"/>
    </row>
    <row r="892" spans="1:33" s="29" customFormat="1" ht="15" customHeight="1" x14ac:dyDescent="0.25">
      <c r="A892" s="14">
        <v>5</v>
      </c>
      <c r="B892" s="15">
        <v>45941</v>
      </c>
      <c r="C892" s="15">
        <f>B892+8</f>
        <v>45949</v>
      </c>
      <c r="D892" s="14">
        <v>13577</v>
      </c>
      <c r="E892" s="16" t="s">
        <v>626</v>
      </c>
      <c r="F892" s="17" t="s">
        <v>627</v>
      </c>
      <c r="G892" s="17" t="s">
        <v>102</v>
      </c>
      <c r="H892" s="18" t="s">
        <v>57</v>
      </c>
      <c r="I892" s="19" t="s">
        <v>94</v>
      </c>
      <c r="J892" s="20">
        <v>45910</v>
      </c>
      <c r="K892" s="20">
        <v>45945</v>
      </c>
      <c r="L892" s="21">
        <v>150000</v>
      </c>
      <c r="M892" s="22">
        <f>SUM(N892:O892)</f>
        <v>100000</v>
      </c>
      <c r="N892" s="23">
        <v>0</v>
      </c>
      <c r="O892" s="23">
        <v>100000</v>
      </c>
      <c r="P892" s="24">
        <f t="shared" ref="P892" si="832">L892-N892</f>
        <v>150000</v>
      </c>
      <c r="Q892" s="25">
        <v>50000</v>
      </c>
      <c r="R892" s="26">
        <v>50000</v>
      </c>
      <c r="S892" s="91">
        <f t="shared" si="830"/>
        <v>3</v>
      </c>
      <c r="T892" s="91">
        <f t="shared" si="831"/>
        <v>1</v>
      </c>
      <c r="U892" s="27" t="s">
        <v>192</v>
      </c>
      <c r="V892" s="19" t="s">
        <v>51</v>
      </c>
      <c r="W892" s="20">
        <v>45925</v>
      </c>
      <c r="X892" s="22"/>
      <c r="Y892" s="19" t="s">
        <v>52</v>
      </c>
      <c r="Z892" s="19" t="s">
        <v>52</v>
      </c>
      <c r="AA892" s="19" t="s">
        <v>52</v>
      </c>
      <c r="AB892" s="28"/>
    </row>
    <row r="893" spans="1:33" s="29" customFormat="1" ht="15" customHeight="1" x14ac:dyDescent="0.25">
      <c r="A893" s="14">
        <v>6</v>
      </c>
      <c r="B893" s="15">
        <v>45941</v>
      </c>
      <c r="C893" s="15">
        <f t="shared" ref="C893" si="833">B893+8</f>
        <v>45949</v>
      </c>
      <c r="D893" s="14">
        <v>13601</v>
      </c>
      <c r="E893" s="16" t="s">
        <v>756</v>
      </c>
      <c r="F893" s="17" t="s">
        <v>813</v>
      </c>
      <c r="G893" s="17" t="s">
        <v>47</v>
      </c>
      <c r="H893" s="18" t="s">
        <v>57</v>
      </c>
      <c r="I893" s="19" t="s">
        <v>58</v>
      </c>
      <c r="J893" s="20">
        <v>45916</v>
      </c>
      <c r="K893" s="20">
        <v>45947</v>
      </c>
      <c r="L893" s="21">
        <v>2000000</v>
      </c>
      <c r="M893" s="22">
        <f>SUM(N893:O893)</f>
        <v>1650000</v>
      </c>
      <c r="N893" s="23">
        <v>1000000</v>
      </c>
      <c r="O893" s="23">
        <v>650000</v>
      </c>
      <c r="P893" s="24">
        <f t="shared" ref="P893" si="834">L893-N893</f>
        <v>1000000</v>
      </c>
      <c r="Q893" s="25">
        <v>200000</v>
      </c>
      <c r="R893" s="26">
        <v>50000</v>
      </c>
      <c r="S893" s="91">
        <f t="shared" si="830"/>
        <v>20</v>
      </c>
      <c r="T893" s="91">
        <f t="shared" si="831"/>
        <v>4</v>
      </c>
      <c r="U893" s="27" t="s">
        <v>192</v>
      </c>
      <c r="V893" s="19" t="s">
        <v>51</v>
      </c>
      <c r="W893" s="20">
        <v>45926</v>
      </c>
      <c r="X893" s="22"/>
      <c r="Y893" s="19" t="s">
        <v>52</v>
      </c>
      <c r="Z893" s="19" t="s">
        <v>52</v>
      </c>
      <c r="AA893" s="19" t="s">
        <v>52</v>
      </c>
      <c r="AB893" s="42"/>
    </row>
    <row r="894" spans="1:33" s="29" customFormat="1" ht="15" customHeight="1" x14ac:dyDescent="0.25">
      <c r="A894" s="14">
        <v>4</v>
      </c>
      <c r="B894" s="15">
        <v>45941</v>
      </c>
      <c r="C894" s="15">
        <f>B894+8</f>
        <v>45949</v>
      </c>
      <c r="D894" s="14">
        <v>13532</v>
      </c>
      <c r="E894" s="16" t="s">
        <v>680</v>
      </c>
      <c r="F894" s="17" t="s">
        <v>681</v>
      </c>
      <c r="G894" s="17" t="s">
        <v>102</v>
      </c>
      <c r="H894" s="18" t="s">
        <v>542</v>
      </c>
      <c r="I894" s="19" t="s">
        <v>104</v>
      </c>
      <c r="J894" s="20">
        <v>45908</v>
      </c>
      <c r="K894" s="20">
        <v>45938</v>
      </c>
      <c r="L894" s="21">
        <v>1000000</v>
      </c>
      <c r="M894" s="22">
        <f>SUM(N894:O894)</f>
        <v>1071000</v>
      </c>
      <c r="N894" s="23">
        <v>1008000</v>
      </c>
      <c r="O894" s="23">
        <v>63000</v>
      </c>
      <c r="P894" s="24">
        <f>L894-N894</f>
        <v>-8000</v>
      </c>
      <c r="Q894" s="25">
        <v>63000</v>
      </c>
      <c r="R894" s="26">
        <v>63000</v>
      </c>
      <c r="S894" s="91">
        <f t="shared" si="830"/>
        <v>0</v>
      </c>
      <c r="T894" s="91">
        <f t="shared" si="831"/>
        <v>1</v>
      </c>
      <c r="U894" s="27" t="s">
        <v>192</v>
      </c>
      <c r="V894" s="19" t="s">
        <v>51</v>
      </c>
      <c r="W894" s="20">
        <v>45925</v>
      </c>
      <c r="X894" s="22"/>
      <c r="Y894" s="19" t="s">
        <v>52</v>
      </c>
      <c r="Z894" s="19" t="s">
        <v>52</v>
      </c>
      <c r="AA894" s="19" t="s">
        <v>52</v>
      </c>
      <c r="AB894" s="28"/>
    </row>
    <row r="895" spans="1:33" s="29" customFormat="1" ht="15" customHeight="1" x14ac:dyDescent="0.25">
      <c r="A895" s="14">
        <v>5</v>
      </c>
      <c r="B895" s="15">
        <v>45941</v>
      </c>
      <c r="C895" s="15">
        <f t="shared" ref="C895:C898" si="835">B895+8</f>
        <v>45949</v>
      </c>
      <c r="D895" s="14">
        <v>13517</v>
      </c>
      <c r="E895" s="16" t="s">
        <v>291</v>
      </c>
      <c r="F895" s="17" t="s">
        <v>292</v>
      </c>
      <c r="G895" s="17" t="s">
        <v>47</v>
      </c>
      <c r="H895" s="18" t="s">
        <v>542</v>
      </c>
      <c r="I895" s="19" t="s">
        <v>104</v>
      </c>
      <c r="J895" s="20">
        <v>45898</v>
      </c>
      <c r="K895" s="20">
        <v>45945</v>
      </c>
      <c r="L895" s="21">
        <v>300000</v>
      </c>
      <c r="M895" s="22">
        <f t="shared" ref="M895" si="836">SUM(N895:O895)</f>
        <v>371000</v>
      </c>
      <c r="N895" s="23">
        <v>52500</v>
      </c>
      <c r="O895" s="23">
        <v>318500</v>
      </c>
      <c r="P895" s="24">
        <f t="shared" ref="P895:P899" si="837">L895-N895</f>
        <v>247500</v>
      </c>
      <c r="Q895" s="25">
        <v>4500</v>
      </c>
      <c r="R895" s="26">
        <v>72000</v>
      </c>
      <c r="S895" s="91">
        <f t="shared" si="830"/>
        <v>3.4375</v>
      </c>
      <c r="T895" s="91">
        <f t="shared" si="831"/>
        <v>6.25E-2</v>
      </c>
      <c r="U895" s="27" t="s">
        <v>193</v>
      </c>
      <c r="V895" s="19" t="s">
        <v>51</v>
      </c>
      <c r="W895" s="20">
        <v>45929</v>
      </c>
      <c r="X895" s="22"/>
      <c r="Y895" s="19" t="s">
        <v>52</v>
      </c>
      <c r="Z895" s="19" t="s">
        <v>52</v>
      </c>
      <c r="AA895" s="19" t="s">
        <v>52</v>
      </c>
      <c r="AB895" s="42"/>
    </row>
    <row r="896" spans="1:33" s="29" customFormat="1" ht="15" customHeight="1" x14ac:dyDescent="0.25">
      <c r="A896" s="14">
        <v>5</v>
      </c>
      <c r="B896" s="15">
        <v>45941</v>
      </c>
      <c r="C896" s="15">
        <f>B896+8</f>
        <v>45949</v>
      </c>
      <c r="D896" s="14">
        <v>13577</v>
      </c>
      <c r="E896" s="16" t="s">
        <v>626</v>
      </c>
      <c r="F896" s="17" t="s">
        <v>627</v>
      </c>
      <c r="G896" s="17" t="s">
        <v>102</v>
      </c>
      <c r="H896" s="18" t="s">
        <v>57</v>
      </c>
      <c r="I896" s="19" t="s">
        <v>94</v>
      </c>
      <c r="J896" s="20">
        <v>45910</v>
      </c>
      <c r="K896" s="20">
        <v>45945</v>
      </c>
      <c r="L896" s="21">
        <v>150000</v>
      </c>
      <c r="M896" s="22">
        <f>SUM(N896:O896)</f>
        <v>100000</v>
      </c>
      <c r="N896" s="23">
        <v>0</v>
      </c>
      <c r="O896" s="23">
        <v>100000</v>
      </c>
      <c r="P896" s="24">
        <f>L896-N896</f>
        <v>150000</v>
      </c>
      <c r="Q896" s="25">
        <v>50000</v>
      </c>
      <c r="R896" s="26">
        <v>50000</v>
      </c>
      <c r="S896" s="91">
        <f t="shared" si="830"/>
        <v>3</v>
      </c>
      <c r="T896" s="91">
        <f t="shared" si="831"/>
        <v>1</v>
      </c>
      <c r="U896" s="27" t="s">
        <v>193</v>
      </c>
      <c r="V896" s="19" t="s">
        <v>51</v>
      </c>
      <c r="W896" s="20">
        <v>45925</v>
      </c>
      <c r="X896" s="22"/>
      <c r="Y896" s="19" t="s">
        <v>52</v>
      </c>
      <c r="Z896" s="19" t="s">
        <v>52</v>
      </c>
      <c r="AA896" s="19" t="s">
        <v>52</v>
      </c>
      <c r="AB896" s="28"/>
    </row>
    <row r="897" spans="1:33" s="29" customFormat="1" ht="15" customHeight="1" x14ac:dyDescent="0.25">
      <c r="A897" s="14">
        <v>6</v>
      </c>
      <c r="B897" s="15">
        <v>45941</v>
      </c>
      <c r="C897" s="15">
        <f>B897+8</f>
        <v>45949</v>
      </c>
      <c r="D897" s="14">
        <v>13601</v>
      </c>
      <c r="E897" s="16" t="s">
        <v>756</v>
      </c>
      <c r="F897" s="17" t="s">
        <v>813</v>
      </c>
      <c r="G897" s="17" t="s">
        <v>47</v>
      </c>
      <c r="H897" s="18" t="s">
        <v>57</v>
      </c>
      <c r="I897" s="19" t="s">
        <v>58</v>
      </c>
      <c r="J897" s="20">
        <v>45916</v>
      </c>
      <c r="K897" s="20">
        <v>45947</v>
      </c>
      <c r="L897" s="21">
        <v>2000000</v>
      </c>
      <c r="M897" s="22">
        <f>SUM(N897:O897)</f>
        <v>1650000</v>
      </c>
      <c r="N897" s="23">
        <v>1000000</v>
      </c>
      <c r="O897" s="23">
        <v>650000</v>
      </c>
      <c r="P897" s="24">
        <f>L897-N897</f>
        <v>1000000</v>
      </c>
      <c r="Q897" s="25">
        <v>450000</v>
      </c>
      <c r="R897" s="26">
        <v>50000</v>
      </c>
      <c r="S897" s="91">
        <f t="shared" si="830"/>
        <v>20</v>
      </c>
      <c r="T897" s="91">
        <f t="shared" si="831"/>
        <v>9</v>
      </c>
      <c r="U897" s="27" t="s">
        <v>193</v>
      </c>
      <c r="V897" s="19" t="s">
        <v>51</v>
      </c>
      <c r="W897" s="20">
        <v>45926</v>
      </c>
      <c r="X897" s="22"/>
      <c r="Y897" s="19" t="s">
        <v>52</v>
      </c>
      <c r="Z897" s="19" t="s">
        <v>52</v>
      </c>
      <c r="AA897" s="19" t="s">
        <v>52</v>
      </c>
      <c r="AB897" s="42"/>
    </row>
    <row r="898" spans="1:33" s="29" customFormat="1" ht="15" customHeight="1" x14ac:dyDescent="0.25">
      <c r="A898" s="14">
        <v>7</v>
      </c>
      <c r="B898" s="15">
        <v>45941</v>
      </c>
      <c r="C898" s="15">
        <f t="shared" si="835"/>
        <v>45949</v>
      </c>
      <c r="D898" s="14">
        <v>13643</v>
      </c>
      <c r="E898" s="16" t="s">
        <v>436</v>
      </c>
      <c r="F898" s="40" t="s">
        <v>437</v>
      </c>
      <c r="G898" s="17" t="s">
        <v>75</v>
      </c>
      <c r="H898" s="18" t="s">
        <v>57</v>
      </c>
      <c r="I898" s="19" t="s">
        <v>94</v>
      </c>
      <c r="J898" s="20">
        <v>45919</v>
      </c>
      <c r="K898" s="20">
        <v>45961</v>
      </c>
      <c r="L898" s="21">
        <v>450000</v>
      </c>
      <c r="M898" s="22">
        <f t="shared" ref="M898:M899" si="838">SUM(N898:O898)</f>
        <v>423000</v>
      </c>
      <c r="N898" s="23">
        <v>0</v>
      </c>
      <c r="O898" s="23">
        <v>423000</v>
      </c>
      <c r="P898" s="24">
        <f t="shared" si="837"/>
        <v>450000</v>
      </c>
      <c r="Q898" s="25">
        <v>423000</v>
      </c>
      <c r="R898" s="26">
        <v>150000</v>
      </c>
      <c r="S898" s="91">
        <f t="shared" si="830"/>
        <v>3</v>
      </c>
      <c r="T898" s="91">
        <f t="shared" si="831"/>
        <v>2.82</v>
      </c>
      <c r="U898" s="27" t="s">
        <v>193</v>
      </c>
      <c r="V898" s="30" t="s">
        <v>59</v>
      </c>
      <c r="W898" s="31">
        <v>45938</v>
      </c>
      <c r="X898" s="22"/>
      <c r="Y898" s="19" t="s">
        <v>52</v>
      </c>
      <c r="Z898" s="19" t="s">
        <v>52</v>
      </c>
      <c r="AA898" s="19" t="s">
        <v>52</v>
      </c>
      <c r="AB898" s="28"/>
    </row>
    <row r="899" spans="1:33" s="29" customFormat="1" ht="15" customHeight="1" x14ac:dyDescent="0.25">
      <c r="A899" s="14">
        <v>7</v>
      </c>
      <c r="B899" s="15">
        <v>45941</v>
      </c>
      <c r="C899" s="15">
        <f t="shared" ref="C899" si="839">B899+8</f>
        <v>45949</v>
      </c>
      <c r="D899" s="14">
        <v>13599</v>
      </c>
      <c r="E899" s="16" t="s">
        <v>728</v>
      </c>
      <c r="F899" s="17" t="s">
        <v>469</v>
      </c>
      <c r="G899" s="17" t="s">
        <v>47</v>
      </c>
      <c r="H899" s="18" t="s">
        <v>57</v>
      </c>
      <c r="I899" s="19" t="s">
        <v>58</v>
      </c>
      <c r="J899" s="20">
        <v>45926</v>
      </c>
      <c r="K899" s="20">
        <v>45947</v>
      </c>
      <c r="L899" s="21">
        <v>2000000</v>
      </c>
      <c r="M899" s="22">
        <f t="shared" si="838"/>
        <v>400000</v>
      </c>
      <c r="N899" s="23">
        <v>0</v>
      </c>
      <c r="O899" s="23">
        <v>400000</v>
      </c>
      <c r="P899" s="24">
        <f t="shared" si="837"/>
        <v>2000000</v>
      </c>
      <c r="Q899" s="25">
        <v>400000</v>
      </c>
      <c r="R899" s="26">
        <v>96000</v>
      </c>
      <c r="S899" s="91">
        <f t="shared" si="830"/>
        <v>20.833333333333332</v>
      </c>
      <c r="T899" s="91">
        <f t="shared" si="831"/>
        <v>4.166666666666667</v>
      </c>
      <c r="U899" s="27" t="s">
        <v>193</v>
      </c>
      <c r="V899" s="30" t="s">
        <v>59</v>
      </c>
      <c r="W899" s="31">
        <v>45941</v>
      </c>
      <c r="X899" s="22"/>
      <c r="Y899" s="19" t="s">
        <v>52</v>
      </c>
      <c r="Z899" s="19" t="s">
        <v>52</v>
      </c>
      <c r="AA899" s="19" t="s">
        <v>52</v>
      </c>
      <c r="AB899" s="42"/>
    </row>
    <row r="900" spans="1:33" ht="15" customHeight="1" x14ac:dyDescent="0.25">
      <c r="A900" s="33" t="s">
        <v>71</v>
      </c>
      <c r="B900" s="34"/>
      <c r="C900" s="34"/>
      <c r="D900" s="34"/>
      <c r="E900" s="34"/>
      <c r="F900" s="35"/>
      <c r="G900" s="35"/>
      <c r="H900" s="34"/>
      <c r="I900" s="34"/>
      <c r="J900" s="34"/>
      <c r="K900" s="34"/>
      <c r="L900" s="36"/>
      <c r="M900" s="36"/>
      <c r="N900" s="36"/>
      <c r="O900" s="36"/>
      <c r="P900" s="36"/>
      <c r="Q900" s="36">
        <f>SUM(Q891:Q899)</f>
        <v>1955500</v>
      </c>
      <c r="R900" s="36"/>
      <c r="S900" s="92"/>
      <c r="T900" s="93">
        <f>SUM(T891:T899)</f>
        <v>27.424166666666668</v>
      </c>
      <c r="U900" s="37"/>
      <c r="V900" s="38"/>
      <c r="W900" s="38"/>
      <c r="X900" s="38"/>
      <c r="Y900" s="34"/>
      <c r="Z900" s="34"/>
      <c r="AA900" s="39"/>
      <c r="AB900" s="29" t="s">
        <v>900</v>
      </c>
      <c r="AC900" s="81" t="s">
        <v>922</v>
      </c>
      <c r="AD900" s="83">
        <v>5000</v>
      </c>
      <c r="AF900" s="83">
        <v>0</v>
      </c>
      <c r="AG900" s="83">
        <f>SUM(AD900,AF900)</f>
        <v>5000</v>
      </c>
    </row>
    <row r="901" spans="1:33" s="29" customFormat="1" ht="15" customHeight="1" x14ac:dyDescent="0.25">
      <c r="A901" s="14">
        <v>8</v>
      </c>
      <c r="B901" s="15">
        <v>45941</v>
      </c>
      <c r="C901" s="15">
        <f>B901+8</f>
        <v>45949</v>
      </c>
      <c r="D901" s="14">
        <v>13432</v>
      </c>
      <c r="E901" s="16" t="s">
        <v>324</v>
      </c>
      <c r="F901" s="17" t="s">
        <v>325</v>
      </c>
      <c r="G901" s="17" t="s">
        <v>132</v>
      </c>
      <c r="H901" s="18" t="s">
        <v>162</v>
      </c>
      <c r="I901" s="19" t="s">
        <v>198</v>
      </c>
      <c r="J901" s="20">
        <v>45883</v>
      </c>
      <c r="K901" s="20">
        <v>45937</v>
      </c>
      <c r="L901" s="21">
        <v>1000000</v>
      </c>
      <c r="M901" s="22">
        <f>SUM(N901:O901)</f>
        <v>1224000</v>
      </c>
      <c r="N901" s="23">
        <v>0</v>
      </c>
      <c r="O901" s="23">
        <v>1224000</v>
      </c>
      <c r="P901" s="24">
        <f>L901-N901</f>
        <v>1000000</v>
      </c>
      <c r="Q901" s="25">
        <v>1224000</v>
      </c>
      <c r="R901" s="26">
        <v>324000</v>
      </c>
      <c r="S901" s="91">
        <f t="shared" ref="S901:S905" si="840">IF(P901&gt;0,P901/$R901,0)</f>
        <v>3.0864197530864197</v>
      </c>
      <c r="T901" s="91">
        <f t="shared" ref="T901:T905" si="841">IF(Q901&gt;0,Q901/$R901,0)</f>
        <v>3.7777777777777777</v>
      </c>
      <c r="U901" s="27" t="s">
        <v>56</v>
      </c>
      <c r="V901" s="30" t="s">
        <v>59</v>
      </c>
      <c r="W901" s="31">
        <v>45938</v>
      </c>
      <c r="X901" s="22"/>
      <c r="Y901" s="19" t="s">
        <v>52</v>
      </c>
      <c r="Z901" s="19" t="s">
        <v>52</v>
      </c>
      <c r="AA901" s="19" t="s">
        <v>52</v>
      </c>
      <c r="AB901" s="28"/>
    </row>
    <row r="902" spans="1:33" s="29" customFormat="1" ht="15" customHeight="1" x14ac:dyDescent="0.25">
      <c r="A902" s="14">
        <v>3</v>
      </c>
      <c r="B902" s="15">
        <v>45941</v>
      </c>
      <c r="C902" s="15">
        <f t="shared" ref="C902:C905" si="842">B902+8</f>
        <v>45949</v>
      </c>
      <c r="D902" s="14">
        <v>13333</v>
      </c>
      <c r="E902" s="16" t="s">
        <v>740</v>
      </c>
      <c r="F902" s="17" t="s">
        <v>317</v>
      </c>
      <c r="G902" s="17" t="s">
        <v>132</v>
      </c>
      <c r="H902" s="18" t="s">
        <v>133</v>
      </c>
      <c r="I902" s="19" t="s">
        <v>198</v>
      </c>
      <c r="J902" s="20">
        <v>45866</v>
      </c>
      <c r="K902" s="20">
        <v>45884</v>
      </c>
      <c r="L902" s="21">
        <v>2000000</v>
      </c>
      <c r="M902" s="22">
        <f t="shared" ref="M902" si="843">SUM(N902:O902)</f>
        <v>2088000</v>
      </c>
      <c r="N902" s="23">
        <v>296000</v>
      </c>
      <c r="O902" s="23">
        <v>1792000</v>
      </c>
      <c r="P902" s="24">
        <f t="shared" ref="P902:P905" si="844">L902-N902</f>
        <v>1704000</v>
      </c>
      <c r="Q902" s="25">
        <v>1152000</v>
      </c>
      <c r="R902" s="26">
        <v>128000</v>
      </c>
      <c r="S902" s="91">
        <f t="shared" si="840"/>
        <v>13.3125</v>
      </c>
      <c r="T902" s="91">
        <f t="shared" si="841"/>
        <v>9</v>
      </c>
      <c r="U902" s="27" t="s">
        <v>56</v>
      </c>
      <c r="V902" s="19" t="s">
        <v>51</v>
      </c>
      <c r="W902" s="20">
        <v>45903</v>
      </c>
      <c r="X902" s="22"/>
      <c r="Y902" s="19" t="s">
        <v>52</v>
      </c>
      <c r="Z902" s="19" t="s">
        <v>52</v>
      </c>
      <c r="AA902" s="19" t="s">
        <v>52</v>
      </c>
      <c r="AB902" s="28"/>
    </row>
    <row r="903" spans="1:33" s="29" customFormat="1" ht="15" customHeight="1" x14ac:dyDescent="0.25">
      <c r="A903" s="14">
        <v>9</v>
      </c>
      <c r="B903" s="15">
        <v>45941</v>
      </c>
      <c r="C903" s="15">
        <f t="shared" si="842"/>
        <v>45949</v>
      </c>
      <c r="D903" s="14">
        <v>13488</v>
      </c>
      <c r="E903" s="16" t="s">
        <v>141</v>
      </c>
      <c r="F903" s="17" t="s">
        <v>142</v>
      </c>
      <c r="G903" s="17" t="s">
        <v>132</v>
      </c>
      <c r="H903" s="18" t="s">
        <v>54</v>
      </c>
      <c r="I903" s="19" t="s">
        <v>135</v>
      </c>
      <c r="J903" s="20">
        <v>45896</v>
      </c>
      <c r="K903" s="20">
        <v>45943</v>
      </c>
      <c r="L903" s="21">
        <v>465000</v>
      </c>
      <c r="M903" s="22">
        <f t="shared" ref="M903:M904" si="845">SUM(N903:O903)</f>
        <v>559000</v>
      </c>
      <c r="N903" s="23">
        <v>0</v>
      </c>
      <c r="O903" s="23">
        <v>559000</v>
      </c>
      <c r="P903" s="24">
        <f t="shared" si="844"/>
        <v>465000</v>
      </c>
      <c r="Q903" s="25">
        <v>559000</v>
      </c>
      <c r="R903" s="26">
        <v>175500</v>
      </c>
      <c r="S903" s="91">
        <f t="shared" si="840"/>
        <v>2.6495726495726495</v>
      </c>
      <c r="T903" s="91">
        <f t="shared" si="841"/>
        <v>3.1851851851851851</v>
      </c>
      <c r="U903" s="27" t="s">
        <v>56</v>
      </c>
      <c r="V903" s="30" t="s">
        <v>59</v>
      </c>
      <c r="W903" s="31">
        <v>45938</v>
      </c>
      <c r="X903" s="22"/>
      <c r="Y903" s="19" t="s">
        <v>52</v>
      </c>
      <c r="Z903" s="19" t="s">
        <v>52</v>
      </c>
      <c r="AA903" s="19" t="s">
        <v>52</v>
      </c>
      <c r="AB903" s="28"/>
    </row>
    <row r="904" spans="1:33" s="29" customFormat="1" ht="15" customHeight="1" x14ac:dyDescent="0.25">
      <c r="A904" s="14">
        <v>14</v>
      </c>
      <c r="B904" s="15">
        <v>45941</v>
      </c>
      <c r="C904" s="15">
        <f t="shared" si="842"/>
        <v>45949</v>
      </c>
      <c r="D904" s="14">
        <v>13588</v>
      </c>
      <c r="E904" s="16" t="s">
        <v>226</v>
      </c>
      <c r="F904" s="17" t="s">
        <v>227</v>
      </c>
      <c r="G904" s="17" t="s">
        <v>132</v>
      </c>
      <c r="H904" s="18" t="s">
        <v>775</v>
      </c>
      <c r="I904" s="19" t="s">
        <v>135</v>
      </c>
      <c r="J904" s="20">
        <v>45911</v>
      </c>
      <c r="K904" s="20">
        <v>45959</v>
      </c>
      <c r="L904" s="21">
        <v>50000</v>
      </c>
      <c r="M904" s="22">
        <f t="shared" si="845"/>
        <v>61740</v>
      </c>
      <c r="N904" s="23">
        <v>0</v>
      </c>
      <c r="O904" s="23">
        <v>61740</v>
      </c>
      <c r="P904" s="24">
        <f t="shared" si="844"/>
        <v>50000</v>
      </c>
      <c r="Q904" s="25">
        <v>61740</v>
      </c>
      <c r="R904" s="26">
        <v>57330</v>
      </c>
      <c r="S904" s="91">
        <f t="shared" si="840"/>
        <v>0.87214372928658646</v>
      </c>
      <c r="T904" s="91">
        <f t="shared" si="841"/>
        <v>1.0769230769230769</v>
      </c>
      <c r="U904" s="27" t="s">
        <v>56</v>
      </c>
      <c r="V904" s="30" t="s">
        <v>59</v>
      </c>
      <c r="W904" s="31">
        <v>45938</v>
      </c>
      <c r="X904" s="22"/>
      <c r="Y904" s="19" t="s">
        <v>52</v>
      </c>
      <c r="Z904" s="19" t="s">
        <v>52</v>
      </c>
      <c r="AA904" s="19" t="s">
        <v>52</v>
      </c>
      <c r="AB904" s="28"/>
    </row>
    <row r="905" spans="1:33" s="29" customFormat="1" ht="15" customHeight="1" x14ac:dyDescent="0.25">
      <c r="A905" s="14">
        <v>8</v>
      </c>
      <c r="B905" s="15">
        <v>45941</v>
      </c>
      <c r="C905" s="15">
        <f t="shared" si="842"/>
        <v>45949</v>
      </c>
      <c r="D905" s="14">
        <v>13653</v>
      </c>
      <c r="E905" s="16" t="s">
        <v>497</v>
      </c>
      <c r="F905" s="40" t="s">
        <v>498</v>
      </c>
      <c r="G905" s="17" t="s">
        <v>75</v>
      </c>
      <c r="H905" s="18" t="s">
        <v>133</v>
      </c>
      <c r="I905" s="19" t="s">
        <v>198</v>
      </c>
      <c r="J905" s="20">
        <v>45923</v>
      </c>
      <c r="K905" s="20">
        <v>45964</v>
      </c>
      <c r="L905" s="21">
        <v>90000</v>
      </c>
      <c r="M905" s="22">
        <f t="shared" ref="M905" si="846">SUM(N905:O905)</f>
        <v>108000</v>
      </c>
      <c r="N905" s="23">
        <v>0</v>
      </c>
      <c r="O905" s="23">
        <v>108000</v>
      </c>
      <c r="P905" s="24">
        <f t="shared" si="844"/>
        <v>90000</v>
      </c>
      <c r="Q905" s="25">
        <v>108000</v>
      </c>
      <c r="R905" s="26">
        <v>60000</v>
      </c>
      <c r="S905" s="91">
        <f t="shared" si="840"/>
        <v>1.5</v>
      </c>
      <c r="T905" s="91">
        <f t="shared" si="841"/>
        <v>1.8</v>
      </c>
      <c r="U905" s="27" t="s">
        <v>56</v>
      </c>
      <c r="V905" s="30" t="s">
        <v>59</v>
      </c>
      <c r="W905" s="31">
        <v>45943</v>
      </c>
      <c r="X905" s="22"/>
      <c r="Y905" s="19" t="s">
        <v>52</v>
      </c>
      <c r="Z905" s="19" t="s">
        <v>52</v>
      </c>
      <c r="AA905" s="19" t="s">
        <v>52</v>
      </c>
      <c r="AB905" s="28"/>
    </row>
    <row r="906" spans="1:33" ht="15" customHeight="1" x14ac:dyDescent="0.25">
      <c r="A906" s="33" t="s">
        <v>71</v>
      </c>
      <c r="B906" s="34"/>
      <c r="C906" s="34"/>
      <c r="D906" s="34"/>
      <c r="E906" s="34"/>
      <c r="F906" s="35"/>
      <c r="G906" s="35"/>
      <c r="H906" s="34"/>
      <c r="I906" s="34"/>
      <c r="J906" s="34"/>
      <c r="K906" s="34"/>
      <c r="L906" s="36"/>
      <c r="M906" s="36"/>
      <c r="N906" s="36"/>
      <c r="O906" s="36"/>
      <c r="P906" s="36"/>
      <c r="Q906" s="36">
        <f>SUM(Q901:Q905)</f>
        <v>3104740</v>
      </c>
      <c r="R906" s="36"/>
      <c r="S906" s="92"/>
      <c r="T906" s="93">
        <f>SUM(T901:T905)</f>
        <v>18.839886039886043</v>
      </c>
      <c r="U906" s="37"/>
      <c r="V906" s="38"/>
      <c r="W906" s="38"/>
      <c r="X906" s="38"/>
      <c r="Y906" s="34"/>
      <c r="Z906" s="34"/>
      <c r="AA906" s="39"/>
      <c r="AB906" s="29" t="s">
        <v>904</v>
      </c>
      <c r="AC906" s="81" t="s">
        <v>960</v>
      </c>
      <c r="AD906" s="83">
        <v>4375</v>
      </c>
      <c r="AF906" s="83">
        <v>0</v>
      </c>
      <c r="AG906" s="83">
        <f>SUM(AD906,AF906)</f>
        <v>4375</v>
      </c>
    </row>
    <row r="907" spans="1:33" s="29" customFormat="1" ht="15" customHeight="1" x14ac:dyDescent="0.25">
      <c r="A907" s="14">
        <v>27</v>
      </c>
      <c r="B907" s="15">
        <v>45944</v>
      </c>
      <c r="C907" s="15">
        <f>B907+8</f>
        <v>45952</v>
      </c>
      <c r="D907" s="14">
        <v>13680</v>
      </c>
      <c r="E907" s="16" t="s">
        <v>204</v>
      </c>
      <c r="F907" s="17" t="s">
        <v>205</v>
      </c>
      <c r="G907" s="17" t="s">
        <v>102</v>
      </c>
      <c r="H907" s="18" t="s">
        <v>784</v>
      </c>
      <c r="I907" s="19" t="s">
        <v>63</v>
      </c>
      <c r="J907" s="20">
        <v>45929</v>
      </c>
      <c r="K907" s="20">
        <v>45954</v>
      </c>
      <c r="L907" s="21">
        <v>600000</v>
      </c>
      <c r="M907" s="22">
        <f>SUM(N907:O907)</f>
        <v>670000</v>
      </c>
      <c r="N907" s="23">
        <v>0</v>
      </c>
      <c r="O907" s="23">
        <v>670000</v>
      </c>
      <c r="P907" s="24">
        <f>L907-N907</f>
        <v>600000</v>
      </c>
      <c r="Q907" s="25">
        <v>670000</v>
      </c>
      <c r="R907" s="26">
        <v>84000</v>
      </c>
      <c r="S907" s="91">
        <f t="shared" ref="S907:S912" si="847">IF(P907&gt;0,P907/$R907,0)</f>
        <v>7.1428571428571432</v>
      </c>
      <c r="T907" s="91">
        <f t="shared" ref="T907:T912" si="848">IF(Q907&gt;0,Q907/$R907,0)</f>
        <v>7.9761904761904763</v>
      </c>
      <c r="U907" s="27" t="s">
        <v>192</v>
      </c>
      <c r="V907" s="30" t="s">
        <v>68</v>
      </c>
      <c r="W907" s="31" t="s">
        <v>68</v>
      </c>
      <c r="X907" s="22"/>
      <c r="Y907" s="19" t="s">
        <v>52</v>
      </c>
      <c r="Z907" s="19" t="s">
        <v>52</v>
      </c>
      <c r="AA907" s="19" t="s">
        <v>52</v>
      </c>
      <c r="AB907" s="28"/>
    </row>
    <row r="908" spans="1:33" s="29" customFormat="1" ht="15" customHeight="1" x14ac:dyDescent="0.25">
      <c r="A908" s="14">
        <v>7</v>
      </c>
      <c r="B908" s="15">
        <v>45944</v>
      </c>
      <c r="C908" s="15">
        <f t="shared" ref="C908" si="849">B908+8</f>
        <v>45952</v>
      </c>
      <c r="D908" s="14">
        <v>13599</v>
      </c>
      <c r="E908" s="16" t="s">
        <v>728</v>
      </c>
      <c r="F908" s="17" t="s">
        <v>469</v>
      </c>
      <c r="G908" s="17" t="s">
        <v>47</v>
      </c>
      <c r="H908" s="18" t="s">
        <v>57</v>
      </c>
      <c r="I908" s="19" t="s">
        <v>58</v>
      </c>
      <c r="J908" s="20">
        <v>45926</v>
      </c>
      <c r="K908" s="20">
        <v>45947</v>
      </c>
      <c r="L908" s="21">
        <v>2000000</v>
      </c>
      <c r="M908" s="22">
        <f t="shared" ref="M908" si="850">SUM(N908:O908)</f>
        <v>1700000</v>
      </c>
      <c r="N908" s="23">
        <v>400000</v>
      </c>
      <c r="O908" s="23">
        <v>1300000</v>
      </c>
      <c r="P908" s="24">
        <f t="shared" ref="P908" si="851">L908-N908</f>
        <v>1600000</v>
      </c>
      <c r="Q908" s="25">
        <v>900000</v>
      </c>
      <c r="R908" s="26">
        <v>96000</v>
      </c>
      <c r="S908" s="91">
        <f t="shared" si="847"/>
        <v>16.666666666666668</v>
      </c>
      <c r="T908" s="91">
        <f t="shared" si="848"/>
        <v>9.375</v>
      </c>
      <c r="U908" s="27" t="s">
        <v>192</v>
      </c>
      <c r="V908" s="30" t="s">
        <v>59</v>
      </c>
      <c r="W908" s="31">
        <v>45941</v>
      </c>
      <c r="X908" s="22"/>
      <c r="Y908" s="19" t="s">
        <v>52</v>
      </c>
      <c r="Z908" s="19" t="s">
        <v>52</v>
      </c>
      <c r="AA908" s="19" t="s">
        <v>52</v>
      </c>
      <c r="AB908" s="42"/>
    </row>
    <row r="909" spans="1:33" s="29" customFormat="1" ht="15" customHeight="1" x14ac:dyDescent="0.25">
      <c r="A909" s="14">
        <v>3</v>
      </c>
      <c r="B909" s="15">
        <v>45944</v>
      </c>
      <c r="C909" s="15">
        <f>B909+8</f>
        <v>45952</v>
      </c>
      <c r="D909" s="14">
        <v>13333</v>
      </c>
      <c r="E909" s="16" t="s">
        <v>740</v>
      </c>
      <c r="F909" s="17" t="s">
        <v>317</v>
      </c>
      <c r="G909" s="17" t="s">
        <v>132</v>
      </c>
      <c r="H909" s="18" t="s">
        <v>133</v>
      </c>
      <c r="I909" s="19" t="s">
        <v>198</v>
      </c>
      <c r="J909" s="20">
        <v>45866</v>
      </c>
      <c r="K909" s="20">
        <v>45884</v>
      </c>
      <c r="L909" s="21">
        <v>2000000</v>
      </c>
      <c r="M909" s="22">
        <f>SUM(N909:O909)</f>
        <v>1832000</v>
      </c>
      <c r="N909" s="23">
        <v>1448000</v>
      </c>
      <c r="O909" s="23">
        <v>384000</v>
      </c>
      <c r="P909" s="24">
        <f>L909-N909</f>
        <v>552000</v>
      </c>
      <c r="Q909" s="25">
        <v>384000</v>
      </c>
      <c r="R909" s="26">
        <v>128000</v>
      </c>
      <c r="S909" s="91">
        <f t="shared" si="847"/>
        <v>4.3125</v>
      </c>
      <c r="T909" s="91">
        <f t="shared" si="848"/>
        <v>3</v>
      </c>
      <c r="U909" s="27" t="s">
        <v>56</v>
      </c>
      <c r="V909" s="19" t="s">
        <v>51</v>
      </c>
      <c r="W909" s="20">
        <v>45903</v>
      </c>
      <c r="X909" s="22"/>
      <c r="Y909" s="19" t="s">
        <v>52</v>
      </c>
      <c r="Z909" s="19" t="s">
        <v>52</v>
      </c>
      <c r="AA909" s="19" t="s">
        <v>52</v>
      </c>
      <c r="AB909" s="28"/>
    </row>
    <row r="910" spans="1:33" s="29" customFormat="1" ht="15" customHeight="1" x14ac:dyDescent="0.25">
      <c r="A910" s="14">
        <v>4</v>
      </c>
      <c r="B910" s="15">
        <v>45944</v>
      </c>
      <c r="C910" s="15">
        <f t="shared" ref="C910" si="852">B910+8</f>
        <v>45952</v>
      </c>
      <c r="D910" s="14">
        <v>13425</v>
      </c>
      <c r="E910" s="16" t="s">
        <v>769</v>
      </c>
      <c r="F910" s="17" t="s">
        <v>770</v>
      </c>
      <c r="G910" s="17" t="s">
        <v>132</v>
      </c>
      <c r="H910" s="18" t="s">
        <v>78</v>
      </c>
      <c r="I910" s="19" t="s">
        <v>79</v>
      </c>
      <c r="J910" s="20">
        <v>45882</v>
      </c>
      <c r="K910" s="20">
        <v>45910</v>
      </c>
      <c r="L910" s="21">
        <v>80000</v>
      </c>
      <c r="M910" s="22">
        <f>SUM(N910:O910)</f>
        <v>80000</v>
      </c>
      <c r="N910" s="23">
        <v>34420</v>
      </c>
      <c r="O910" s="23">
        <v>45580</v>
      </c>
      <c r="P910" s="24">
        <f>L910-N910</f>
        <v>45580</v>
      </c>
      <c r="Q910" s="25">
        <v>64180</v>
      </c>
      <c r="R910" s="26">
        <v>232443</v>
      </c>
      <c r="S910" s="91">
        <f t="shared" si="847"/>
        <v>0.19609108469603301</v>
      </c>
      <c r="T910" s="91">
        <f t="shared" si="848"/>
        <v>0.27611070240876256</v>
      </c>
      <c r="U910" s="27" t="s">
        <v>56</v>
      </c>
      <c r="V910" s="19" t="s">
        <v>51</v>
      </c>
      <c r="W910" s="20">
        <v>45917</v>
      </c>
      <c r="X910" s="22"/>
      <c r="Y910" s="19" t="s">
        <v>52</v>
      </c>
      <c r="Z910" s="19" t="s">
        <v>52</v>
      </c>
      <c r="AA910" s="19" t="s">
        <v>52</v>
      </c>
      <c r="AB910" s="28"/>
    </row>
    <row r="911" spans="1:33" s="29" customFormat="1" ht="15" customHeight="1" x14ac:dyDescent="0.25">
      <c r="A911" s="14">
        <v>7</v>
      </c>
      <c r="B911" s="15">
        <v>45944</v>
      </c>
      <c r="C911" s="15">
        <f t="shared" ref="C911" si="853">B911+8</f>
        <v>45952</v>
      </c>
      <c r="D911" s="14">
        <v>13599</v>
      </c>
      <c r="E911" s="16" t="s">
        <v>728</v>
      </c>
      <c r="F911" s="17" t="s">
        <v>469</v>
      </c>
      <c r="G911" s="17" t="s">
        <v>47</v>
      </c>
      <c r="H911" s="18" t="s">
        <v>57</v>
      </c>
      <c r="I911" s="19" t="s">
        <v>58</v>
      </c>
      <c r="J911" s="20">
        <v>45926</v>
      </c>
      <c r="K911" s="20">
        <v>45947</v>
      </c>
      <c r="L911" s="21">
        <v>2000000</v>
      </c>
      <c r="M911" s="22">
        <f t="shared" ref="M911" si="854">SUM(N911:O911)</f>
        <v>1700000</v>
      </c>
      <c r="N911" s="23">
        <v>400000</v>
      </c>
      <c r="O911" s="23">
        <v>1300000</v>
      </c>
      <c r="P911" s="24">
        <f t="shared" ref="P911:P912" si="855">L911-N911</f>
        <v>1600000</v>
      </c>
      <c r="Q911" s="25">
        <v>400000</v>
      </c>
      <c r="R911" s="26">
        <v>96000</v>
      </c>
      <c r="S911" s="91">
        <f t="shared" si="847"/>
        <v>16.666666666666668</v>
      </c>
      <c r="T911" s="91">
        <f t="shared" si="848"/>
        <v>4.166666666666667</v>
      </c>
      <c r="U911" s="27" t="s">
        <v>193</v>
      </c>
      <c r="V911" s="30" t="s">
        <v>59</v>
      </c>
      <c r="W911" s="31">
        <v>45941</v>
      </c>
      <c r="X911" s="22"/>
      <c r="Y911" s="19" t="s">
        <v>52</v>
      </c>
      <c r="Z911" s="19" t="s">
        <v>52</v>
      </c>
      <c r="AA911" s="19" t="s">
        <v>52</v>
      </c>
      <c r="AB911" s="42"/>
    </row>
    <row r="912" spans="1:33" s="29" customFormat="1" ht="15" customHeight="1" x14ac:dyDescent="0.25">
      <c r="A912" s="14">
        <v>3</v>
      </c>
      <c r="B912" s="15">
        <v>45944</v>
      </c>
      <c r="C912" s="15">
        <f>B912+8</f>
        <v>45952</v>
      </c>
      <c r="D912" s="14">
        <v>13545</v>
      </c>
      <c r="E912" s="16" t="s">
        <v>799</v>
      </c>
      <c r="F912" s="17" t="s">
        <v>800</v>
      </c>
      <c r="G912" s="17" t="s">
        <v>102</v>
      </c>
      <c r="H912" s="18" t="s">
        <v>62</v>
      </c>
      <c r="I912" s="19" t="s">
        <v>63</v>
      </c>
      <c r="J912" s="20">
        <v>45905</v>
      </c>
      <c r="K912" s="20">
        <v>45933</v>
      </c>
      <c r="L912" s="21">
        <v>50000</v>
      </c>
      <c r="M912" s="22">
        <f t="shared" ref="M912" si="856">SUM(N912:O912)</f>
        <v>52500</v>
      </c>
      <c r="N912" s="23">
        <v>0</v>
      </c>
      <c r="O912" s="23">
        <v>52500</v>
      </c>
      <c r="P912" s="24">
        <f t="shared" si="855"/>
        <v>50000</v>
      </c>
      <c r="Q912" s="25">
        <v>52000</v>
      </c>
      <c r="R912" s="26">
        <v>18000</v>
      </c>
      <c r="S912" s="91">
        <f t="shared" si="847"/>
        <v>2.7777777777777777</v>
      </c>
      <c r="T912" s="91">
        <f t="shared" si="848"/>
        <v>2.8888888888888888</v>
      </c>
      <c r="U912" s="27" t="s">
        <v>193</v>
      </c>
      <c r="V912" s="30" t="s">
        <v>59</v>
      </c>
      <c r="W912" s="31">
        <v>45938</v>
      </c>
      <c r="X912" s="22"/>
      <c r="Y912" s="19" t="s">
        <v>52</v>
      </c>
      <c r="Z912" s="19" t="s">
        <v>52</v>
      </c>
      <c r="AA912" s="41" t="s">
        <v>82</v>
      </c>
      <c r="AB912" s="28"/>
    </row>
    <row r="913" spans="1:33" ht="15" customHeight="1" x14ac:dyDescent="0.25">
      <c r="A913" s="33" t="s">
        <v>71</v>
      </c>
      <c r="B913" s="34"/>
      <c r="C913" s="34"/>
      <c r="D913" s="34"/>
      <c r="E913" s="34"/>
      <c r="F913" s="35"/>
      <c r="G913" s="35"/>
      <c r="H913" s="34"/>
      <c r="I913" s="34"/>
      <c r="J913" s="34"/>
      <c r="K913" s="34"/>
      <c r="L913" s="36"/>
      <c r="M913" s="36"/>
      <c r="N913" s="36"/>
      <c r="O913" s="36"/>
      <c r="P913" s="36"/>
      <c r="Q913" s="36">
        <f>SUM(Q907:Q912)</f>
        <v>2470180</v>
      </c>
      <c r="R913" s="36"/>
      <c r="S913" s="92"/>
      <c r="T913" s="93">
        <f>SUM(T907:T912)</f>
        <v>27.682856734154793</v>
      </c>
      <c r="U913" s="37"/>
      <c r="V913" s="38"/>
      <c r="W913" s="38"/>
      <c r="X913" s="38"/>
      <c r="Y913" s="34"/>
      <c r="Z913" s="34"/>
      <c r="AA913" s="39"/>
      <c r="AB913" s="29" t="s">
        <v>906</v>
      </c>
      <c r="AC913" s="81" t="s">
        <v>921</v>
      </c>
      <c r="AD913" s="83">
        <v>5000</v>
      </c>
      <c r="AF913" s="83">
        <v>0</v>
      </c>
      <c r="AG913" s="83">
        <f>SUM(AD913,AF913)</f>
        <v>5000</v>
      </c>
    </row>
    <row r="914" spans="1:33" s="29" customFormat="1" ht="15" customHeight="1" x14ac:dyDescent="0.25">
      <c r="A914" s="14">
        <v>2</v>
      </c>
      <c r="B914" s="15">
        <v>45946</v>
      </c>
      <c r="C914" s="15">
        <f>B914+8</f>
        <v>45954</v>
      </c>
      <c r="D914" s="14">
        <v>13577</v>
      </c>
      <c r="E914" s="16" t="s">
        <v>626</v>
      </c>
      <c r="F914" s="17" t="s">
        <v>627</v>
      </c>
      <c r="G914" s="17" t="s">
        <v>102</v>
      </c>
      <c r="H914" s="18" t="s">
        <v>57</v>
      </c>
      <c r="I914" s="19" t="s">
        <v>94</v>
      </c>
      <c r="J914" s="20">
        <v>45910</v>
      </c>
      <c r="K914" s="20">
        <v>45945</v>
      </c>
      <c r="L914" s="21">
        <v>150000</v>
      </c>
      <c r="M914" s="22">
        <f t="shared" ref="M914:M920" si="857">SUM(N914:O914)</f>
        <v>122000</v>
      </c>
      <c r="N914" s="23">
        <v>100000</v>
      </c>
      <c r="O914" s="23">
        <v>22000</v>
      </c>
      <c r="P914" s="24">
        <f t="shared" ref="P914:P921" si="858">L914-N914</f>
        <v>50000</v>
      </c>
      <c r="Q914" s="25">
        <v>22000</v>
      </c>
      <c r="R914" s="26">
        <v>50000</v>
      </c>
      <c r="S914" s="91">
        <f t="shared" ref="S914:S923" si="859">IF(P914&gt;0,P914/$R914,0)</f>
        <v>1</v>
      </c>
      <c r="T914" s="91">
        <f t="shared" ref="T914:T923" si="860">IF(Q914&gt;0,Q914/$R914,0)</f>
        <v>0.44</v>
      </c>
      <c r="U914" s="27" t="s">
        <v>192</v>
      </c>
      <c r="V914" s="19" t="s">
        <v>51</v>
      </c>
      <c r="W914" s="20">
        <v>45925</v>
      </c>
      <c r="X914" s="22"/>
      <c r="Y914" s="19" t="s">
        <v>52</v>
      </c>
      <c r="Z914" s="19" t="s">
        <v>52</v>
      </c>
      <c r="AA914" s="19" t="s">
        <v>52</v>
      </c>
      <c r="AB914" s="28"/>
    </row>
    <row r="915" spans="1:33" s="29" customFormat="1" ht="15" customHeight="1" x14ac:dyDescent="0.25">
      <c r="A915" s="14">
        <v>5</v>
      </c>
      <c r="B915" s="15">
        <v>45946</v>
      </c>
      <c r="C915" s="15">
        <f>B915+8</f>
        <v>45954</v>
      </c>
      <c r="D915" s="14">
        <v>13601</v>
      </c>
      <c r="E915" s="16" t="s">
        <v>756</v>
      </c>
      <c r="F915" s="17" t="s">
        <v>813</v>
      </c>
      <c r="G915" s="17" t="s">
        <v>47</v>
      </c>
      <c r="H915" s="18" t="s">
        <v>57</v>
      </c>
      <c r="I915" s="19" t="s">
        <v>58</v>
      </c>
      <c r="J915" s="20">
        <v>45916</v>
      </c>
      <c r="K915" s="20">
        <v>45947</v>
      </c>
      <c r="L915" s="21">
        <v>2000000</v>
      </c>
      <c r="M915" s="22">
        <f t="shared" si="857"/>
        <v>2067000</v>
      </c>
      <c r="N915" s="23">
        <v>1650000</v>
      </c>
      <c r="O915" s="23">
        <v>417000</v>
      </c>
      <c r="P915" s="24">
        <f t="shared" si="858"/>
        <v>350000</v>
      </c>
      <c r="Q915" s="25">
        <v>417000</v>
      </c>
      <c r="R915" s="26">
        <v>50000</v>
      </c>
      <c r="S915" s="91">
        <f t="shared" si="859"/>
        <v>7</v>
      </c>
      <c r="T915" s="91">
        <f t="shared" si="860"/>
        <v>8.34</v>
      </c>
      <c r="U915" s="27" t="s">
        <v>192</v>
      </c>
      <c r="V915" s="19" t="s">
        <v>51</v>
      </c>
      <c r="W915" s="20">
        <v>45926</v>
      </c>
      <c r="X915" s="22"/>
      <c r="Y915" s="19" t="s">
        <v>52</v>
      </c>
      <c r="Z915" s="19" t="s">
        <v>52</v>
      </c>
      <c r="AA915" s="19" t="s">
        <v>52</v>
      </c>
      <c r="AB915" s="42"/>
    </row>
    <row r="916" spans="1:33" s="29" customFormat="1" ht="15" customHeight="1" x14ac:dyDescent="0.25">
      <c r="A916" s="14">
        <v>35</v>
      </c>
      <c r="B916" s="15">
        <v>45946</v>
      </c>
      <c r="C916" s="15">
        <f>B916+8</f>
        <v>45954</v>
      </c>
      <c r="D916" s="14">
        <v>13673</v>
      </c>
      <c r="E916" s="16" t="s">
        <v>109</v>
      </c>
      <c r="F916" s="17" t="s">
        <v>110</v>
      </c>
      <c r="G916" s="17" t="s">
        <v>102</v>
      </c>
      <c r="H916" s="18" t="s">
        <v>57</v>
      </c>
      <c r="I916" s="19" t="s">
        <v>94</v>
      </c>
      <c r="J916" s="20">
        <v>45925</v>
      </c>
      <c r="K916" s="20">
        <v>45980</v>
      </c>
      <c r="L916" s="21">
        <v>500000</v>
      </c>
      <c r="M916" s="22">
        <f t="shared" si="857"/>
        <v>350000</v>
      </c>
      <c r="N916" s="23">
        <v>0</v>
      </c>
      <c r="O916" s="23">
        <v>350000</v>
      </c>
      <c r="P916" s="24">
        <f t="shared" si="858"/>
        <v>500000</v>
      </c>
      <c r="Q916" s="25">
        <v>350000</v>
      </c>
      <c r="R916" s="26">
        <v>50000</v>
      </c>
      <c r="S916" s="91">
        <f t="shared" si="859"/>
        <v>10</v>
      </c>
      <c r="T916" s="91">
        <f t="shared" si="860"/>
        <v>7</v>
      </c>
      <c r="U916" s="27" t="s">
        <v>192</v>
      </c>
      <c r="V916" s="30" t="s">
        <v>59</v>
      </c>
      <c r="W916" s="31">
        <v>45947</v>
      </c>
      <c r="X916" s="22"/>
      <c r="Y916" s="19" t="s">
        <v>52</v>
      </c>
      <c r="Z916" s="19" t="s">
        <v>52</v>
      </c>
      <c r="AA916" s="19" t="s">
        <v>52</v>
      </c>
      <c r="AB916" s="28"/>
    </row>
    <row r="917" spans="1:33" s="29" customFormat="1" ht="15" customHeight="1" x14ac:dyDescent="0.25">
      <c r="A917" s="14">
        <v>6</v>
      </c>
      <c r="B917" s="15">
        <v>45946</v>
      </c>
      <c r="C917" s="15">
        <f>B917+8</f>
        <v>45954</v>
      </c>
      <c r="D917" s="14">
        <v>13599</v>
      </c>
      <c r="E917" s="16" t="s">
        <v>728</v>
      </c>
      <c r="F917" s="17" t="s">
        <v>469</v>
      </c>
      <c r="G917" s="17" t="s">
        <v>47</v>
      </c>
      <c r="H917" s="18" t="s">
        <v>57</v>
      </c>
      <c r="I917" s="19" t="s">
        <v>58</v>
      </c>
      <c r="J917" s="20">
        <v>45926</v>
      </c>
      <c r="K917" s="20">
        <v>45947</v>
      </c>
      <c r="L917" s="21">
        <v>2000000</v>
      </c>
      <c r="M917" s="22">
        <f t="shared" si="857"/>
        <v>2200000</v>
      </c>
      <c r="N917" s="23">
        <v>1700000</v>
      </c>
      <c r="O917" s="23">
        <v>500000</v>
      </c>
      <c r="P917" s="24">
        <f t="shared" si="858"/>
        <v>300000</v>
      </c>
      <c r="Q917" s="25">
        <v>200000</v>
      </c>
      <c r="R917" s="26">
        <v>96000</v>
      </c>
      <c r="S917" s="91">
        <f t="shared" si="859"/>
        <v>3.125</v>
      </c>
      <c r="T917" s="91">
        <f t="shared" si="860"/>
        <v>2.0833333333333335</v>
      </c>
      <c r="U917" s="27" t="s">
        <v>192</v>
      </c>
      <c r="V917" s="19" t="s">
        <v>51</v>
      </c>
      <c r="W917" s="20">
        <v>45936</v>
      </c>
      <c r="X917" s="22"/>
      <c r="Y917" s="19" t="s">
        <v>52</v>
      </c>
      <c r="Z917" s="19" t="s">
        <v>52</v>
      </c>
      <c r="AA917" s="19" t="s">
        <v>52</v>
      </c>
      <c r="AB917" s="42"/>
    </row>
    <row r="918" spans="1:33" s="29" customFormat="1" ht="15" customHeight="1" x14ac:dyDescent="0.25">
      <c r="A918" s="14">
        <v>1</v>
      </c>
      <c r="B918" s="15">
        <v>45946</v>
      </c>
      <c r="C918" s="15">
        <f>B918+8</f>
        <v>45954</v>
      </c>
      <c r="D918" s="14">
        <v>12719</v>
      </c>
      <c r="E918" s="16" t="s">
        <v>548</v>
      </c>
      <c r="F918" s="17" t="s">
        <v>549</v>
      </c>
      <c r="G918" s="17" t="s">
        <v>132</v>
      </c>
      <c r="H918" s="18" t="s">
        <v>78</v>
      </c>
      <c r="I918" s="19" t="s">
        <v>79</v>
      </c>
      <c r="J918" s="20">
        <v>45737</v>
      </c>
      <c r="K918" s="20">
        <v>45778</v>
      </c>
      <c r="L918" s="21">
        <v>270000</v>
      </c>
      <c r="M918" s="22">
        <f t="shared" si="857"/>
        <v>360000</v>
      </c>
      <c r="N918" s="23">
        <v>180000</v>
      </c>
      <c r="O918" s="23">
        <v>180000</v>
      </c>
      <c r="P918" s="24">
        <f t="shared" si="858"/>
        <v>90000</v>
      </c>
      <c r="Q918" s="25">
        <v>180000</v>
      </c>
      <c r="R918" s="26">
        <v>270000</v>
      </c>
      <c r="S918" s="91">
        <f t="shared" si="859"/>
        <v>0.33333333333333331</v>
      </c>
      <c r="T918" s="91">
        <f t="shared" si="860"/>
        <v>0.66666666666666663</v>
      </c>
      <c r="U918" s="27" t="s">
        <v>56</v>
      </c>
      <c r="V918" s="19" t="s">
        <v>51</v>
      </c>
      <c r="W918" s="20">
        <v>45809</v>
      </c>
      <c r="X918" s="22"/>
      <c r="Y918" s="19" t="s">
        <v>52</v>
      </c>
      <c r="Z918" s="19" t="s">
        <v>52</v>
      </c>
      <c r="AA918" s="19" t="s">
        <v>52</v>
      </c>
      <c r="AB918" s="28"/>
    </row>
    <row r="919" spans="1:33" s="29" customFormat="1" ht="15" customHeight="1" x14ac:dyDescent="0.25">
      <c r="A919" s="14">
        <v>4</v>
      </c>
      <c r="B919" s="15">
        <v>45946</v>
      </c>
      <c r="C919" s="15">
        <f t="shared" ref="C919" si="861">B919+8</f>
        <v>45954</v>
      </c>
      <c r="D919" s="14">
        <v>13406</v>
      </c>
      <c r="E919" s="16" t="s">
        <v>324</v>
      </c>
      <c r="F919" s="17" t="s">
        <v>325</v>
      </c>
      <c r="G919" s="17" t="s">
        <v>132</v>
      </c>
      <c r="H919" s="18" t="s">
        <v>162</v>
      </c>
      <c r="I919" s="19" t="s">
        <v>198</v>
      </c>
      <c r="J919" s="20">
        <v>45884</v>
      </c>
      <c r="K919" s="20" t="s">
        <v>65</v>
      </c>
      <c r="L919" s="21">
        <v>200000</v>
      </c>
      <c r="M919" s="22">
        <f t="shared" si="857"/>
        <v>207000</v>
      </c>
      <c r="N919" s="23">
        <v>0</v>
      </c>
      <c r="O919" s="23">
        <v>207000</v>
      </c>
      <c r="P919" s="24">
        <f t="shared" si="858"/>
        <v>200000</v>
      </c>
      <c r="Q919" s="25">
        <v>206990</v>
      </c>
      <c r="R919" s="26">
        <v>216000</v>
      </c>
      <c r="S919" s="91">
        <f t="shared" si="859"/>
        <v>0.92592592592592593</v>
      </c>
      <c r="T919" s="91">
        <f t="shared" si="860"/>
        <v>0.95828703703703699</v>
      </c>
      <c r="U919" s="27" t="s">
        <v>56</v>
      </c>
      <c r="V919" s="19" t="s">
        <v>51</v>
      </c>
      <c r="W919" s="20">
        <v>45938</v>
      </c>
      <c r="X919" s="22"/>
      <c r="Y919" s="19" t="s">
        <v>52</v>
      </c>
      <c r="Z919" s="19" t="s">
        <v>52</v>
      </c>
      <c r="AA919" s="19" t="s">
        <v>52</v>
      </c>
      <c r="AB919" s="28"/>
    </row>
    <row r="920" spans="1:33" s="29" customFormat="1" ht="15" customHeight="1" x14ac:dyDescent="0.25">
      <c r="A920" s="14">
        <v>2</v>
      </c>
      <c r="B920" s="15">
        <v>45946</v>
      </c>
      <c r="C920" s="15">
        <f>B920+8</f>
        <v>45954</v>
      </c>
      <c r="D920" s="14">
        <v>13546</v>
      </c>
      <c r="E920" s="16" t="s">
        <v>472</v>
      </c>
      <c r="F920" s="40" t="s">
        <v>473</v>
      </c>
      <c r="G920" s="17" t="s">
        <v>75</v>
      </c>
      <c r="H920" s="18" t="s">
        <v>78</v>
      </c>
      <c r="I920" s="19" t="s">
        <v>79</v>
      </c>
      <c r="J920" s="20">
        <v>45905</v>
      </c>
      <c r="K920" s="20">
        <v>45940</v>
      </c>
      <c r="L920" s="21">
        <v>40000</v>
      </c>
      <c r="M920" s="22">
        <f t="shared" si="857"/>
        <v>48000</v>
      </c>
      <c r="N920" s="23">
        <v>0</v>
      </c>
      <c r="O920" s="23">
        <v>48000</v>
      </c>
      <c r="P920" s="24">
        <f t="shared" si="858"/>
        <v>40000</v>
      </c>
      <c r="Q920" s="25">
        <v>48000</v>
      </c>
      <c r="R920" s="26">
        <v>84000</v>
      </c>
      <c r="S920" s="91">
        <f t="shared" si="859"/>
        <v>0.47619047619047616</v>
      </c>
      <c r="T920" s="91">
        <f t="shared" si="860"/>
        <v>0.5714285714285714</v>
      </c>
      <c r="U920" s="27" t="s">
        <v>56</v>
      </c>
      <c r="V920" s="19" t="s">
        <v>51</v>
      </c>
      <c r="W920" s="20">
        <v>45926</v>
      </c>
      <c r="X920" s="22"/>
      <c r="Y920" s="19" t="s">
        <v>52</v>
      </c>
      <c r="Z920" s="19" t="s">
        <v>52</v>
      </c>
      <c r="AA920" s="19" t="s">
        <v>52</v>
      </c>
      <c r="AB920" s="28"/>
    </row>
    <row r="921" spans="1:33" s="29" customFormat="1" ht="15" customHeight="1" x14ac:dyDescent="0.25">
      <c r="A921" s="14">
        <v>3</v>
      </c>
      <c r="B921" s="15">
        <v>45946</v>
      </c>
      <c r="C921" s="15">
        <f>B921+8</f>
        <v>45954</v>
      </c>
      <c r="D921" s="14">
        <v>13526</v>
      </c>
      <c r="E921" s="16" t="s">
        <v>552</v>
      </c>
      <c r="F921" s="40" t="s">
        <v>553</v>
      </c>
      <c r="G921" s="17" t="s">
        <v>75</v>
      </c>
      <c r="H921" s="18" t="s">
        <v>78</v>
      </c>
      <c r="I921" s="19" t="s">
        <v>79</v>
      </c>
      <c r="J921" s="20">
        <v>45903</v>
      </c>
      <c r="K921" s="20">
        <v>45945</v>
      </c>
      <c r="L921" s="21">
        <v>160000</v>
      </c>
      <c r="M921" s="22">
        <f t="shared" ref="M921:M923" si="862">SUM(N921:O921)</f>
        <v>198000</v>
      </c>
      <c r="N921" s="23">
        <v>96000</v>
      </c>
      <c r="O921" s="23">
        <v>102000</v>
      </c>
      <c r="P921" s="24">
        <f t="shared" si="858"/>
        <v>64000</v>
      </c>
      <c r="Q921" s="25">
        <v>102000</v>
      </c>
      <c r="R921" s="26">
        <v>96000</v>
      </c>
      <c r="S921" s="91">
        <f t="shared" si="859"/>
        <v>0.66666666666666663</v>
      </c>
      <c r="T921" s="91">
        <f t="shared" si="860"/>
        <v>1.0625</v>
      </c>
      <c r="U921" s="27" t="s">
        <v>56</v>
      </c>
      <c r="V921" s="19" t="s">
        <v>51</v>
      </c>
      <c r="W921" s="20">
        <v>45926</v>
      </c>
      <c r="X921" s="22"/>
      <c r="Y921" s="19" t="s">
        <v>52</v>
      </c>
      <c r="Z921" s="19" t="s">
        <v>52</v>
      </c>
      <c r="AA921" s="19" t="s">
        <v>52</v>
      </c>
      <c r="AB921" s="28"/>
    </row>
    <row r="922" spans="1:33" s="29" customFormat="1" ht="15" customHeight="1" x14ac:dyDescent="0.25">
      <c r="A922" s="14">
        <v>2</v>
      </c>
      <c r="B922" s="15">
        <v>45946</v>
      </c>
      <c r="C922" s="15">
        <f t="shared" ref="C922" si="863">B922+8</f>
        <v>45954</v>
      </c>
      <c r="D922" s="14">
        <v>13606</v>
      </c>
      <c r="E922" s="16" t="s">
        <v>394</v>
      </c>
      <c r="F922" s="17" t="s">
        <v>638</v>
      </c>
      <c r="G922" s="17" t="s">
        <v>47</v>
      </c>
      <c r="H922" s="18" t="s">
        <v>639</v>
      </c>
      <c r="I922" s="19" t="s">
        <v>395</v>
      </c>
      <c r="J922" s="20">
        <v>45915</v>
      </c>
      <c r="K922" s="20">
        <v>45938</v>
      </c>
      <c r="L922" s="21">
        <v>100000</v>
      </c>
      <c r="M922" s="22">
        <f t="shared" si="862"/>
        <v>111000</v>
      </c>
      <c r="N922" s="23">
        <v>61000</v>
      </c>
      <c r="O922" s="23">
        <v>50000</v>
      </c>
      <c r="P922" s="24">
        <f t="shared" ref="P922" si="864">L922-N922</f>
        <v>39000</v>
      </c>
      <c r="Q922" s="25">
        <v>50000</v>
      </c>
      <c r="R922" s="26">
        <v>50000</v>
      </c>
      <c r="S922" s="91">
        <f t="shared" si="859"/>
        <v>0.78</v>
      </c>
      <c r="T922" s="91">
        <f t="shared" si="860"/>
        <v>1</v>
      </c>
      <c r="U922" s="27" t="s">
        <v>193</v>
      </c>
      <c r="V922" s="19" t="s">
        <v>51</v>
      </c>
      <c r="W922" s="20">
        <v>45929</v>
      </c>
      <c r="X922" s="22"/>
      <c r="Y922" s="19" t="s">
        <v>52</v>
      </c>
      <c r="Z922" s="19" t="s">
        <v>52</v>
      </c>
      <c r="AA922" s="19" t="s">
        <v>52</v>
      </c>
      <c r="AB922" s="42"/>
    </row>
    <row r="923" spans="1:33" s="29" customFormat="1" ht="15" customHeight="1" x14ac:dyDescent="0.25">
      <c r="A923" s="14">
        <v>6</v>
      </c>
      <c r="B923" s="15">
        <v>45946</v>
      </c>
      <c r="C923" s="15">
        <f t="shared" ref="C923" si="865">B923+8</f>
        <v>45954</v>
      </c>
      <c r="D923" s="14">
        <v>13599</v>
      </c>
      <c r="E923" s="16" t="s">
        <v>728</v>
      </c>
      <c r="F923" s="17" t="s">
        <v>469</v>
      </c>
      <c r="G923" s="17" t="s">
        <v>47</v>
      </c>
      <c r="H923" s="18" t="s">
        <v>57</v>
      </c>
      <c r="I923" s="19" t="s">
        <v>58</v>
      </c>
      <c r="J923" s="20">
        <v>45926</v>
      </c>
      <c r="K923" s="20">
        <v>45947</v>
      </c>
      <c r="L923" s="21">
        <v>2000000</v>
      </c>
      <c r="M923" s="22">
        <f t="shared" si="862"/>
        <v>2200000</v>
      </c>
      <c r="N923" s="23">
        <v>1700000</v>
      </c>
      <c r="O923" s="23">
        <v>500000</v>
      </c>
      <c r="P923" s="24">
        <f t="shared" ref="P923" si="866">L923-N923</f>
        <v>300000</v>
      </c>
      <c r="Q923" s="25">
        <v>186000</v>
      </c>
      <c r="R923" s="26">
        <v>96000</v>
      </c>
      <c r="S923" s="91">
        <f t="shared" si="859"/>
        <v>3.125</v>
      </c>
      <c r="T923" s="91">
        <f t="shared" si="860"/>
        <v>1.9375</v>
      </c>
      <c r="U923" s="27" t="s">
        <v>193</v>
      </c>
      <c r="V923" s="19" t="s">
        <v>51</v>
      </c>
      <c r="W923" s="20">
        <v>45936</v>
      </c>
      <c r="X923" s="22"/>
      <c r="Y923" s="19" t="s">
        <v>52</v>
      </c>
      <c r="Z923" s="19" t="s">
        <v>52</v>
      </c>
      <c r="AA923" s="19" t="s">
        <v>52</v>
      </c>
      <c r="AB923" s="42"/>
    </row>
    <row r="924" spans="1:33" ht="15" customHeight="1" x14ac:dyDescent="0.25">
      <c r="A924" s="33" t="s">
        <v>71</v>
      </c>
      <c r="B924" s="34"/>
      <c r="C924" s="34"/>
      <c r="D924" s="34"/>
      <c r="E924" s="34"/>
      <c r="F924" s="35"/>
      <c r="G924" s="35"/>
      <c r="H924" s="34"/>
      <c r="I924" s="34"/>
      <c r="J924" s="34"/>
      <c r="K924" s="34"/>
      <c r="L924" s="36"/>
      <c r="M924" s="36"/>
      <c r="N924" s="36"/>
      <c r="O924" s="36"/>
      <c r="P924" s="36"/>
      <c r="Q924" s="36">
        <f>SUM(Q914:Q923)</f>
        <v>1761990</v>
      </c>
      <c r="R924" s="36"/>
      <c r="S924" s="92"/>
      <c r="T924" s="93">
        <f>SUM(T914:T923)</f>
        <v>24.059715608465613</v>
      </c>
      <c r="U924" s="37"/>
      <c r="V924" s="38"/>
      <c r="W924" s="38"/>
      <c r="X924" s="38"/>
      <c r="Y924" s="34"/>
      <c r="Z924" s="34"/>
      <c r="AA924" s="39"/>
      <c r="AB924" s="29" t="s">
        <v>920</v>
      </c>
      <c r="AC924" s="81" t="s">
        <v>929</v>
      </c>
      <c r="AD924" s="83">
        <v>5000</v>
      </c>
      <c r="AF924" s="83">
        <v>0</v>
      </c>
      <c r="AG924" s="83">
        <f>SUM(AD924,AF924)</f>
        <v>5000</v>
      </c>
    </row>
    <row r="925" spans="1:33" s="29" customFormat="1" ht="15" customHeight="1" x14ac:dyDescent="0.25">
      <c r="A925" s="14">
        <v>3</v>
      </c>
      <c r="B925" s="15">
        <v>45948</v>
      </c>
      <c r="C925" s="15">
        <f>B925+8</f>
        <v>45956</v>
      </c>
      <c r="D925" s="14">
        <v>13333</v>
      </c>
      <c r="E925" s="16" t="s">
        <v>740</v>
      </c>
      <c r="F925" s="17" t="s">
        <v>317</v>
      </c>
      <c r="G925" s="17" t="s">
        <v>132</v>
      </c>
      <c r="H925" s="18" t="s">
        <v>133</v>
      </c>
      <c r="I925" s="19" t="s">
        <v>198</v>
      </c>
      <c r="J925" s="20">
        <v>45866</v>
      </c>
      <c r="K925" s="20">
        <v>45884</v>
      </c>
      <c r="L925" s="21">
        <v>2000000</v>
      </c>
      <c r="M925" s="22">
        <f>SUM(N925:O925)</f>
        <v>1984000</v>
      </c>
      <c r="N925" s="23">
        <v>1832000</v>
      </c>
      <c r="O925" s="23">
        <v>152000</v>
      </c>
      <c r="P925" s="24">
        <f>L925-N925</f>
        <v>168000</v>
      </c>
      <c r="Q925" s="25">
        <v>152000</v>
      </c>
      <c r="R925" s="26">
        <v>128000</v>
      </c>
      <c r="S925" s="91">
        <f t="shared" ref="S925:S927" si="867">IF(P925&gt;0,P925/$R925,0)</f>
        <v>1.3125</v>
      </c>
      <c r="T925" s="91">
        <f t="shared" ref="T925:T927" si="868">IF(Q925&gt;0,Q925/$R925,0)</f>
        <v>1.1875</v>
      </c>
      <c r="U925" s="27" t="s">
        <v>56</v>
      </c>
      <c r="V925" s="19" t="s">
        <v>51</v>
      </c>
      <c r="W925" s="20">
        <v>45903</v>
      </c>
      <c r="X925" s="22"/>
      <c r="Y925" s="19" t="s">
        <v>52</v>
      </c>
      <c r="Z925" s="19" t="s">
        <v>52</v>
      </c>
      <c r="AA925" s="19" t="s">
        <v>52</v>
      </c>
      <c r="AB925" s="28"/>
    </row>
    <row r="926" spans="1:33" s="29" customFormat="1" ht="15" customHeight="1" x14ac:dyDescent="0.25">
      <c r="A926" s="14">
        <v>5</v>
      </c>
      <c r="B926" s="15">
        <v>45948</v>
      </c>
      <c r="C926" s="15">
        <f t="shared" ref="C926:C935" si="869">B926+8</f>
        <v>45956</v>
      </c>
      <c r="D926" s="14">
        <v>13466</v>
      </c>
      <c r="E926" s="16" t="s">
        <v>355</v>
      </c>
      <c r="F926" s="17" t="s">
        <v>356</v>
      </c>
      <c r="G926" s="17" t="s">
        <v>132</v>
      </c>
      <c r="H926" s="18" t="s">
        <v>78</v>
      </c>
      <c r="I926" s="19" t="s">
        <v>79</v>
      </c>
      <c r="J926" s="20">
        <v>45891</v>
      </c>
      <c r="K926" s="20">
        <v>45925</v>
      </c>
      <c r="L926" s="21">
        <v>200000</v>
      </c>
      <c r="M926" s="22">
        <f t="shared" ref="M926" si="870">SUM(N926:O926)</f>
        <v>200000</v>
      </c>
      <c r="N926" s="23">
        <v>0</v>
      </c>
      <c r="O926" s="23">
        <v>200000</v>
      </c>
      <c r="P926" s="24">
        <f t="shared" ref="P926:P935" si="871">L926-N926</f>
        <v>200000</v>
      </c>
      <c r="Q926" s="25">
        <v>223830</v>
      </c>
      <c r="R926" s="26">
        <v>232443</v>
      </c>
      <c r="S926" s="91">
        <f t="shared" si="867"/>
        <v>0.86042599691107069</v>
      </c>
      <c r="T926" s="91">
        <f t="shared" si="868"/>
        <v>0.96294575444302477</v>
      </c>
      <c r="U926" s="27" t="s">
        <v>56</v>
      </c>
      <c r="V926" s="30" t="s">
        <v>59</v>
      </c>
      <c r="W926" s="31">
        <v>45945</v>
      </c>
      <c r="X926" s="22"/>
      <c r="Y926" s="19" t="s">
        <v>52</v>
      </c>
      <c r="Z926" s="19" t="s">
        <v>52</v>
      </c>
      <c r="AA926" s="19" t="s">
        <v>52</v>
      </c>
      <c r="AB926" s="28"/>
    </row>
    <row r="927" spans="1:33" s="29" customFormat="1" ht="15" customHeight="1" x14ac:dyDescent="0.25">
      <c r="A927" s="14">
        <v>10</v>
      </c>
      <c r="B927" s="15">
        <v>45948</v>
      </c>
      <c r="C927" s="15">
        <f>B927+8</f>
        <v>45956</v>
      </c>
      <c r="D927" s="14">
        <v>13434</v>
      </c>
      <c r="E927" s="16" t="s">
        <v>358</v>
      </c>
      <c r="F927" s="17" t="s">
        <v>359</v>
      </c>
      <c r="G927" s="17" t="s">
        <v>132</v>
      </c>
      <c r="H927" s="18" t="s">
        <v>162</v>
      </c>
      <c r="I927" s="19" t="s">
        <v>198</v>
      </c>
      <c r="J927" s="20">
        <v>45891</v>
      </c>
      <c r="K927" s="20">
        <v>45953</v>
      </c>
      <c r="L927" s="21">
        <v>350000</v>
      </c>
      <c r="M927" s="22">
        <f>SUM(N927:O927)</f>
        <v>350000</v>
      </c>
      <c r="N927" s="23">
        <v>0</v>
      </c>
      <c r="O927" s="23">
        <v>350000</v>
      </c>
      <c r="P927" s="24">
        <f>L927-N927</f>
        <v>350000</v>
      </c>
      <c r="Q927" s="25">
        <v>108000</v>
      </c>
      <c r="R927" s="26">
        <v>324000</v>
      </c>
      <c r="S927" s="91">
        <f t="shared" si="867"/>
        <v>1.0802469135802468</v>
      </c>
      <c r="T927" s="91">
        <f t="shared" si="868"/>
        <v>0.33333333333333331</v>
      </c>
      <c r="U927" s="27" t="s">
        <v>56</v>
      </c>
      <c r="V927" s="30" t="s">
        <v>59</v>
      </c>
      <c r="W927" s="31">
        <v>45948</v>
      </c>
      <c r="X927" s="22"/>
      <c r="Y927" s="19" t="s">
        <v>52</v>
      </c>
      <c r="Z927" s="19" t="s">
        <v>52</v>
      </c>
      <c r="AA927" s="19" t="s">
        <v>52</v>
      </c>
      <c r="AB927" s="28"/>
    </row>
    <row r="928" spans="1:33" s="29" customFormat="1" ht="15" customHeight="1" x14ac:dyDescent="0.25">
      <c r="A928" s="14">
        <v>7</v>
      </c>
      <c r="B928" s="15">
        <v>45948</v>
      </c>
      <c r="C928" s="15">
        <f>B928+8</f>
        <v>45956</v>
      </c>
      <c r="D928" s="14">
        <v>13489</v>
      </c>
      <c r="E928" s="16" t="s">
        <v>134</v>
      </c>
      <c r="F928" s="17" t="s">
        <v>318</v>
      </c>
      <c r="G928" s="17" t="s">
        <v>132</v>
      </c>
      <c r="H928" s="18" t="s">
        <v>54</v>
      </c>
      <c r="I928" s="19" t="s">
        <v>135</v>
      </c>
      <c r="J928" s="20">
        <v>45896</v>
      </c>
      <c r="K928" s="20">
        <v>45943</v>
      </c>
      <c r="L928" s="21">
        <v>120000</v>
      </c>
      <c r="M928" s="22">
        <f>SUM(N928:O928)</f>
        <v>120000</v>
      </c>
      <c r="N928" s="23">
        <v>0</v>
      </c>
      <c r="O928" s="23">
        <v>120000</v>
      </c>
      <c r="P928" s="24">
        <f>L928-N928</f>
        <v>120000</v>
      </c>
      <c r="Q928" s="25">
        <v>110160</v>
      </c>
      <c r="R928" s="26">
        <v>69948</v>
      </c>
      <c r="S928" s="91">
        <f t="shared" ref="S928:S935" si="872">IF(P928&gt;0,P928/$R928,0)</f>
        <v>1.7155601303825698</v>
      </c>
      <c r="T928" s="91">
        <f t="shared" ref="T928:T935" si="873">IF(Q928&gt;0,Q928/$R928,0)</f>
        <v>1.5748841996911991</v>
      </c>
      <c r="U928" s="27" t="s">
        <v>56</v>
      </c>
      <c r="V928" s="30" t="s">
        <v>59</v>
      </c>
      <c r="W928" s="31">
        <v>45945</v>
      </c>
      <c r="X928" s="22"/>
      <c r="Y928" s="19" t="s">
        <v>52</v>
      </c>
      <c r="Z928" s="19" t="s">
        <v>52</v>
      </c>
      <c r="AA928" s="19" t="s">
        <v>52</v>
      </c>
      <c r="AB928" s="28"/>
    </row>
    <row r="929" spans="1:33" s="29" customFormat="1" ht="15" customHeight="1" x14ac:dyDescent="0.25">
      <c r="A929" s="14">
        <v>8</v>
      </c>
      <c r="B929" s="15">
        <v>45948</v>
      </c>
      <c r="C929" s="15">
        <f t="shared" si="869"/>
        <v>45956</v>
      </c>
      <c r="D929" s="14">
        <v>13487</v>
      </c>
      <c r="E929" s="16" t="s">
        <v>327</v>
      </c>
      <c r="F929" s="17" t="s">
        <v>328</v>
      </c>
      <c r="G929" s="17" t="s">
        <v>132</v>
      </c>
      <c r="H929" s="18" t="s">
        <v>54</v>
      </c>
      <c r="I929" s="19" t="s">
        <v>135</v>
      </c>
      <c r="J929" s="20">
        <v>45896</v>
      </c>
      <c r="K929" s="20">
        <v>45943</v>
      </c>
      <c r="L929" s="21">
        <v>25000</v>
      </c>
      <c r="M929" s="22">
        <f t="shared" ref="M929:M935" si="874">SUM(N929:O929)</f>
        <v>25000</v>
      </c>
      <c r="N929" s="23">
        <v>0</v>
      </c>
      <c r="O929" s="23">
        <v>25000</v>
      </c>
      <c r="P929" s="24">
        <f t="shared" si="871"/>
        <v>25000</v>
      </c>
      <c r="Q929" s="25">
        <v>30050</v>
      </c>
      <c r="R929" s="26">
        <v>75078</v>
      </c>
      <c r="S929" s="91">
        <f t="shared" si="872"/>
        <v>0.33298702682543491</v>
      </c>
      <c r="T929" s="91">
        <f t="shared" si="873"/>
        <v>0.40025040624417274</v>
      </c>
      <c r="U929" s="27" t="s">
        <v>56</v>
      </c>
      <c r="V929" s="30" t="s">
        <v>59</v>
      </c>
      <c r="W929" s="31">
        <v>45945</v>
      </c>
      <c r="X929" s="22"/>
      <c r="Y929" s="19" t="s">
        <v>52</v>
      </c>
      <c r="Z929" s="19" t="s">
        <v>52</v>
      </c>
      <c r="AA929" s="19" t="s">
        <v>52</v>
      </c>
      <c r="AB929" s="28"/>
    </row>
    <row r="930" spans="1:33" s="29" customFormat="1" ht="15" customHeight="1" x14ac:dyDescent="0.25">
      <c r="A930" s="14">
        <v>9</v>
      </c>
      <c r="B930" s="15">
        <v>45948</v>
      </c>
      <c r="C930" s="15">
        <f t="shared" si="869"/>
        <v>45956</v>
      </c>
      <c r="D930" s="14">
        <v>13512</v>
      </c>
      <c r="E930" s="16" t="s">
        <v>145</v>
      </c>
      <c r="F930" s="17" t="s">
        <v>146</v>
      </c>
      <c r="G930" s="17" t="s">
        <v>132</v>
      </c>
      <c r="H930" s="18" t="s">
        <v>54</v>
      </c>
      <c r="I930" s="19" t="s">
        <v>135</v>
      </c>
      <c r="J930" s="20">
        <v>45898</v>
      </c>
      <c r="K930" s="20">
        <v>45943</v>
      </c>
      <c r="L930" s="21">
        <v>100000</v>
      </c>
      <c r="M930" s="22">
        <f t="shared" si="874"/>
        <v>100000</v>
      </c>
      <c r="N930" s="23">
        <v>0</v>
      </c>
      <c r="O930" s="23">
        <v>100000</v>
      </c>
      <c r="P930" s="24">
        <f t="shared" si="871"/>
        <v>100000</v>
      </c>
      <c r="Q930" s="25">
        <v>52898</v>
      </c>
      <c r="R930" s="26">
        <v>50868</v>
      </c>
      <c r="S930" s="91">
        <f t="shared" si="872"/>
        <v>1.9658724541951718</v>
      </c>
      <c r="T930" s="91">
        <f t="shared" si="873"/>
        <v>1.0399072108201619</v>
      </c>
      <c r="U930" s="27" t="s">
        <v>56</v>
      </c>
      <c r="V930" s="30" t="s">
        <v>59</v>
      </c>
      <c r="W930" s="31">
        <v>45945</v>
      </c>
      <c r="X930" s="22"/>
      <c r="Y930" s="19" t="s">
        <v>52</v>
      </c>
      <c r="Z930" s="19" t="s">
        <v>52</v>
      </c>
      <c r="AA930" s="19" t="s">
        <v>52</v>
      </c>
      <c r="AB930" s="28"/>
    </row>
    <row r="931" spans="1:33" s="29" customFormat="1" ht="15" customHeight="1" x14ac:dyDescent="0.25">
      <c r="A931" s="14">
        <v>12</v>
      </c>
      <c r="B931" s="15">
        <v>45948</v>
      </c>
      <c r="C931" s="15">
        <f t="shared" si="869"/>
        <v>45956</v>
      </c>
      <c r="D931" s="14">
        <v>13587</v>
      </c>
      <c r="E931" s="16" t="s">
        <v>220</v>
      </c>
      <c r="F931" s="17" t="s">
        <v>809</v>
      </c>
      <c r="G931" s="17" t="s">
        <v>132</v>
      </c>
      <c r="H931" s="18" t="s">
        <v>775</v>
      </c>
      <c r="I931" s="19" t="s">
        <v>135</v>
      </c>
      <c r="J931" s="20">
        <v>45911</v>
      </c>
      <c r="K931" s="20">
        <v>45959</v>
      </c>
      <c r="L931" s="21">
        <v>205000</v>
      </c>
      <c r="M931" s="22">
        <f t="shared" si="874"/>
        <v>247000</v>
      </c>
      <c r="N931" s="23">
        <v>0</v>
      </c>
      <c r="O931" s="23">
        <v>247000</v>
      </c>
      <c r="P931" s="24">
        <f t="shared" si="871"/>
        <v>205000</v>
      </c>
      <c r="Q931" s="25">
        <v>247000</v>
      </c>
      <c r="R931" s="26">
        <v>117000</v>
      </c>
      <c r="S931" s="91">
        <f t="shared" si="872"/>
        <v>1.7521367521367521</v>
      </c>
      <c r="T931" s="91">
        <f t="shared" si="873"/>
        <v>2.1111111111111112</v>
      </c>
      <c r="U931" s="27" t="s">
        <v>56</v>
      </c>
      <c r="V931" s="30" t="s">
        <v>59</v>
      </c>
      <c r="W931" s="31">
        <v>45948</v>
      </c>
      <c r="X931" s="22"/>
      <c r="Y931" s="19" t="s">
        <v>52</v>
      </c>
      <c r="Z931" s="19" t="s">
        <v>52</v>
      </c>
      <c r="AA931" s="19" t="s">
        <v>52</v>
      </c>
      <c r="AB931" s="28"/>
    </row>
    <row r="932" spans="1:33" s="29" customFormat="1" ht="15" customHeight="1" x14ac:dyDescent="0.25">
      <c r="A932" s="14">
        <v>13</v>
      </c>
      <c r="B932" s="15">
        <v>45948</v>
      </c>
      <c r="C932" s="15">
        <f t="shared" si="869"/>
        <v>45956</v>
      </c>
      <c r="D932" s="14">
        <v>13589</v>
      </c>
      <c r="E932" s="16" t="s">
        <v>810</v>
      </c>
      <c r="F932" s="17" t="s">
        <v>811</v>
      </c>
      <c r="G932" s="17" t="s">
        <v>132</v>
      </c>
      <c r="H932" s="18" t="s">
        <v>775</v>
      </c>
      <c r="I932" s="19" t="s">
        <v>135</v>
      </c>
      <c r="J932" s="20">
        <v>45911</v>
      </c>
      <c r="K932" s="20">
        <v>45959</v>
      </c>
      <c r="L932" s="21">
        <v>30000</v>
      </c>
      <c r="M932" s="22">
        <f t="shared" si="874"/>
        <v>30000</v>
      </c>
      <c r="N932" s="23">
        <v>0</v>
      </c>
      <c r="O932" s="23">
        <v>30000</v>
      </c>
      <c r="P932" s="24">
        <f t="shared" si="871"/>
        <v>30000</v>
      </c>
      <c r="Q932" s="25">
        <v>9550</v>
      </c>
      <c r="R932" s="26">
        <v>57330</v>
      </c>
      <c r="S932" s="91">
        <f t="shared" si="872"/>
        <v>0.52328623757195181</v>
      </c>
      <c r="T932" s="91">
        <f t="shared" si="873"/>
        <v>0.166579452293738</v>
      </c>
      <c r="U932" s="27" t="s">
        <v>56</v>
      </c>
      <c r="V932" s="30" t="s">
        <v>59</v>
      </c>
      <c r="W932" s="31">
        <v>45948</v>
      </c>
      <c r="X932" s="22"/>
      <c r="Y932" s="19" t="s">
        <v>52</v>
      </c>
      <c r="Z932" s="19" t="s">
        <v>52</v>
      </c>
      <c r="AA932" s="19" t="s">
        <v>52</v>
      </c>
      <c r="AB932" s="28"/>
    </row>
    <row r="933" spans="1:33" s="29" customFormat="1" ht="15" customHeight="1" x14ac:dyDescent="0.25">
      <c r="A933" s="14">
        <v>14</v>
      </c>
      <c r="B933" s="15">
        <v>45948</v>
      </c>
      <c r="C933" s="15">
        <f t="shared" si="869"/>
        <v>45956</v>
      </c>
      <c r="D933" s="14">
        <v>13590</v>
      </c>
      <c r="E933" s="16" t="s">
        <v>245</v>
      </c>
      <c r="F933" s="17" t="s">
        <v>246</v>
      </c>
      <c r="G933" s="17" t="s">
        <v>132</v>
      </c>
      <c r="H933" s="18" t="s">
        <v>775</v>
      </c>
      <c r="I933" s="19" t="s">
        <v>135</v>
      </c>
      <c r="J933" s="20">
        <v>45911</v>
      </c>
      <c r="K933" s="20">
        <v>45959</v>
      </c>
      <c r="L933" s="21">
        <v>30000</v>
      </c>
      <c r="M933" s="22">
        <f t="shared" si="874"/>
        <v>28586</v>
      </c>
      <c r="N933" s="23">
        <v>0</v>
      </c>
      <c r="O933" s="23">
        <v>28586</v>
      </c>
      <c r="P933" s="24">
        <f t="shared" si="871"/>
        <v>30000</v>
      </c>
      <c r="Q933" s="25">
        <v>28580</v>
      </c>
      <c r="R933" s="26">
        <v>53442</v>
      </c>
      <c r="S933" s="91">
        <f t="shared" si="872"/>
        <v>0.56135623666778933</v>
      </c>
      <c r="T933" s="91">
        <f t="shared" si="873"/>
        <v>0.53478537479884736</v>
      </c>
      <c r="U933" s="27" t="s">
        <v>56</v>
      </c>
      <c r="V933" s="30" t="s">
        <v>59</v>
      </c>
      <c r="W933" s="31">
        <v>45948</v>
      </c>
      <c r="X933" s="22"/>
      <c r="Y933" s="19" t="s">
        <v>52</v>
      </c>
      <c r="Z933" s="19" t="s">
        <v>52</v>
      </c>
      <c r="AA933" s="19" t="s">
        <v>52</v>
      </c>
      <c r="AB933" s="28"/>
    </row>
    <row r="934" spans="1:33" s="29" customFormat="1" ht="15" customHeight="1" x14ac:dyDescent="0.25">
      <c r="A934" s="14">
        <v>17</v>
      </c>
      <c r="B934" s="15">
        <v>45948</v>
      </c>
      <c r="C934" s="15">
        <f t="shared" si="869"/>
        <v>45956</v>
      </c>
      <c r="D934" s="14">
        <v>13593</v>
      </c>
      <c r="E934" s="16" t="s">
        <v>272</v>
      </c>
      <c r="F934" s="17" t="s">
        <v>273</v>
      </c>
      <c r="G934" s="17" t="s">
        <v>132</v>
      </c>
      <c r="H934" s="18" t="s">
        <v>775</v>
      </c>
      <c r="I934" s="19" t="s">
        <v>135</v>
      </c>
      <c r="J934" s="20">
        <v>45911</v>
      </c>
      <c r="K934" s="20">
        <v>45959</v>
      </c>
      <c r="L934" s="21">
        <v>30000</v>
      </c>
      <c r="M934" s="22">
        <f t="shared" si="874"/>
        <v>35346</v>
      </c>
      <c r="N934" s="23">
        <v>0</v>
      </c>
      <c r="O934" s="23">
        <v>35346</v>
      </c>
      <c r="P934" s="24">
        <f t="shared" si="871"/>
        <v>30000</v>
      </c>
      <c r="Q934" s="25">
        <v>35340</v>
      </c>
      <c r="R934" s="26">
        <v>175500</v>
      </c>
      <c r="S934" s="91">
        <f t="shared" si="872"/>
        <v>0.17094017094017094</v>
      </c>
      <c r="T934" s="91">
        <f t="shared" si="873"/>
        <v>0.20136752136752137</v>
      </c>
      <c r="U934" s="27" t="s">
        <v>56</v>
      </c>
      <c r="V934" s="30" t="s">
        <v>59</v>
      </c>
      <c r="W934" s="31">
        <v>45948</v>
      </c>
      <c r="X934" s="22"/>
      <c r="Y934" s="19" t="s">
        <v>52</v>
      </c>
      <c r="Z934" s="19" t="s">
        <v>52</v>
      </c>
      <c r="AA934" s="19" t="s">
        <v>52</v>
      </c>
      <c r="AB934" s="28"/>
    </row>
    <row r="935" spans="1:33" s="29" customFormat="1" ht="15" customHeight="1" x14ac:dyDescent="0.25">
      <c r="A935" s="14">
        <v>18</v>
      </c>
      <c r="B935" s="15">
        <v>45948</v>
      </c>
      <c r="C935" s="15">
        <f t="shared" si="869"/>
        <v>45956</v>
      </c>
      <c r="D935" s="14">
        <v>13594</v>
      </c>
      <c r="E935" s="16" t="s">
        <v>143</v>
      </c>
      <c r="F935" s="17" t="s">
        <v>144</v>
      </c>
      <c r="G935" s="17" t="s">
        <v>132</v>
      </c>
      <c r="H935" s="18" t="s">
        <v>775</v>
      </c>
      <c r="I935" s="19" t="s">
        <v>135</v>
      </c>
      <c r="J935" s="20">
        <v>45911</v>
      </c>
      <c r="K935" s="20">
        <v>45959</v>
      </c>
      <c r="L935" s="21">
        <v>100000</v>
      </c>
      <c r="M935" s="22">
        <f t="shared" si="874"/>
        <v>110010</v>
      </c>
      <c r="N935" s="23">
        <v>0</v>
      </c>
      <c r="O935" s="23">
        <v>110010</v>
      </c>
      <c r="P935" s="24">
        <f t="shared" si="871"/>
        <v>100000</v>
      </c>
      <c r="Q935" s="25">
        <v>110010</v>
      </c>
      <c r="R935" s="26">
        <v>175500</v>
      </c>
      <c r="S935" s="91">
        <f t="shared" si="872"/>
        <v>0.56980056980056981</v>
      </c>
      <c r="T935" s="91">
        <f t="shared" si="873"/>
        <v>0.62683760683760681</v>
      </c>
      <c r="U935" s="27" t="s">
        <v>56</v>
      </c>
      <c r="V935" s="30" t="s">
        <v>59</v>
      </c>
      <c r="W935" s="31">
        <v>45948</v>
      </c>
      <c r="X935" s="22"/>
      <c r="Y935" s="19" t="s">
        <v>52</v>
      </c>
      <c r="Z935" s="19" t="s">
        <v>52</v>
      </c>
      <c r="AA935" s="19" t="s">
        <v>52</v>
      </c>
      <c r="AB935" s="28"/>
    </row>
    <row r="936" spans="1:33" s="29" customFormat="1" ht="15" customHeight="1" x14ac:dyDescent="0.25">
      <c r="A936" s="14">
        <v>8</v>
      </c>
      <c r="B936" s="15">
        <v>45948</v>
      </c>
      <c r="C936" s="15">
        <f>B936+8</f>
        <v>45956</v>
      </c>
      <c r="D936" s="14">
        <v>13685</v>
      </c>
      <c r="E936" s="16" t="s">
        <v>252</v>
      </c>
      <c r="F936" s="40" t="s">
        <v>253</v>
      </c>
      <c r="G936" s="17" t="s">
        <v>75</v>
      </c>
      <c r="H936" s="18" t="s">
        <v>54</v>
      </c>
      <c r="I936" s="19" t="s">
        <v>86</v>
      </c>
      <c r="J936" s="20">
        <v>45930</v>
      </c>
      <c r="K936" s="20">
        <v>45968</v>
      </c>
      <c r="L936" s="21">
        <v>250000</v>
      </c>
      <c r="M936" s="22">
        <f>SUM(N936:O936)</f>
        <v>274500</v>
      </c>
      <c r="N936" s="23">
        <v>0</v>
      </c>
      <c r="O936" s="23">
        <v>274500</v>
      </c>
      <c r="P936" s="24">
        <f>L936-N936</f>
        <v>250000</v>
      </c>
      <c r="Q936" s="25">
        <v>274500</v>
      </c>
      <c r="R936" s="26">
        <v>63000</v>
      </c>
      <c r="S936" s="91">
        <f t="shared" ref="S936" si="875">IF(P936&gt;0,P936/$R936,0)</f>
        <v>3.9682539682539684</v>
      </c>
      <c r="T936" s="91">
        <f t="shared" ref="T936" si="876">IF(Q936&gt;0,Q936/$R936,0)</f>
        <v>4.3571428571428568</v>
      </c>
      <c r="U936" s="27" t="s">
        <v>56</v>
      </c>
      <c r="V936" s="30" t="s">
        <v>59</v>
      </c>
      <c r="W936" s="31">
        <v>45947</v>
      </c>
      <c r="X936" s="22"/>
      <c r="Y936" s="19" t="s">
        <v>52</v>
      </c>
      <c r="Z936" s="19" t="s">
        <v>52</v>
      </c>
      <c r="AA936" s="19" t="s">
        <v>52</v>
      </c>
      <c r="AB936" s="28"/>
    </row>
    <row r="937" spans="1:33" ht="15" customHeight="1" x14ac:dyDescent="0.25">
      <c r="A937" s="33" t="s">
        <v>71</v>
      </c>
      <c r="B937" s="34"/>
      <c r="C937" s="34"/>
      <c r="D937" s="34"/>
      <c r="E937" s="34"/>
      <c r="F937" s="35"/>
      <c r="G937" s="35"/>
      <c r="H937" s="34"/>
      <c r="I937" s="34"/>
      <c r="J937" s="34"/>
      <c r="K937" s="34"/>
      <c r="L937" s="36"/>
      <c r="M937" s="36"/>
      <c r="N937" s="36"/>
      <c r="O937" s="36"/>
      <c r="P937" s="36"/>
      <c r="Q937" s="36">
        <f>SUM(Q925:Q936)</f>
        <v>1381918</v>
      </c>
      <c r="R937" s="36"/>
      <c r="S937" s="92"/>
      <c r="T937" s="93">
        <f>SUM(T925:T936)</f>
        <v>13.496644828083575</v>
      </c>
      <c r="U937" s="37"/>
      <c r="V937" s="38"/>
      <c r="W937" s="38"/>
      <c r="X937" s="38"/>
      <c r="Y937" s="34"/>
      <c r="Z937" s="34"/>
      <c r="AA937" s="39"/>
      <c r="AB937" s="29" t="s">
        <v>930</v>
      </c>
      <c r="AC937" s="81" t="s">
        <v>934</v>
      </c>
      <c r="AD937" s="83">
        <v>4166.66</v>
      </c>
      <c r="AF937" s="83">
        <v>0</v>
      </c>
      <c r="AG937" s="83">
        <f>SUM(AD937,AF937)</f>
        <v>4166.66</v>
      </c>
    </row>
    <row r="938" spans="1:33" s="29" customFormat="1" ht="15" customHeight="1" x14ac:dyDescent="0.25">
      <c r="A938" s="14">
        <v>41</v>
      </c>
      <c r="B938" s="15">
        <v>45953</v>
      </c>
      <c r="C938" s="15">
        <f>B938+8</f>
        <v>45961</v>
      </c>
      <c r="D938" s="14">
        <v>13673</v>
      </c>
      <c r="E938" s="16" t="s">
        <v>109</v>
      </c>
      <c r="F938" s="17" t="s">
        <v>110</v>
      </c>
      <c r="G938" s="17" t="s">
        <v>102</v>
      </c>
      <c r="H938" s="18" t="s">
        <v>57</v>
      </c>
      <c r="I938" s="19" t="s">
        <v>94</v>
      </c>
      <c r="J938" s="20">
        <v>45925</v>
      </c>
      <c r="K938" s="20">
        <v>45980</v>
      </c>
      <c r="L938" s="21">
        <v>500000</v>
      </c>
      <c r="M938" s="22">
        <f>SUM(N938:O938)</f>
        <v>550000</v>
      </c>
      <c r="N938" s="23">
        <v>350000</v>
      </c>
      <c r="O938" s="23">
        <v>200000</v>
      </c>
      <c r="P938" s="24">
        <f t="shared" ref="P938" si="877">L938-N938</f>
        <v>150000</v>
      </c>
      <c r="Q938" s="25">
        <v>100000</v>
      </c>
      <c r="R938" s="26">
        <v>50000</v>
      </c>
      <c r="S938" s="91">
        <f t="shared" ref="S938:S943" si="878">IF(P938&gt;0,P938/$R938,0)</f>
        <v>3</v>
      </c>
      <c r="T938" s="91">
        <f t="shared" ref="T938:T943" si="879">IF(Q938&gt;0,Q938/$R938,0)</f>
        <v>2</v>
      </c>
      <c r="U938" s="27" t="s">
        <v>192</v>
      </c>
      <c r="V938" s="30" t="s">
        <v>59</v>
      </c>
      <c r="W938" s="31">
        <v>45947</v>
      </c>
      <c r="X938" s="22"/>
      <c r="Y938" s="19" t="s">
        <v>52</v>
      </c>
      <c r="Z938" s="19" t="s">
        <v>52</v>
      </c>
      <c r="AA938" s="19" t="s">
        <v>52</v>
      </c>
      <c r="AB938" s="28"/>
    </row>
    <row r="939" spans="1:33" s="29" customFormat="1" ht="15" customHeight="1" x14ac:dyDescent="0.25">
      <c r="A939" s="14">
        <v>25</v>
      </c>
      <c r="B939" s="15">
        <v>45953</v>
      </c>
      <c r="C939" s="15">
        <f>B939+8</f>
        <v>45961</v>
      </c>
      <c r="D939" s="14">
        <v>13691</v>
      </c>
      <c r="E939" s="16" t="s">
        <v>891</v>
      </c>
      <c r="F939" s="17" t="s">
        <v>285</v>
      </c>
      <c r="G939" s="17" t="s">
        <v>102</v>
      </c>
      <c r="H939" s="18" t="s">
        <v>542</v>
      </c>
      <c r="I939" s="19" t="s">
        <v>319</v>
      </c>
      <c r="J939" s="20">
        <v>45932</v>
      </c>
      <c r="K939" s="20">
        <v>45961</v>
      </c>
      <c r="L939" s="21">
        <v>150000</v>
      </c>
      <c r="M939" s="22">
        <f>SUM(N939:O939)</f>
        <v>162000</v>
      </c>
      <c r="N939" s="23">
        <v>0</v>
      </c>
      <c r="O939" s="23">
        <v>162000</v>
      </c>
      <c r="P939" s="24">
        <f>L939-N939</f>
        <v>150000</v>
      </c>
      <c r="Q939" s="25">
        <v>162000</v>
      </c>
      <c r="R939" s="26">
        <v>50000</v>
      </c>
      <c r="S939" s="91">
        <f t="shared" si="878"/>
        <v>3</v>
      </c>
      <c r="T939" s="91">
        <f t="shared" si="879"/>
        <v>3.24</v>
      </c>
      <c r="U939" s="27" t="s">
        <v>192</v>
      </c>
      <c r="V939" s="30" t="s">
        <v>59</v>
      </c>
      <c r="W939" s="31">
        <v>45945</v>
      </c>
      <c r="X939" s="22"/>
      <c r="Y939" s="19" t="s">
        <v>52</v>
      </c>
      <c r="Z939" s="19" t="s">
        <v>52</v>
      </c>
      <c r="AA939" s="19" t="s">
        <v>52</v>
      </c>
      <c r="AB939" s="28"/>
    </row>
    <row r="940" spans="1:33" s="29" customFormat="1" ht="15" customHeight="1" x14ac:dyDescent="0.25">
      <c r="A940" s="14">
        <v>27</v>
      </c>
      <c r="B940" s="15">
        <v>45953</v>
      </c>
      <c r="C940" s="15">
        <f t="shared" ref="C940" si="880">B940+8</f>
        <v>45961</v>
      </c>
      <c r="D940" s="14">
        <v>13692</v>
      </c>
      <c r="E940" s="16" t="s">
        <v>244</v>
      </c>
      <c r="F940" s="17" t="s">
        <v>243</v>
      </c>
      <c r="G940" s="17" t="s">
        <v>102</v>
      </c>
      <c r="H940" s="18" t="s">
        <v>784</v>
      </c>
      <c r="I940" s="19" t="s">
        <v>63</v>
      </c>
      <c r="J940" s="20">
        <v>45932</v>
      </c>
      <c r="K940" s="20">
        <v>45967</v>
      </c>
      <c r="L940" s="21">
        <v>484000</v>
      </c>
      <c r="M940" s="22">
        <f>SUM(N940:O940)</f>
        <v>336000</v>
      </c>
      <c r="N940" s="23">
        <v>0</v>
      </c>
      <c r="O940" s="23">
        <v>336000</v>
      </c>
      <c r="P940" s="24">
        <f>L940-N940</f>
        <v>484000</v>
      </c>
      <c r="Q940" s="25">
        <v>336000</v>
      </c>
      <c r="R940" s="26">
        <v>84000</v>
      </c>
      <c r="S940" s="91">
        <f t="shared" si="878"/>
        <v>5.7619047619047619</v>
      </c>
      <c r="T940" s="91">
        <f t="shared" si="879"/>
        <v>4</v>
      </c>
      <c r="U940" s="27" t="s">
        <v>192</v>
      </c>
      <c r="V940" s="30" t="s">
        <v>59</v>
      </c>
      <c r="W940" s="31">
        <v>45945</v>
      </c>
      <c r="X940" s="22"/>
      <c r="Y940" s="19" t="s">
        <v>52</v>
      </c>
      <c r="Z940" s="19" t="s">
        <v>52</v>
      </c>
      <c r="AA940" s="19" t="s">
        <v>52</v>
      </c>
      <c r="AB940" s="28"/>
    </row>
    <row r="941" spans="1:33" s="29" customFormat="1" ht="15" customHeight="1" x14ac:dyDescent="0.25">
      <c r="A941" s="14">
        <v>5</v>
      </c>
      <c r="B941" s="15">
        <v>45953</v>
      </c>
      <c r="C941" s="15">
        <f t="shared" ref="C941" si="881">B941+8</f>
        <v>45961</v>
      </c>
      <c r="D941" s="14">
        <v>13700</v>
      </c>
      <c r="E941" s="16" t="s">
        <v>808</v>
      </c>
      <c r="F941" s="40" t="s">
        <v>657</v>
      </c>
      <c r="G941" s="17" t="s">
        <v>75</v>
      </c>
      <c r="H941" s="18" t="s">
        <v>57</v>
      </c>
      <c r="I941" s="19" t="s">
        <v>94</v>
      </c>
      <c r="J941" s="20">
        <v>45933</v>
      </c>
      <c r="K941" s="20">
        <v>45960</v>
      </c>
      <c r="L941" s="21">
        <v>1000000</v>
      </c>
      <c r="M941" s="22">
        <f>SUM(N941:O941)</f>
        <v>750000</v>
      </c>
      <c r="N941" s="23">
        <v>0</v>
      </c>
      <c r="O941" s="23">
        <v>750000</v>
      </c>
      <c r="P941" s="24">
        <f t="shared" ref="P941" si="882">L941-N941</f>
        <v>1000000</v>
      </c>
      <c r="Q941" s="25">
        <v>600000</v>
      </c>
      <c r="R941" s="26">
        <v>100000</v>
      </c>
      <c r="S941" s="91">
        <f t="shared" si="878"/>
        <v>10</v>
      </c>
      <c r="T941" s="91">
        <f t="shared" si="879"/>
        <v>6</v>
      </c>
      <c r="U941" s="27" t="s">
        <v>192</v>
      </c>
      <c r="V941" s="30" t="s">
        <v>59</v>
      </c>
      <c r="W941" s="31">
        <v>45947</v>
      </c>
      <c r="X941" s="22"/>
      <c r="Y941" s="19" t="s">
        <v>52</v>
      </c>
      <c r="Z941" s="19" t="s">
        <v>52</v>
      </c>
      <c r="AA941" s="19" t="s">
        <v>52</v>
      </c>
      <c r="AB941" s="28"/>
    </row>
    <row r="942" spans="1:33" s="29" customFormat="1" ht="15" customHeight="1" x14ac:dyDescent="0.25">
      <c r="A942" s="14">
        <v>41</v>
      </c>
      <c r="B942" s="15">
        <v>45953</v>
      </c>
      <c r="C942" s="15">
        <f>B942+8</f>
        <v>45961</v>
      </c>
      <c r="D942" s="14">
        <v>13673</v>
      </c>
      <c r="E942" s="16" t="s">
        <v>109</v>
      </c>
      <c r="F942" s="17" t="s">
        <v>110</v>
      </c>
      <c r="G942" s="17" t="s">
        <v>102</v>
      </c>
      <c r="H942" s="18" t="s">
        <v>57</v>
      </c>
      <c r="I942" s="19" t="s">
        <v>94</v>
      </c>
      <c r="J942" s="20">
        <v>45925</v>
      </c>
      <c r="K942" s="20">
        <v>45980</v>
      </c>
      <c r="L942" s="21">
        <v>500000</v>
      </c>
      <c r="M942" s="22">
        <f>SUM(N942:O942)</f>
        <v>550000</v>
      </c>
      <c r="N942" s="23">
        <v>350000</v>
      </c>
      <c r="O942" s="23">
        <v>200000</v>
      </c>
      <c r="P942" s="24">
        <f t="shared" ref="P942" si="883">L942-N942</f>
        <v>150000</v>
      </c>
      <c r="Q942" s="25">
        <v>100000</v>
      </c>
      <c r="R942" s="26">
        <v>50000</v>
      </c>
      <c r="S942" s="91">
        <f t="shared" si="878"/>
        <v>3</v>
      </c>
      <c r="T942" s="91">
        <f t="shared" si="879"/>
        <v>2</v>
      </c>
      <c r="U942" s="27" t="s">
        <v>56</v>
      </c>
      <c r="V942" s="30" t="s">
        <v>59</v>
      </c>
      <c r="W942" s="31">
        <v>45947</v>
      </c>
      <c r="X942" s="22"/>
      <c r="Y942" s="19" t="s">
        <v>52</v>
      </c>
      <c r="Z942" s="19" t="s">
        <v>52</v>
      </c>
      <c r="AA942" s="19" t="s">
        <v>52</v>
      </c>
      <c r="AB942" s="28"/>
    </row>
    <row r="943" spans="1:33" s="29" customFormat="1" ht="15" customHeight="1" x14ac:dyDescent="0.25">
      <c r="A943" s="14">
        <v>5</v>
      </c>
      <c r="B943" s="15">
        <v>45953</v>
      </c>
      <c r="C943" s="15">
        <f t="shared" ref="C943" si="884">B943+8</f>
        <v>45961</v>
      </c>
      <c r="D943" s="14">
        <v>13700</v>
      </c>
      <c r="E943" s="16" t="s">
        <v>808</v>
      </c>
      <c r="F943" s="40" t="s">
        <v>657</v>
      </c>
      <c r="G943" s="17" t="s">
        <v>75</v>
      </c>
      <c r="H943" s="18" t="s">
        <v>57</v>
      </c>
      <c r="I943" s="19" t="s">
        <v>94</v>
      </c>
      <c r="J943" s="20">
        <v>45933</v>
      </c>
      <c r="K943" s="20">
        <v>45960</v>
      </c>
      <c r="L943" s="21">
        <v>1000000</v>
      </c>
      <c r="M943" s="22">
        <f t="shared" ref="M943" si="885">SUM(N943:O943)</f>
        <v>750000</v>
      </c>
      <c r="N943" s="23">
        <v>0</v>
      </c>
      <c r="O943" s="23">
        <v>750000</v>
      </c>
      <c r="P943" s="24">
        <f t="shared" ref="P943" si="886">L943-N943</f>
        <v>1000000</v>
      </c>
      <c r="Q943" s="25">
        <v>150000</v>
      </c>
      <c r="R943" s="26">
        <v>100000</v>
      </c>
      <c r="S943" s="91">
        <f t="shared" si="878"/>
        <v>10</v>
      </c>
      <c r="T943" s="91">
        <f t="shared" si="879"/>
        <v>1.5</v>
      </c>
      <c r="U943" s="27" t="s">
        <v>56</v>
      </c>
      <c r="V943" s="30" t="s">
        <v>59</v>
      </c>
      <c r="W943" s="31">
        <v>45947</v>
      </c>
      <c r="X943" s="22"/>
      <c r="Y943" s="19" t="s">
        <v>52</v>
      </c>
      <c r="Z943" s="19" t="s">
        <v>52</v>
      </c>
      <c r="AA943" s="19" t="s">
        <v>52</v>
      </c>
      <c r="AB943" s="28"/>
    </row>
    <row r="944" spans="1:33" ht="15" customHeight="1" x14ac:dyDescent="0.25">
      <c r="A944" s="33" t="s">
        <v>71</v>
      </c>
      <c r="B944" s="34"/>
      <c r="C944" s="34"/>
      <c r="D944" s="34"/>
      <c r="E944" s="34"/>
      <c r="F944" s="35"/>
      <c r="G944" s="35"/>
      <c r="H944" s="34"/>
      <c r="I944" s="34"/>
      <c r="J944" s="34"/>
      <c r="K944" s="34"/>
      <c r="L944" s="36"/>
      <c r="M944" s="36"/>
      <c r="N944" s="36"/>
      <c r="O944" s="36"/>
      <c r="P944" s="36"/>
      <c r="Q944" s="36">
        <f>SUM(Q938:Q943)</f>
        <v>1448000</v>
      </c>
      <c r="R944" s="36"/>
      <c r="S944" s="92"/>
      <c r="T944" s="93">
        <f>SUM(T938:T943)</f>
        <v>18.740000000000002</v>
      </c>
      <c r="U944" s="37"/>
      <c r="V944" s="38"/>
      <c r="W944" s="38"/>
      <c r="X944" s="38"/>
      <c r="Y944" s="34"/>
      <c r="Z944" s="34"/>
      <c r="AA944" s="39"/>
      <c r="AB944" s="29" t="s">
        <v>935</v>
      </c>
      <c r="AC944" s="81" t="s">
        <v>961</v>
      </c>
      <c r="AD944" s="83">
        <v>4166.67</v>
      </c>
      <c r="AF944" s="83">
        <v>0</v>
      </c>
      <c r="AG944" s="83">
        <f>SUM(AD944,AF944)</f>
        <v>4166.67</v>
      </c>
    </row>
    <row r="945" spans="1:33" s="29" customFormat="1" ht="15" customHeight="1" x14ac:dyDescent="0.25">
      <c r="A945" s="14">
        <v>24</v>
      </c>
      <c r="B945" s="15">
        <v>45954</v>
      </c>
      <c r="C945" s="15">
        <f>B945+8</f>
        <v>45962</v>
      </c>
      <c r="D945" s="14">
        <v>13694</v>
      </c>
      <c r="E945" s="16" t="s">
        <v>892</v>
      </c>
      <c r="F945" s="17" t="s">
        <v>893</v>
      </c>
      <c r="G945" s="17" t="s">
        <v>102</v>
      </c>
      <c r="H945" s="18" t="s">
        <v>57</v>
      </c>
      <c r="I945" s="19" t="s">
        <v>64</v>
      </c>
      <c r="J945" s="20">
        <v>45933</v>
      </c>
      <c r="K945" s="20">
        <v>45964</v>
      </c>
      <c r="L945" s="21">
        <v>1000000</v>
      </c>
      <c r="M945" s="22">
        <f>SUM(N945:O945)</f>
        <v>450000</v>
      </c>
      <c r="N945" s="23">
        <v>0</v>
      </c>
      <c r="O945" s="23">
        <v>450000</v>
      </c>
      <c r="P945" s="24">
        <f t="shared" ref="P945:P951" si="887">L945-N945</f>
        <v>1000000</v>
      </c>
      <c r="Q945" s="25">
        <v>450000</v>
      </c>
      <c r="R945" s="26">
        <v>50000</v>
      </c>
      <c r="S945" s="91">
        <f t="shared" ref="S945:S952" si="888">IF(P945&gt;0,P945/$R945,0)</f>
        <v>20</v>
      </c>
      <c r="T945" s="91">
        <f t="shared" ref="T945:T952" si="889">IF(Q945&gt;0,Q945/$R945,0)</f>
        <v>9</v>
      </c>
      <c r="U945" s="27" t="s">
        <v>192</v>
      </c>
      <c r="V945" s="19" t="s">
        <v>51</v>
      </c>
      <c r="W945" s="20">
        <v>45945</v>
      </c>
      <c r="X945" s="22"/>
      <c r="Y945" s="19" t="s">
        <v>52</v>
      </c>
      <c r="Z945" s="19" t="s">
        <v>52</v>
      </c>
      <c r="AA945" s="19" t="s">
        <v>52</v>
      </c>
      <c r="AB945" s="28"/>
    </row>
    <row r="946" spans="1:33" s="29" customFormat="1" ht="15" customHeight="1" x14ac:dyDescent="0.25">
      <c r="A946" s="14">
        <v>3</v>
      </c>
      <c r="B946" s="15">
        <v>45954</v>
      </c>
      <c r="C946" s="15">
        <f>B946+8</f>
        <v>45962</v>
      </c>
      <c r="D946" s="14">
        <v>13700</v>
      </c>
      <c r="E946" s="16" t="s">
        <v>808</v>
      </c>
      <c r="F946" s="40" t="s">
        <v>657</v>
      </c>
      <c r="G946" s="17" t="s">
        <v>75</v>
      </c>
      <c r="H946" s="18" t="s">
        <v>57</v>
      </c>
      <c r="I946" s="19" t="s">
        <v>94</v>
      </c>
      <c r="J946" s="20">
        <v>45933</v>
      </c>
      <c r="K946" s="20">
        <v>45960</v>
      </c>
      <c r="L946" s="21">
        <v>1000000</v>
      </c>
      <c r="M946" s="22">
        <f>SUM(N946:O946)</f>
        <v>1050000</v>
      </c>
      <c r="N946" s="23">
        <v>750000</v>
      </c>
      <c r="O946" s="23">
        <v>300000</v>
      </c>
      <c r="P946" s="24">
        <f t="shared" si="887"/>
        <v>250000</v>
      </c>
      <c r="Q946" s="25">
        <v>300000</v>
      </c>
      <c r="R946" s="26">
        <v>100000</v>
      </c>
      <c r="S946" s="91">
        <f t="shared" si="888"/>
        <v>2.5</v>
      </c>
      <c r="T946" s="91">
        <f t="shared" si="889"/>
        <v>3</v>
      </c>
      <c r="U946" s="27" t="s">
        <v>192</v>
      </c>
      <c r="V946" s="19" t="s">
        <v>51</v>
      </c>
      <c r="W946" s="20">
        <v>45947</v>
      </c>
      <c r="X946" s="22"/>
      <c r="Y946" s="19" t="s">
        <v>52</v>
      </c>
      <c r="Z946" s="19" t="s">
        <v>52</v>
      </c>
      <c r="AA946" s="19" t="s">
        <v>52</v>
      </c>
      <c r="AB946" s="28"/>
    </row>
    <row r="947" spans="1:33" s="29" customFormat="1" ht="15" customHeight="1" x14ac:dyDescent="0.25">
      <c r="A947" s="14">
        <v>4</v>
      </c>
      <c r="B947" s="15">
        <v>45954</v>
      </c>
      <c r="C947" s="15">
        <f>B947+8</f>
        <v>45962</v>
      </c>
      <c r="D947" s="14">
        <v>13434</v>
      </c>
      <c r="E947" s="16" t="s">
        <v>358</v>
      </c>
      <c r="F947" s="17" t="s">
        <v>359</v>
      </c>
      <c r="G947" s="17" t="s">
        <v>132</v>
      </c>
      <c r="H947" s="18" t="s">
        <v>162</v>
      </c>
      <c r="I947" s="19" t="s">
        <v>198</v>
      </c>
      <c r="J947" s="20">
        <v>45891</v>
      </c>
      <c r="K947" s="20">
        <v>45953</v>
      </c>
      <c r="L947" s="21">
        <v>350000</v>
      </c>
      <c r="M947" s="22">
        <f>SUM(N947:O947)</f>
        <v>358000</v>
      </c>
      <c r="N947" s="23">
        <v>108000</v>
      </c>
      <c r="O947" s="23">
        <v>250000</v>
      </c>
      <c r="P947" s="24">
        <f t="shared" si="887"/>
        <v>242000</v>
      </c>
      <c r="Q947" s="25">
        <v>270720</v>
      </c>
      <c r="R947" s="26">
        <v>324000</v>
      </c>
      <c r="S947" s="91">
        <f t="shared" si="888"/>
        <v>0.74691358024691357</v>
      </c>
      <c r="T947" s="91">
        <f t="shared" si="889"/>
        <v>0.83555555555555561</v>
      </c>
      <c r="U947" s="27" t="s">
        <v>56</v>
      </c>
      <c r="V947" s="19" t="s">
        <v>51</v>
      </c>
      <c r="W947" s="20">
        <v>45948</v>
      </c>
      <c r="X947" s="22"/>
      <c r="Y947" s="19" t="s">
        <v>52</v>
      </c>
      <c r="Z947" s="19" t="s">
        <v>52</v>
      </c>
      <c r="AA947" s="19" t="s">
        <v>52</v>
      </c>
      <c r="AB947" s="28"/>
    </row>
    <row r="948" spans="1:33" s="29" customFormat="1" ht="15" customHeight="1" x14ac:dyDescent="0.25">
      <c r="A948" s="14">
        <v>3</v>
      </c>
      <c r="B948" s="15">
        <v>45954</v>
      </c>
      <c r="C948" s="15">
        <f>B948+8</f>
        <v>45962</v>
      </c>
      <c r="D948" s="14">
        <v>13512</v>
      </c>
      <c r="E948" s="16" t="s">
        <v>145</v>
      </c>
      <c r="F948" s="17" t="s">
        <v>146</v>
      </c>
      <c r="G948" s="17" t="s">
        <v>132</v>
      </c>
      <c r="H948" s="18" t="s">
        <v>54</v>
      </c>
      <c r="I948" s="19" t="s">
        <v>135</v>
      </c>
      <c r="J948" s="20">
        <v>45898</v>
      </c>
      <c r="K948" s="20">
        <v>45943</v>
      </c>
      <c r="L948" s="21">
        <v>100000</v>
      </c>
      <c r="M948" s="22">
        <f>SUM(N948:O948)</f>
        <v>104980</v>
      </c>
      <c r="N948" s="23">
        <v>52980</v>
      </c>
      <c r="O948" s="23">
        <v>52000</v>
      </c>
      <c r="P948" s="24">
        <f t="shared" si="887"/>
        <v>47020</v>
      </c>
      <c r="Q948" s="25">
        <v>50860</v>
      </c>
      <c r="R948" s="26">
        <v>50868</v>
      </c>
      <c r="S948" s="91">
        <f t="shared" si="888"/>
        <v>0.9243532279625698</v>
      </c>
      <c r="T948" s="91">
        <f t="shared" si="889"/>
        <v>0.99984273020366443</v>
      </c>
      <c r="U948" s="27" t="s">
        <v>56</v>
      </c>
      <c r="V948" s="19" t="s">
        <v>51</v>
      </c>
      <c r="W948" s="20">
        <v>45945</v>
      </c>
      <c r="X948" s="22"/>
      <c r="Y948" s="19" t="s">
        <v>52</v>
      </c>
      <c r="Z948" s="19" t="s">
        <v>52</v>
      </c>
      <c r="AA948" s="19" t="s">
        <v>52</v>
      </c>
      <c r="AB948" s="28"/>
    </row>
    <row r="949" spans="1:33" s="29" customFormat="1" ht="15" customHeight="1" x14ac:dyDescent="0.25">
      <c r="A949" s="14">
        <v>6</v>
      </c>
      <c r="B949" s="15">
        <v>45954</v>
      </c>
      <c r="C949" s="15">
        <f>B949+8</f>
        <v>45962</v>
      </c>
      <c r="D949" s="14">
        <v>13589</v>
      </c>
      <c r="E949" s="16" t="s">
        <v>810</v>
      </c>
      <c r="F949" s="17" t="s">
        <v>811</v>
      </c>
      <c r="G949" s="17" t="s">
        <v>132</v>
      </c>
      <c r="H949" s="18" t="s">
        <v>775</v>
      </c>
      <c r="I949" s="19" t="s">
        <v>135</v>
      </c>
      <c r="J949" s="20">
        <v>45911</v>
      </c>
      <c r="K949" s="20">
        <v>45959</v>
      </c>
      <c r="L949" s="21">
        <v>30000</v>
      </c>
      <c r="M949" s="22">
        <f>SUM(N949:O949)</f>
        <v>30550</v>
      </c>
      <c r="N949" s="23">
        <v>9550</v>
      </c>
      <c r="O949" s="23">
        <v>21000</v>
      </c>
      <c r="P949" s="24">
        <f t="shared" si="887"/>
        <v>20450</v>
      </c>
      <c r="Q949" s="25">
        <v>19110</v>
      </c>
      <c r="R949" s="26">
        <v>57330</v>
      </c>
      <c r="S949" s="91">
        <f t="shared" si="888"/>
        <v>0.35670678527821387</v>
      </c>
      <c r="T949" s="91">
        <f t="shared" si="889"/>
        <v>0.33333333333333331</v>
      </c>
      <c r="U949" s="27" t="s">
        <v>56</v>
      </c>
      <c r="V949" s="19" t="s">
        <v>51</v>
      </c>
      <c r="W949" s="20">
        <v>45948</v>
      </c>
      <c r="X949" s="22"/>
      <c r="Y949" s="19" t="s">
        <v>52</v>
      </c>
      <c r="Z949" s="19" t="s">
        <v>52</v>
      </c>
      <c r="AA949" s="19" t="s">
        <v>52</v>
      </c>
      <c r="AB949" s="28"/>
    </row>
    <row r="950" spans="1:33" s="29" customFormat="1" ht="15" customHeight="1" x14ac:dyDescent="0.25">
      <c r="A950" s="14">
        <v>7</v>
      </c>
      <c r="B950" s="15">
        <v>45954</v>
      </c>
      <c r="C950" s="15">
        <f t="shared" ref="C950" si="890">B950+8</f>
        <v>45962</v>
      </c>
      <c r="D950" s="14">
        <v>13591</v>
      </c>
      <c r="E950" s="16" t="s">
        <v>136</v>
      </c>
      <c r="F950" s="17" t="s">
        <v>479</v>
      </c>
      <c r="G950" s="17" t="s">
        <v>132</v>
      </c>
      <c r="H950" s="18" t="s">
        <v>775</v>
      </c>
      <c r="I950" s="19" t="s">
        <v>135</v>
      </c>
      <c r="J950" s="20">
        <v>45911</v>
      </c>
      <c r="K950" s="20">
        <v>45959</v>
      </c>
      <c r="L950" s="21">
        <v>105000</v>
      </c>
      <c r="M950" s="22">
        <f t="shared" ref="M950" si="891">SUM(N950:O950)</f>
        <v>112694</v>
      </c>
      <c r="N950" s="23">
        <v>0</v>
      </c>
      <c r="O950" s="23">
        <v>112694</v>
      </c>
      <c r="P950" s="24">
        <f t="shared" si="887"/>
        <v>105000</v>
      </c>
      <c r="Q950" s="25">
        <v>112690</v>
      </c>
      <c r="R950" s="26">
        <v>69948</v>
      </c>
      <c r="S950" s="91">
        <f t="shared" si="888"/>
        <v>1.5011151140847487</v>
      </c>
      <c r="T950" s="91">
        <f t="shared" si="889"/>
        <v>1.6110539257734318</v>
      </c>
      <c r="U950" s="27" t="s">
        <v>56</v>
      </c>
      <c r="V950" s="19" t="s">
        <v>51</v>
      </c>
      <c r="W950" s="20">
        <v>45948</v>
      </c>
      <c r="X950" s="22"/>
      <c r="Y950" s="19" t="s">
        <v>52</v>
      </c>
      <c r="Z950" s="19" t="s">
        <v>52</v>
      </c>
      <c r="AA950" s="19" t="s">
        <v>52</v>
      </c>
      <c r="AB950" s="28"/>
    </row>
    <row r="951" spans="1:33" s="29" customFormat="1" ht="15" customHeight="1" x14ac:dyDescent="0.25">
      <c r="A951" s="14">
        <v>2</v>
      </c>
      <c r="B951" s="15">
        <v>45954</v>
      </c>
      <c r="C951" s="15">
        <f t="shared" ref="C951" si="892">B951+8</f>
        <v>45962</v>
      </c>
      <c r="D951" s="14">
        <v>13651</v>
      </c>
      <c r="E951" s="16" t="s">
        <v>663</v>
      </c>
      <c r="F951" s="40" t="s">
        <v>664</v>
      </c>
      <c r="G951" s="17" t="s">
        <v>75</v>
      </c>
      <c r="H951" s="18" t="s">
        <v>133</v>
      </c>
      <c r="I951" s="19" t="s">
        <v>198</v>
      </c>
      <c r="J951" s="20">
        <v>45925</v>
      </c>
      <c r="K951" s="20">
        <v>45957</v>
      </c>
      <c r="L951" s="21">
        <v>130000</v>
      </c>
      <c r="M951" s="22">
        <f t="shared" ref="M951" si="893">SUM(N951:O951)</f>
        <v>132000</v>
      </c>
      <c r="N951" s="23">
        <v>0</v>
      </c>
      <c r="O951" s="23">
        <v>132000</v>
      </c>
      <c r="P951" s="24">
        <f t="shared" si="887"/>
        <v>130000</v>
      </c>
      <c r="Q951" s="25">
        <v>132000</v>
      </c>
      <c r="R951" s="26">
        <v>150000</v>
      </c>
      <c r="S951" s="91">
        <f t="shared" si="888"/>
        <v>0.8666666666666667</v>
      </c>
      <c r="T951" s="91">
        <f t="shared" si="889"/>
        <v>0.88</v>
      </c>
      <c r="U951" s="27" t="s">
        <v>56</v>
      </c>
      <c r="V951" s="19" t="s">
        <v>51</v>
      </c>
      <c r="W951" s="20">
        <v>45945</v>
      </c>
      <c r="X951" s="22"/>
      <c r="Y951" s="19" t="s">
        <v>52</v>
      </c>
      <c r="Z951" s="19" t="s">
        <v>52</v>
      </c>
      <c r="AA951" s="19" t="s">
        <v>52</v>
      </c>
      <c r="AB951" s="28"/>
    </row>
    <row r="952" spans="1:33" s="29" customFormat="1" ht="15" customHeight="1" x14ac:dyDescent="0.25">
      <c r="A952" s="14">
        <v>3</v>
      </c>
      <c r="B952" s="15">
        <v>45954</v>
      </c>
      <c r="C952" s="15">
        <f>B952+8</f>
        <v>45962</v>
      </c>
      <c r="D952" s="14">
        <v>13652</v>
      </c>
      <c r="E952" s="16" t="s">
        <v>214</v>
      </c>
      <c r="F952" s="17" t="s">
        <v>215</v>
      </c>
      <c r="G952" s="17" t="s">
        <v>47</v>
      </c>
      <c r="H952" s="18" t="s">
        <v>542</v>
      </c>
      <c r="I952" s="19" t="s">
        <v>104</v>
      </c>
      <c r="J952" s="20">
        <v>45923</v>
      </c>
      <c r="K952" s="20">
        <v>45964</v>
      </c>
      <c r="L952" s="21">
        <v>50000</v>
      </c>
      <c r="M952" s="22">
        <f t="shared" ref="M952" si="894">SUM(N952:O952)</f>
        <v>56000</v>
      </c>
      <c r="N952" s="23">
        <v>0</v>
      </c>
      <c r="O952" s="23">
        <v>56000</v>
      </c>
      <c r="P952" s="24">
        <f t="shared" ref="P952" si="895">L952-N952</f>
        <v>50000</v>
      </c>
      <c r="Q952" s="25">
        <v>56000</v>
      </c>
      <c r="R952" s="26">
        <v>50000</v>
      </c>
      <c r="S952" s="91">
        <f t="shared" si="888"/>
        <v>1</v>
      </c>
      <c r="T952" s="91">
        <f t="shared" si="889"/>
        <v>1.1200000000000001</v>
      </c>
      <c r="U952" s="27" t="s">
        <v>50</v>
      </c>
      <c r="V952" s="19" t="s">
        <v>51</v>
      </c>
      <c r="W952" s="20">
        <v>45945</v>
      </c>
      <c r="X952" s="22"/>
      <c r="Y952" s="19" t="s">
        <v>52</v>
      </c>
      <c r="Z952" s="19" t="s">
        <v>52</v>
      </c>
      <c r="AA952" s="19" t="s">
        <v>52</v>
      </c>
      <c r="AB952" s="42"/>
    </row>
    <row r="953" spans="1:33" ht="15" customHeight="1" x14ac:dyDescent="0.25">
      <c r="A953" s="33" t="s">
        <v>71</v>
      </c>
      <c r="B953" s="34"/>
      <c r="C953" s="34"/>
      <c r="D953" s="34"/>
      <c r="E953" s="34"/>
      <c r="F953" s="35"/>
      <c r="G953" s="35"/>
      <c r="H953" s="34"/>
      <c r="I953" s="34"/>
      <c r="J953" s="34"/>
      <c r="K953" s="34"/>
      <c r="L953" s="36"/>
      <c r="M953" s="36"/>
      <c r="N953" s="36"/>
      <c r="O953" s="36"/>
      <c r="P953" s="36"/>
      <c r="Q953" s="36">
        <f>SUM(Q945:Q952)</f>
        <v>1391380</v>
      </c>
      <c r="R953" s="36"/>
      <c r="S953" s="92"/>
      <c r="T953" s="93">
        <f>SUM(T945:T952)</f>
        <v>17.779785544865984</v>
      </c>
      <c r="U953" s="37"/>
      <c r="V953" s="38"/>
      <c r="W953" s="38"/>
      <c r="X953" s="38"/>
      <c r="Y953" s="34"/>
      <c r="Z953" s="34"/>
      <c r="AA953" s="39"/>
      <c r="AB953" s="29" t="s">
        <v>936</v>
      </c>
      <c r="AC953" s="81" t="s">
        <v>1091</v>
      </c>
      <c r="AD953" s="83">
        <v>4166.67</v>
      </c>
      <c r="AF953" s="83">
        <v>0</v>
      </c>
      <c r="AG953" s="83">
        <f>SUM(AD953,AF953)</f>
        <v>4166.67</v>
      </c>
    </row>
    <row r="954" spans="1:33" s="29" customFormat="1" ht="15" customHeight="1" x14ac:dyDescent="0.25">
      <c r="A954" s="14">
        <v>27</v>
      </c>
      <c r="B954" s="15">
        <v>45959</v>
      </c>
      <c r="C954" s="15">
        <f>B954+8</f>
        <v>45967</v>
      </c>
      <c r="D954" s="14">
        <v>13692</v>
      </c>
      <c r="E954" s="16" t="s">
        <v>244</v>
      </c>
      <c r="F954" s="17" t="s">
        <v>243</v>
      </c>
      <c r="G954" s="17" t="s">
        <v>102</v>
      </c>
      <c r="H954" s="18" t="s">
        <v>784</v>
      </c>
      <c r="I954" s="19" t="s">
        <v>63</v>
      </c>
      <c r="J954" s="20">
        <v>45932</v>
      </c>
      <c r="K954" s="20">
        <v>45967</v>
      </c>
      <c r="L954" s="21">
        <v>484000</v>
      </c>
      <c r="M954" s="22">
        <f>SUM(N954:O954)</f>
        <v>178000</v>
      </c>
      <c r="N954" s="23">
        <v>0</v>
      </c>
      <c r="O954" s="23">
        <v>178000</v>
      </c>
      <c r="P954" s="24">
        <f>L954-N954</f>
        <v>484000</v>
      </c>
      <c r="Q954" s="25">
        <v>178000</v>
      </c>
      <c r="R954" s="26">
        <v>84000</v>
      </c>
      <c r="S954" s="91">
        <f t="shared" ref="S954:S959" si="896">IF(P954&gt;0,P954/$R954,0)</f>
        <v>5.7619047619047619</v>
      </c>
      <c r="T954" s="91">
        <f t="shared" ref="T954:T959" si="897">IF(Q954&gt;0,Q954/$R954,0)</f>
        <v>2.1190476190476191</v>
      </c>
      <c r="U954" s="27" t="s">
        <v>192</v>
      </c>
      <c r="V954" s="19" t="s">
        <v>51</v>
      </c>
      <c r="W954" s="20">
        <v>45945</v>
      </c>
      <c r="X954" s="22"/>
      <c r="Y954" s="19" t="s">
        <v>52</v>
      </c>
      <c r="Z954" s="19" t="s">
        <v>52</v>
      </c>
      <c r="AA954" s="19" t="s">
        <v>52</v>
      </c>
      <c r="AB954" s="28"/>
    </row>
    <row r="955" spans="1:33" s="29" customFormat="1" ht="15" customHeight="1" x14ac:dyDescent="0.25">
      <c r="A955" s="14">
        <v>26</v>
      </c>
      <c r="B955" s="15">
        <v>45959</v>
      </c>
      <c r="C955" s="15">
        <f>B955+8</f>
        <v>45967</v>
      </c>
      <c r="D955" s="14">
        <v>13703</v>
      </c>
      <c r="E955" s="16" t="s">
        <v>218</v>
      </c>
      <c r="F955" s="17" t="s">
        <v>219</v>
      </c>
      <c r="G955" s="17" t="s">
        <v>102</v>
      </c>
      <c r="H955" s="18" t="s">
        <v>542</v>
      </c>
      <c r="I955" s="19" t="s">
        <v>104</v>
      </c>
      <c r="J955" s="20">
        <v>45933</v>
      </c>
      <c r="K955" s="20">
        <v>45964</v>
      </c>
      <c r="L955" s="21">
        <v>200000</v>
      </c>
      <c r="M955" s="22">
        <f>SUM(N955:O955)</f>
        <v>171000</v>
      </c>
      <c r="N955" s="23">
        <v>0</v>
      </c>
      <c r="O955" s="23">
        <v>171000</v>
      </c>
      <c r="P955" s="24">
        <f t="shared" ref="P955" si="898">L955-N955</f>
        <v>200000</v>
      </c>
      <c r="Q955" s="25">
        <v>121000</v>
      </c>
      <c r="R955" s="26">
        <v>50000</v>
      </c>
      <c r="S955" s="91">
        <f t="shared" si="896"/>
        <v>4</v>
      </c>
      <c r="T955" s="91">
        <f t="shared" si="897"/>
        <v>2.42</v>
      </c>
      <c r="U955" s="27" t="s">
        <v>192</v>
      </c>
      <c r="V955" s="19" t="s">
        <v>51</v>
      </c>
      <c r="W955" s="20">
        <v>45945</v>
      </c>
      <c r="X955" s="22"/>
      <c r="Y955" s="19" t="s">
        <v>52</v>
      </c>
      <c r="Z955" s="19" t="s">
        <v>52</v>
      </c>
      <c r="AA955" s="19" t="s">
        <v>52</v>
      </c>
      <c r="AB955" s="28"/>
    </row>
    <row r="956" spans="1:33" s="29" customFormat="1" ht="15" customHeight="1" x14ac:dyDescent="0.25">
      <c r="A956" s="14">
        <v>24</v>
      </c>
      <c r="B956" s="15">
        <v>45959</v>
      </c>
      <c r="C956" s="15">
        <f>B956+8</f>
        <v>45967</v>
      </c>
      <c r="D956" s="14">
        <v>13694</v>
      </c>
      <c r="E956" s="16" t="s">
        <v>892</v>
      </c>
      <c r="F956" s="17" t="s">
        <v>893</v>
      </c>
      <c r="G956" s="17" t="s">
        <v>102</v>
      </c>
      <c r="H956" s="18" t="s">
        <v>57</v>
      </c>
      <c r="I956" s="19" t="s">
        <v>64</v>
      </c>
      <c r="J956" s="20">
        <v>45933</v>
      </c>
      <c r="K956" s="20">
        <v>45964</v>
      </c>
      <c r="L956" s="21">
        <v>1000000</v>
      </c>
      <c r="M956" s="22">
        <f>SUM(N956:O956)</f>
        <v>586000</v>
      </c>
      <c r="N956" s="23">
        <v>0</v>
      </c>
      <c r="O956" s="23">
        <v>586000</v>
      </c>
      <c r="P956" s="24">
        <f>L956-N956</f>
        <v>1000000</v>
      </c>
      <c r="Q956" s="25">
        <v>586000</v>
      </c>
      <c r="R956" s="26">
        <v>50000</v>
      </c>
      <c r="S956" s="91">
        <f t="shared" si="896"/>
        <v>20</v>
      </c>
      <c r="T956" s="91">
        <f t="shared" si="897"/>
        <v>11.72</v>
      </c>
      <c r="U956" s="27" t="s">
        <v>192</v>
      </c>
      <c r="V956" s="19" t="s">
        <v>51</v>
      </c>
      <c r="W956" s="20">
        <v>45945</v>
      </c>
      <c r="X956" s="22"/>
      <c r="Y956" s="19" t="s">
        <v>52</v>
      </c>
      <c r="Z956" s="19" t="s">
        <v>52</v>
      </c>
      <c r="AA956" s="19" t="s">
        <v>52</v>
      </c>
      <c r="AB956" s="28"/>
    </row>
    <row r="957" spans="1:33" s="29" customFormat="1" ht="15" customHeight="1" x14ac:dyDescent="0.25">
      <c r="A957" s="14">
        <v>3</v>
      </c>
      <c r="B957" s="15">
        <v>45959</v>
      </c>
      <c r="C957" s="15">
        <f>B957+8</f>
        <v>45967</v>
      </c>
      <c r="D957" s="14">
        <v>13700</v>
      </c>
      <c r="E957" s="16" t="s">
        <v>808</v>
      </c>
      <c r="F957" s="40" t="s">
        <v>657</v>
      </c>
      <c r="G957" s="17" t="s">
        <v>75</v>
      </c>
      <c r="H957" s="18" t="s">
        <v>57</v>
      </c>
      <c r="I957" s="19" t="s">
        <v>94</v>
      </c>
      <c r="J957" s="20">
        <v>45933</v>
      </c>
      <c r="K957" s="20">
        <v>45960</v>
      </c>
      <c r="L957" s="21">
        <v>1000000</v>
      </c>
      <c r="M957" s="22">
        <f>SUM(N957:O957)</f>
        <v>845000</v>
      </c>
      <c r="N957" s="23">
        <v>750000</v>
      </c>
      <c r="O957" s="23">
        <v>95000</v>
      </c>
      <c r="P957" s="24">
        <f>L957-N957</f>
        <v>250000</v>
      </c>
      <c r="Q957" s="25">
        <v>95000</v>
      </c>
      <c r="R957" s="26">
        <v>100000</v>
      </c>
      <c r="S957" s="91">
        <f t="shared" si="896"/>
        <v>2.5</v>
      </c>
      <c r="T957" s="91">
        <f t="shared" si="897"/>
        <v>0.95</v>
      </c>
      <c r="U957" s="27" t="s">
        <v>192</v>
      </c>
      <c r="V957" s="19" t="s">
        <v>51</v>
      </c>
      <c r="W957" s="20">
        <v>45947</v>
      </c>
      <c r="X957" s="22"/>
      <c r="Y957" s="19" t="s">
        <v>52</v>
      </c>
      <c r="Z957" s="19" t="s">
        <v>52</v>
      </c>
      <c r="AA957" s="19" t="s">
        <v>52</v>
      </c>
      <c r="AB957" s="28"/>
    </row>
    <row r="958" spans="1:33" s="29" customFormat="1" ht="15" customHeight="1" x14ac:dyDescent="0.25">
      <c r="A958" s="14">
        <v>8</v>
      </c>
      <c r="B958" s="15">
        <v>45959</v>
      </c>
      <c r="C958" s="15">
        <f t="shared" ref="C958" si="899">B958+8</f>
        <v>45967</v>
      </c>
      <c r="D958" s="14">
        <v>13592</v>
      </c>
      <c r="E958" s="16" t="s">
        <v>137</v>
      </c>
      <c r="F958" s="17" t="s">
        <v>138</v>
      </c>
      <c r="G958" s="17" t="s">
        <v>132</v>
      </c>
      <c r="H958" s="18" t="s">
        <v>775</v>
      </c>
      <c r="I958" s="19" t="s">
        <v>135</v>
      </c>
      <c r="J958" s="20">
        <v>45911</v>
      </c>
      <c r="K958" s="20">
        <v>45959</v>
      </c>
      <c r="L958" s="21">
        <v>30000</v>
      </c>
      <c r="M958" s="22">
        <f>SUM(N958:O958)</f>
        <v>20640</v>
      </c>
      <c r="N958" s="23">
        <v>0</v>
      </c>
      <c r="O958" s="23">
        <v>20640</v>
      </c>
      <c r="P958" s="24">
        <f>L958-N958</f>
        <v>30000</v>
      </c>
      <c r="Q958" s="25">
        <v>20630</v>
      </c>
      <c r="R958" s="26">
        <v>69948</v>
      </c>
      <c r="S958" s="91">
        <f t="shared" si="896"/>
        <v>0.42889003259564246</v>
      </c>
      <c r="T958" s="91">
        <f t="shared" si="897"/>
        <v>0.2949333790816035</v>
      </c>
      <c r="U958" s="27" t="s">
        <v>56</v>
      </c>
      <c r="V958" s="30" t="s">
        <v>59</v>
      </c>
      <c r="W958" s="31">
        <v>45953</v>
      </c>
      <c r="X958" s="22"/>
      <c r="Y958" s="19" t="s">
        <v>52</v>
      </c>
      <c r="Z958" s="19" t="s">
        <v>52</v>
      </c>
      <c r="AA958" s="19" t="s">
        <v>52</v>
      </c>
      <c r="AB958" s="28"/>
    </row>
    <row r="959" spans="1:33" s="29" customFormat="1" ht="15" customHeight="1" x14ac:dyDescent="0.25">
      <c r="A959" s="14">
        <v>26</v>
      </c>
      <c r="B959" s="15">
        <v>45959</v>
      </c>
      <c r="C959" s="15">
        <f>B959+8</f>
        <v>45967</v>
      </c>
      <c r="D959" s="14">
        <v>13703</v>
      </c>
      <c r="E959" s="16" t="s">
        <v>218</v>
      </c>
      <c r="F959" s="17" t="s">
        <v>219</v>
      </c>
      <c r="G959" s="17" t="s">
        <v>102</v>
      </c>
      <c r="H959" s="18" t="s">
        <v>542</v>
      </c>
      <c r="I959" s="19" t="s">
        <v>104</v>
      </c>
      <c r="J959" s="20">
        <v>45933</v>
      </c>
      <c r="K959" s="20">
        <v>45964</v>
      </c>
      <c r="L959" s="21">
        <v>200000</v>
      </c>
      <c r="M959" s="22">
        <f t="shared" ref="M959" si="900">SUM(N959:O959)</f>
        <v>171000</v>
      </c>
      <c r="N959" s="23">
        <v>0</v>
      </c>
      <c r="O959" s="23">
        <v>171000</v>
      </c>
      <c r="P959" s="24">
        <f t="shared" ref="P959" si="901">L959-N959</f>
        <v>200000</v>
      </c>
      <c r="Q959" s="25">
        <v>50000</v>
      </c>
      <c r="R959" s="26">
        <v>50000</v>
      </c>
      <c r="S959" s="91">
        <f t="shared" si="896"/>
        <v>4</v>
      </c>
      <c r="T959" s="91">
        <f t="shared" si="897"/>
        <v>1</v>
      </c>
      <c r="U959" s="27" t="s">
        <v>193</v>
      </c>
      <c r="V959" s="19" t="s">
        <v>51</v>
      </c>
      <c r="W959" s="20">
        <v>45945</v>
      </c>
      <c r="X959" s="22"/>
      <c r="Y959" s="19" t="s">
        <v>52</v>
      </c>
      <c r="Z959" s="19" t="s">
        <v>52</v>
      </c>
      <c r="AA959" s="19" t="s">
        <v>52</v>
      </c>
      <c r="AB959" s="28"/>
    </row>
    <row r="960" spans="1:33" ht="15" customHeight="1" x14ac:dyDescent="0.25">
      <c r="A960" s="33" t="s">
        <v>71</v>
      </c>
      <c r="B960" s="34"/>
      <c r="C960" s="34"/>
      <c r="D960" s="34"/>
      <c r="E960" s="34"/>
      <c r="F960" s="35"/>
      <c r="G960" s="35"/>
      <c r="H960" s="34"/>
      <c r="I960" s="34"/>
      <c r="J960" s="34"/>
      <c r="K960" s="34"/>
      <c r="L960" s="36"/>
      <c r="M960" s="36"/>
      <c r="N960" s="36"/>
      <c r="O960" s="36"/>
      <c r="P960" s="36"/>
      <c r="Q960" s="36">
        <f>SUM(Q954:Q959)</f>
        <v>1050630</v>
      </c>
      <c r="R960" s="36"/>
      <c r="S960" s="92"/>
      <c r="T960" s="93">
        <f>SUM(T954:T959)</f>
        <v>18.503980998129222</v>
      </c>
      <c r="U960" s="37"/>
      <c r="V960" s="38"/>
      <c r="W960" s="38"/>
      <c r="X960" s="38"/>
      <c r="Y960" s="34"/>
      <c r="Z960" s="34"/>
      <c r="AA960" s="39"/>
      <c r="AB960" s="29" t="s">
        <v>937</v>
      </c>
      <c r="AC960" s="81" t="s">
        <v>1092</v>
      </c>
      <c r="AD960" s="83">
        <v>4375</v>
      </c>
      <c r="AF960" s="83">
        <v>0</v>
      </c>
      <c r="AG960" s="83">
        <f>SUM(AD960,AF960)</f>
        <v>4375</v>
      </c>
    </row>
    <row r="961" spans="1:33" s="29" customFormat="1" ht="15" customHeight="1" x14ac:dyDescent="0.25">
      <c r="A961" s="14">
        <v>35</v>
      </c>
      <c r="B961" s="15">
        <v>45961</v>
      </c>
      <c r="C961" s="15">
        <f>B961+8</f>
        <v>45969</v>
      </c>
      <c r="D961" s="14">
        <v>13759</v>
      </c>
      <c r="E961" s="16" t="s">
        <v>287</v>
      </c>
      <c r="F961" s="17" t="s">
        <v>288</v>
      </c>
      <c r="G961" s="17" t="s">
        <v>102</v>
      </c>
      <c r="H961" s="18" t="s">
        <v>784</v>
      </c>
      <c r="I961" s="19" t="s">
        <v>63</v>
      </c>
      <c r="J961" s="20">
        <v>45944</v>
      </c>
      <c r="K961" s="20">
        <v>45971</v>
      </c>
      <c r="L961" s="21">
        <v>1000000</v>
      </c>
      <c r="M961" s="22">
        <f t="shared" ref="M961:M966" si="902">SUM(N961:O961)</f>
        <v>168000</v>
      </c>
      <c r="N961" s="23">
        <v>0</v>
      </c>
      <c r="O961" s="23">
        <v>168000</v>
      </c>
      <c r="P961" s="24">
        <f>L961-N961</f>
        <v>1000000</v>
      </c>
      <c r="Q961" s="25">
        <v>168000</v>
      </c>
      <c r="R961" s="26">
        <v>84000</v>
      </c>
      <c r="S961" s="91">
        <f t="shared" ref="S961:S967" si="903">IF(P961&gt;0,P961/$R961,0)</f>
        <v>11.904761904761905</v>
      </c>
      <c r="T961" s="91">
        <f t="shared" ref="T961:T967" si="904">IF(Q961&gt;0,Q961/$R961,0)</f>
        <v>2</v>
      </c>
      <c r="U961" s="27" t="s">
        <v>192</v>
      </c>
      <c r="V961" s="19" t="s">
        <v>51</v>
      </c>
      <c r="W961" s="20">
        <v>45957</v>
      </c>
      <c r="X961" s="22"/>
      <c r="Y961" s="19" t="s">
        <v>52</v>
      </c>
      <c r="Z961" s="19" t="s">
        <v>52</v>
      </c>
      <c r="AA961" s="19" t="s">
        <v>52</v>
      </c>
      <c r="AB961" s="28"/>
    </row>
    <row r="962" spans="1:33" s="29" customFormat="1" ht="15" customHeight="1" x14ac:dyDescent="0.25">
      <c r="A962" s="14">
        <v>4</v>
      </c>
      <c r="B962" s="15">
        <v>45961</v>
      </c>
      <c r="C962" s="15">
        <f>B962+8</f>
        <v>45969</v>
      </c>
      <c r="D962" s="14">
        <v>13801</v>
      </c>
      <c r="E962" s="16" t="s">
        <v>808</v>
      </c>
      <c r="F962" s="40" t="s">
        <v>657</v>
      </c>
      <c r="G962" s="17" t="s">
        <v>75</v>
      </c>
      <c r="H962" s="18" t="s">
        <v>57</v>
      </c>
      <c r="I962" s="19" t="s">
        <v>94</v>
      </c>
      <c r="J962" s="20">
        <v>45947</v>
      </c>
      <c r="K962" s="20">
        <v>45968</v>
      </c>
      <c r="L962" s="21">
        <v>1500000</v>
      </c>
      <c r="M962" s="22">
        <f t="shared" si="902"/>
        <v>150000</v>
      </c>
      <c r="N962" s="23">
        <v>0</v>
      </c>
      <c r="O962" s="23">
        <v>150000</v>
      </c>
      <c r="P962" s="24">
        <f>L962-N962</f>
        <v>1500000</v>
      </c>
      <c r="Q962" s="25">
        <v>150000</v>
      </c>
      <c r="R962" s="26">
        <v>100000</v>
      </c>
      <c r="S962" s="91">
        <f t="shared" si="903"/>
        <v>15</v>
      </c>
      <c r="T962" s="91">
        <f t="shared" si="904"/>
        <v>1.5</v>
      </c>
      <c r="U962" s="27" t="s">
        <v>192</v>
      </c>
      <c r="V962" s="19" t="s">
        <v>51</v>
      </c>
      <c r="W962" s="20">
        <v>45953</v>
      </c>
      <c r="X962" s="22"/>
      <c r="Y962" s="19" t="s">
        <v>52</v>
      </c>
      <c r="Z962" s="19" t="s">
        <v>52</v>
      </c>
      <c r="AA962" s="19" t="s">
        <v>52</v>
      </c>
      <c r="AB962" s="28"/>
    </row>
    <row r="963" spans="1:33" s="29" customFormat="1" ht="15" customHeight="1" x14ac:dyDescent="0.25">
      <c r="A963" s="14">
        <v>5</v>
      </c>
      <c r="B963" s="15">
        <v>45961</v>
      </c>
      <c r="C963" s="15">
        <f t="shared" ref="C963" si="905">B963+8</f>
        <v>45969</v>
      </c>
      <c r="D963" s="14">
        <v>13446</v>
      </c>
      <c r="E963" s="16" t="s">
        <v>387</v>
      </c>
      <c r="F963" s="40" t="s">
        <v>388</v>
      </c>
      <c r="G963" s="17" t="s">
        <v>75</v>
      </c>
      <c r="H963" s="18" t="s">
        <v>542</v>
      </c>
      <c r="I963" s="19" t="s">
        <v>70</v>
      </c>
      <c r="J963" s="20">
        <v>45887</v>
      </c>
      <c r="K963" s="20">
        <v>45968</v>
      </c>
      <c r="L963" s="21">
        <v>750000</v>
      </c>
      <c r="M963" s="22">
        <f t="shared" si="902"/>
        <v>600000</v>
      </c>
      <c r="N963" s="23">
        <v>0</v>
      </c>
      <c r="O963" s="23">
        <v>600000</v>
      </c>
      <c r="P963" s="24">
        <f>L963-N963</f>
        <v>750000</v>
      </c>
      <c r="Q963" s="25">
        <v>600000</v>
      </c>
      <c r="R963" s="26">
        <v>150000</v>
      </c>
      <c r="S963" s="91">
        <f t="shared" si="903"/>
        <v>5</v>
      </c>
      <c r="T963" s="91">
        <f t="shared" si="904"/>
        <v>4</v>
      </c>
      <c r="U963" s="27" t="s">
        <v>254</v>
      </c>
      <c r="V963" s="30" t="s">
        <v>59</v>
      </c>
      <c r="W963" s="31">
        <v>45953</v>
      </c>
      <c r="X963" s="22"/>
      <c r="Y963" s="19" t="s">
        <v>52</v>
      </c>
      <c r="Z963" s="19" t="s">
        <v>52</v>
      </c>
      <c r="AA963" s="19" t="s">
        <v>52</v>
      </c>
      <c r="AB963" s="28"/>
    </row>
    <row r="964" spans="1:33" s="29" customFormat="1" ht="15" customHeight="1" x14ac:dyDescent="0.25">
      <c r="A964" s="14">
        <v>7</v>
      </c>
      <c r="B964" s="15">
        <v>45961</v>
      </c>
      <c r="C964" s="15">
        <f>B964+8</f>
        <v>45969</v>
      </c>
      <c r="D964" s="14">
        <v>13765</v>
      </c>
      <c r="E964" s="16" t="s">
        <v>341</v>
      </c>
      <c r="F964" s="40" t="s">
        <v>348</v>
      </c>
      <c r="G964" s="17" t="s">
        <v>75</v>
      </c>
      <c r="H964" s="18" t="s">
        <v>542</v>
      </c>
      <c r="I964" s="19" t="s">
        <v>70</v>
      </c>
      <c r="J964" s="20">
        <v>45944</v>
      </c>
      <c r="K964" s="20">
        <v>45972</v>
      </c>
      <c r="L964" s="21">
        <v>1500000</v>
      </c>
      <c r="M964" s="22">
        <f t="shared" si="902"/>
        <v>1002000</v>
      </c>
      <c r="N964" s="23">
        <v>300000</v>
      </c>
      <c r="O964" s="23">
        <v>702000</v>
      </c>
      <c r="P964" s="24">
        <f>L964-N964</f>
        <v>1200000</v>
      </c>
      <c r="Q964" s="25">
        <v>750000</v>
      </c>
      <c r="R964" s="26">
        <v>150000</v>
      </c>
      <c r="S964" s="91">
        <f t="shared" si="903"/>
        <v>8</v>
      </c>
      <c r="T964" s="91">
        <f t="shared" si="904"/>
        <v>5</v>
      </c>
      <c r="U964" s="27" t="s">
        <v>254</v>
      </c>
      <c r="V964" s="30" t="s">
        <v>59</v>
      </c>
      <c r="W964" s="31">
        <v>45957</v>
      </c>
      <c r="X964" s="22"/>
      <c r="Y964" s="19" t="s">
        <v>52</v>
      </c>
      <c r="Z964" s="19" t="s">
        <v>52</v>
      </c>
      <c r="AA964" s="19" t="s">
        <v>52</v>
      </c>
      <c r="AB964" s="28"/>
    </row>
    <row r="965" spans="1:33" s="29" customFormat="1" ht="15" customHeight="1" x14ac:dyDescent="0.25">
      <c r="A965" s="14">
        <v>7</v>
      </c>
      <c r="B965" s="15">
        <v>45961</v>
      </c>
      <c r="C965" s="15">
        <f>B965+8</f>
        <v>45969</v>
      </c>
      <c r="D965" s="14">
        <v>12249</v>
      </c>
      <c r="E965" s="16" t="s">
        <v>428</v>
      </c>
      <c r="F965" s="17" t="s">
        <v>429</v>
      </c>
      <c r="G965" s="17" t="s">
        <v>47</v>
      </c>
      <c r="H965" s="18" t="s">
        <v>542</v>
      </c>
      <c r="I965" s="19" t="s">
        <v>70</v>
      </c>
      <c r="J965" s="20">
        <v>45642</v>
      </c>
      <c r="K965" s="20">
        <v>45670</v>
      </c>
      <c r="L965" s="21">
        <v>1000000</v>
      </c>
      <c r="M965" s="22">
        <f t="shared" si="902"/>
        <v>805000</v>
      </c>
      <c r="N965" s="23">
        <v>546000</v>
      </c>
      <c r="O965" s="23">
        <v>259000</v>
      </c>
      <c r="P965" s="24">
        <f t="shared" ref="P965" si="906">L965-N965</f>
        <v>454000</v>
      </c>
      <c r="Q965" s="25">
        <v>209000</v>
      </c>
      <c r="R965" s="26">
        <v>50000</v>
      </c>
      <c r="S965" s="91">
        <f t="shared" si="903"/>
        <v>9.08</v>
      </c>
      <c r="T965" s="91">
        <f t="shared" si="904"/>
        <v>4.18</v>
      </c>
      <c r="U965" s="27" t="s">
        <v>254</v>
      </c>
      <c r="V965" s="19" t="s">
        <v>51</v>
      </c>
      <c r="W965" s="20">
        <v>45690</v>
      </c>
      <c r="X965" s="22"/>
      <c r="Y965" s="19" t="s">
        <v>52</v>
      </c>
      <c r="Z965" s="19" t="s">
        <v>52</v>
      </c>
      <c r="AA965" s="19" t="s">
        <v>52</v>
      </c>
      <c r="AB965" s="42"/>
    </row>
    <row r="966" spans="1:33" s="29" customFormat="1" ht="15" customHeight="1" x14ac:dyDescent="0.25">
      <c r="A966" s="14">
        <v>10</v>
      </c>
      <c r="B966" s="15">
        <v>45961</v>
      </c>
      <c r="C966" s="15">
        <f>B966+8</f>
        <v>45969</v>
      </c>
      <c r="D966" s="14">
        <v>13747</v>
      </c>
      <c r="E966" s="16" t="s">
        <v>445</v>
      </c>
      <c r="F966" s="40" t="s">
        <v>446</v>
      </c>
      <c r="G966" s="17" t="s">
        <v>75</v>
      </c>
      <c r="H966" s="18" t="s">
        <v>78</v>
      </c>
      <c r="I966" s="19" t="s">
        <v>79</v>
      </c>
      <c r="J966" s="20">
        <v>45940</v>
      </c>
      <c r="K966" s="20">
        <v>45982</v>
      </c>
      <c r="L966" s="21">
        <v>100000</v>
      </c>
      <c r="M966" s="22">
        <f t="shared" si="902"/>
        <v>114000</v>
      </c>
      <c r="N966" s="23">
        <v>0</v>
      </c>
      <c r="O966" s="23">
        <v>114000</v>
      </c>
      <c r="P966" s="24">
        <f>L966-N966</f>
        <v>100000</v>
      </c>
      <c r="Q966" s="25">
        <v>114000</v>
      </c>
      <c r="R966" s="26">
        <v>126000</v>
      </c>
      <c r="S966" s="91">
        <f t="shared" si="903"/>
        <v>0.79365079365079361</v>
      </c>
      <c r="T966" s="91">
        <f t="shared" si="904"/>
        <v>0.90476190476190477</v>
      </c>
      <c r="U966" s="27" t="s">
        <v>56</v>
      </c>
      <c r="V966" s="19" t="s">
        <v>51</v>
      </c>
      <c r="W966" s="20">
        <v>45955</v>
      </c>
      <c r="X966" s="22"/>
      <c r="Y966" s="19" t="s">
        <v>52</v>
      </c>
      <c r="Z966" s="19" t="s">
        <v>52</v>
      </c>
      <c r="AA966" s="19" t="s">
        <v>52</v>
      </c>
      <c r="AB966" s="28"/>
    </row>
    <row r="967" spans="1:33" s="29" customFormat="1" ht="15" customHeight="1" x14ac:dyDescent="0.25">
      <c r="A967" s="14">
        <v>6</v>
      </c>
      <c r="B967" s="15">
        <v>45961</v>
      </c>
      <c r="C967" s="15">
        <f t="shared" ref="C967" si="907">B967+8</f>
        <v>45969</v>
      </c>
      <c r="D967" s="14">
        <v>13720</v>
      </c>
      <c r="E967" s="16" t="s">
        <v>255</v>
      </c>
      <c r="F967" s="17" t="s">
        <v>256</v>
      </c>
      <c r="G967" s="17" t="s">
        <v>132</v>
      </c>
      <c r="H967" s="18" t="s">
        <v>775</v>
      </c>
      <c r="I967" s="19" t="s">
        <v>135</v>
      </c>
      <c r="J967" s="20">
        <v>45938</v>
      </c>
      <c r="K967" s="20">
        <v>45980</v>
      </c>
      <c r="L967" s="21">
        <v>30000</v>
      </c>
      <c r="M967" s="22">
        <f t="shared" ref="M967" si="908">SUM(N967:O967)</f>
        <v>41070</v>
      </c>
      <c r="N967" s="23">
        <v>0</v>
      </c>
      <c r="O967" s="23">
        <v>41070</v>
      </c>
      <c r="P967" s="24">
        <f>L967-N967</f>
        <v>30000</v>
      </c>
      <c r="Q967" s="25">
        <v>41070</v>
      </c>
      <c r="R967" s="26">
        <v>57330</v>
      </c>
      <c r="S967" s="91">
        <f t="shared" si="903"/>
        <v>0.52328623757195181</v>
      </c>
      <c r="T967" s="91">
        <f t="shared" si="904"/>
        <v>0.71637885923600209</v>
      </c>
      <c r="U967" s="27" t="s">
        <v>56</v>
      </c>
      <c r="V967" s="30" t="s">
        <v>59</v>
      </c>
      <c r="W967" s="31">
        <v>45961</v>
      </c>
      <c r="X967" s="22"/>
      <c r="Y967" s="19" t="s">
        <v>52</v>
      </c>
      <c r="Z967" s="19" t="s">
        <v>52</v>
      </c>
      <c r="AA967" s="19" t="s">
        <v>52</v>
      </c>
      <c r="AB967" s="28"/>
    </row>
    <row r="968" spans="1:33" ht="15" customHeight="1" x14ac:dyDescent="0.25">
      <c r="A968" s="33" t="s">
        <v>71</v>
      </c>
      <c r="B968" s="34"/>
      <c r="C968" s="34"/>
      <c r="D968" s="34"/>
      <c r="E968" s="34"/>
      <c r="F968" s="35"/>
      <c r="G968" s="35"/>
      <c r="H968" s="34"/>
      <c r="I968" s="34"/>
      <c r="J968" s="34"/>
      <c r="K968" s="34"/>
      <c r="L968" s="36"/>
      <c r="M968" s="36"/>
      <c r="N968" s="36"/>
      <c r="O968" s="36"/>
      <c r="P968" s="36"/>
      <c r="Q968" s="36">
        <f>SUM(Q961:Q967)</f>
        <v>2032070</v>
      </c>
      <c r="R968" s="36"/>
      <c r="S968" s="92"/>
      <c r="T968" s="93">
        <f>SUM(T961:T967)</f>
        <v>18.301140763997907</v>
      </c>
      <c r="U968" s="37"/>
      <c r="V968" s="38"/>
      <c r="W968" s="38"/>
      <c r="X968" s="38"/>
      <c r="Y968" s="34"/>
      <c r="Z968" s="34"/>
      <c r="AA968" s="39"/>
      <c r="AB968" s="29" t="s">
        <v>939</v>
      </c>
      <c r="AC968" s="81" t="s">
        <v>962</v>
      </c>
      <c r="AD968" s="83">
        <v>4166.67</v>
      </c>
      <c r="AF968" s="83">
        <v>0</v>
      </c>
      <c r="AG968" s="83">
        <f>SUM(AD968,AF968)</f>
        <v>4166.67</v>
      </c>
    </row>
    <row r="969" spans="1:33" s="29" customFormat="1" ht="15" customHeight="1" x14ac:dyDescent="0.25">
      <c r="A969" s="14">
        <v>35</v>
      </c>
      <c r="B969" s="15">
        <v>45961</v>
      </c>
      <c r="C969" s="15">
        <f>B969+8</f>
        <v>45969</v>
      </c>
      <c r="D969" s="14">
        <v>13759</v>
      </c>
      <c r="E969" s="16" t="s">
        <v>287</v>
      </c>
      <c r="F969" s="17" t="s">
        <v>288</v>
      </c>
      <c r="G969" s="17" t="s">
        <v>102</v>
      </c>
      <c r="H969" s="18" t="s">
        <v>784</v>
      </c>
      <c r="I969" s="19" t="s">
        <v>63</v>
      </c>
      <c r="J969" s="20">
        <v>45944</v>
      </c>
      <c r="K969" s="20">
        <v>45971</v>
      </c>
      <c r="L969" s="21">
        <v>1000000</v>
      </c>
      <c r="M969" s="22">
        <f>SUM(N969:O969)</f>
        <v>840000</v>
      </c>
      <c r="N969" s="23">
        <v>0</v>
      </c>
      <c r="O969" s="23">
        <v>840000</v>
      </c>
      <c r="P969" s="24">
        <f>L969-N969</f>
        <v>1000000</v>
      </c>
      <c r="Q969" s="25">
        <v>672000</v>
      </c>
      <c r="R969" s="26">
        <v>84000</v>
      </c>
      <c r="S969" s="91">
        <f t="shared" ref="S969:S974" si="909">IF(P969&gt;0,P969/$R969,0)</f>
        <v>11.904761904761905</v>
      </c>
      <c r="T969" s="91">
        <f t="shared" ref="T969:T974" si="910">IF(Q969&gt;0,Q969/$R969,0)</f>
        <v>8</v>
      </c>
      <c r="U969" s="27" t="s">
        <v>192</v>
      </c>
      <c r="V969" s="19" t="s">
        <v>51</v>
      </c>
      <c r="W969" s="20">
        <v>45957</v>
      </c>
      <c r="X969" s="22"/>
      <c r="Y969" s="19" t="s">
        <v>52</v>
      </c>
      <c r="Z969" s="19" t="s">
        <v>52</v>
      </c>
      <c r="AA969" s="19" t="s">
        <v>52</v>
      </c>
      <c r="AB969" s="28"/>
    </row>
    <row r="970" spans="1:33" s="29" customFormat="1" ht="15" customHeight="1" x14ac:dyDescent="0.25">
      <c r="A970" s="14">
        <v>4</v>
      </c>
      <c r="B970" s="15">
        <v>45961</v>
      </c>
      <c r="C970" s="15">
        <f>B970+8</f>
        <v>45969</v>
      </c>
      <c r="D970" s="14">
        <v>13801</v>
      </c>
      <c r="E970" s="16" t="s">
        <v>808</v>
      </c>
      <c r="F970" s="40" t="s">
        <v>657</v>
      </c>
      <c r="G970" s="17" t="s">
        <v>75</v>
      </c>
      <c r="H970" s="18" t="s">
        <v>57</v>
      </c>
      <c r="I970" s="19" t="s">
        <v>94</v>
      </c>
      <c r="J970" s="20">
        <v>45947</v>
      </c>
      <c r="K970" s="20">
        <v>45968</v>
      </c>
      <c r="L970" s="21">
        <v>1500000</v>
      </c>
      <c r="M970" s="22">
        <f>SUM(N970:O970)</f>
        <v>300000</v>
      </c>
      <c r="N970" s="23">
        <v>0</v>
      </c>
      <c r="O970" s="23">
        <v>300000</v>
      </c>
      <c r="P970" s="24">
        <f>L970-N970</f>
        <v>1500000</v>
      </c>
      <c r="Q970" s="25">
        <v>450000</v>
      </c>
      <c r="R970" s="26">
        <v>100000</v>
      </c>
      <c r="S970" s="91">
        <f t="shared" si="909"/>
        <v>15</v>
      </c>
      <c r="T970" s="91">
        <f t="shared" si="910"/>
        <v>4.5</v>
      </c>
      <c r="U970" s="27" t="s">
        <v>192</v>
      </c>
      <c r="V970" s="19" t="s">
        <v>51</v>
      </c>
      <c r="W970" s="20">
        <v>45953</v>
      </c>
      <c r="X970" s="22"/>
      <c r="Y970" s="19" t="s">
        <v>52</v>
      </c>
      <c r="Z970" s="19" t="s">
        <v>52</v>
      </c>
      <c r="AA970" s="19" t="s">
        <v>52</v>
      </c>
      <c r="AB970" s="28"/>
    </row>
    <row r="971" spans="1:33" s="29" customFormat="1" ht="15" customHeight="1" x14ac:dyDescent="0.25">
      <c r="A971" s="14">
        <v>3</v>
      </c>
      <c r="B971" s="15">
        <v>45961</v>
      </c>
      <c r="C971" s="15">
        <f t="shared" ref="C971:C974" si="911">B971+8</f>
        <v>45969</v>
      </c>
      <c r="D971" s="14">
        <v>13446</v>
      </c>
      <c r="E971" s="16" t="s">
        <v>387</v>
      </c>
      <c r="F971" s="40" t="s">
        <v>388</v>
      </c>
      <c r="G971" s="17" t="s">
        <v>75</v>
      </c>
      <c r="H971" s="18" t="s">
        <v>542</v>
      </c>
      <c r="I971" s="19" t="s">
        <v>70</v>
      </c>
      <c r="J971" s="20">
        <v>45887</v>
      </c>
      <c r="K971" s="20">
        <v>45968</v>
      </c>
      <c r="L971" s="21">
        <v>750000</v>
      </c>
      <c r="M971" s="22">
        <f t="shared" ref="M971:M974" si="912">SUM(N971:O971)</f>
        <v>684000</v>
      </c>
      <c r="N971" s="23">
        <v>600000</v>
      </c>
      <c r="O971" s="23">
        <v>84000</v>
      </c>
      <c r="P971" s="24">
        <f t="shared" ref="P971:P974" si="913">L971-N971</f>
        <v>150000</v>
      </c>
      <c r="Q971" s="25">
        <v>84000</v>
      </c>
      <c r="R971" s="26">
        <v>150000</v>
      </c>
      <c r="S971" s="91">
        <f t="shared" si="909"/>
        <v>1</v>
      </c>
      <c r="T971" s="91">
        <f t="shared" si="910"/>
        <v>0.56000000000000005</v>
      </c>
      <c r="U971" s="27" t="s">
        <v>254</v>
      </c>
      <c r="V971" s="19" t="s">
        <v>51</v>
      </c>
      <c r="W971" s="20">
        <v>45953</v>
      </c>
      <c r="X971" s="22"/>
      <c r="Y971" s="19" t="s">
        <v>52</v>
      </c>
      <c r="Z971" s="19" t="s">
        <v>52</v>
      </c>
      <c r="AA971" s="19" t="s">
        <v>52</v>
      </c>
      <c r="AB971" s="28"/>
    </row>
    <row r="972" spans="1:33" s="29" customFormat="1" ht="15" customHeight="1" x14ac:dyDescent="0.25">
      <c r="A972" s="14">
        <v>5</v>
      </c>
      <c r="B972" s="15">
        <v>45961</v>
      </c>
      <c r="C972" s="15">
        <f>B972+8</f>
        <v>45969</v>
      </c>
      <c r="D972" s="14">
        <v>13765</v>
      </c>
      <c r="E972" s="16" t="s">
        <v>341</v>
      </c>
      <c r="F972" s="40" t="s">
        <v>348</v>
      </c>
      <c r="G972" s="17" t="s">
        <v>75</v>
      </c>
      <c r="H972" s="18" t="s">
        <v>542</v>
      </c>
      <c r="I972" s="19" t="s">
        <v>70</v>
      </c>
      <c r="J972" s="20">
        <v>45944</v>
      </c>
      <c r="K972" s="20">
        <v>45972</v>
      </c>
      <c r="L972" s="21">
        <v>1500000</v>
      </c>
      <c r="M972" s="22">
        <f t="shared" si="912"/>
        <v>1002000</v>
      </c>
      <c r="N972" s="23">
        <v>300000</v>
      </c>
      <c r="O972" s="23">
        <v>702000</v>
      </c>
      <c r="P972" s="24">
        <f>L972-N972</f>
        <v>1200000</v>
      </c>
      <c r="Q972" s="25">
        <v>300000</v>
      </c>
      <c r="R972" s="26">
        <v>150000</v>
      </c>
      <c r="S972" s="91">
        <f t="shared" si="909"/>
        <v>8</v>
      </c>
      <c r="T972" s="91">
        <f t="shared" si="910"/>
        <v>2</v>
      </c>
      <c r="U972" s="27" t="s">
        <v>254</v>
      </c>
      <c r="V972" s="19" t="s">
        <v>51</v>
      </c>
      <c r="W972" s="20">
        <v>45953</v>
      </c>
      <c r="X972" s="22"/>
      <c r="Y972" s="19" t="s">
        <v>52</v>
      </c>
      <c r="Z972" s="19" t="s">
        <v>52</v>
      </c>
      <c r="AA972" s="19" t="s">
        <v>52</v>
      </c>
      <c r="AB972" s="28"/>
    </row>
    <row r="973" spans="1:33" s="29" customFormat="1" ht="15" customHeight="1" x14ac:dyDescent="0.25">
      <c r="A973" s="14">
        <v>6</v>
      </c>
      <c r="B973" s="15">
        <v>45961</v>
      </c>
      <c r="C973" s="15">
        <f t="shared" ref="C973" si="914">B973+8</f>
        <v>45969</v>
      </c>
      <c r="D973" s="14">
        <v>13762</v>
      </c>
      <c r="E973" s="16" t="s">
        <v>385</v>
      </c>
      <c r="F973" s="40" t="s">
        <v>386</v>
      </c>
      <c r="G973" s="17" t="s">
        <v>75</v>
      </c>
      <c r="H973" s="18" t="s">
        <v>542</v>
      </c>
      <c r="I973" s="19" t="s">
        <v>70</v>
      </c>
      <c r="J973" s="20">
        <v>45944</v>
      </c>
      <c r="K973" s="20">
        <v>45972</v>
      </c>
      <c r="L973" s="21">
        <v>1000000</v>
      </c>
      <c r="M973" s="22">
        <f t="shared" si="912"/>
        <v>600000</v>
      </c>
      <c r="N973" s="23">
        <v>0</v>
      </c>
      <c r="O973" s="23">
        <v>600000</v>
      </c>
      <c r="P973" s="24">
        <f>L973-N973</f>
        <v>1000000</v>
      </c>
      <c r="Q973" s="25">
        <v>150000</v>
      </c>
      <c r="R973" s="26">
        <v>150000</v>
      </c>
      <c r="S973" s="91">
        <f t="shared" si="909"/>
        <v>6.666666666666667</v>
      </c>
      <c r="T973" s="91">
        <f t="shared" si="910"/>
        <v>1</v>
      </c>
      <c r="U973" s="27" t="s">
        <v>254</v>
      </c>
      <c r="V973" s="30" t="s">
        <v>59</v>
      </c>
      <c r="W973" s="31">
        <v>45959</v>
      </c>
      <c r="X973" s="22"/>
      <c r="Y973" s="19" t="s">
        <v>52</v>
      </c>
      <c r="Z973" s="19" t="s">
        <v>52</v>
      </c>
      <c r="AA973" s="19" t="s">
        <v>52</v>
      </c>
      <c r="AB973" s="28"/>
    </row>
    <row r="974" spans="1:33" s="29" customFormat="1" ht="15" customHeight="1" x14ac:dyDescent="0.25">
      <c r="A974" s="14">
        <v>7</v>
      </c>
      <c r="B974" s="15">
        <v>45961</v>
      </c>
      <c r="C974" s="15">
        <f t="shared" si="911"/>
        <v>45969</v>
      </c>
      <c r="D974" s="14">
        <v>13758</v>
      </c>
      <c r="E974" s="16" t="s">
        <v>89</v>
      </c>
      <c r="F974" s="40" t="s">
        <v>915</v>
      </c>
      <c r="G974" s="17" t="s">
        <v>75</v>
      </c>
      <c r="H974" s="18" t="s">
        <v>542</v>
      </c>
      <c r="I974" s="19" t="s">
        <v>70</v>
      </c>
      <c r="J974" s="20">
        <v>45944</v>
      </c>
      <c r="K974" s="20">
        <v>45972</v>
      </c>
      <c r="L974" s="21">
        <v>1000000</v>
      </c>
      <c r="M974" s="22">
        <f t="shared" si="912"/>
        <v>600000</v>
      </c>
      <c r="N974" s="23">
        <v>0</v>
      </c>
      <c r="O974" s="23">
        <v>600000</v>
      </c>
      <c r="P974" s="24">
        <f t="shared" si="913"/>
        <v>1000000</v>
      </c>
      <c r="Q974" s="25">
        <v>450000</v>
      </c>
      <c r="R974" s="26">
        <v>150000</v>
      </c>
      <c r="S974" s="91">
        <f t="shared" si="909"/>
        <v>6.666666666666667</v>
      </c>
      <c r="T974" s="91">
        <f t="shared" si="910"/>
        <v>3</v>
      </c>
      <c r="U974" s="27" t="s">
        <v>254</v>
      </c>
      <c r="V974" s="19" t="s">
        <v>51</v>
      </c>
      <c r="W974" s="20">
        <v>45955</v>
      </c>
      <c r="X974" s="22"/>
      <c r="Y974" s="19" t="s">
        <v>52</v>
      </c>
      <c r="Z974" s="19" t="s">
        <v>52</v>
      </c>
      <c r="AA974" s="19" t="s">
        <v>52</v>
      </c>
      <c r="AB974" s="28"/>
    </row>
    <row r="975" spans="1:33" ht="15" customHeight="1" x14ac:dyDescent="0.25">
      <c r="A975" s="33" t="s">
        <v>71</v>
      </c>
      <c r="B975" s="34"/>
      <c r="C975" s="34"/>
      <c r="D975" s="34"/>
      <c r="E975" s="34"/>
      <c r="F975" s="35"/>
      <c r="G975" s="35"/>
      <c r="H975" s="34"/>
      <c r="I975" s="34"/>
      <c r="J975" s="34"/>
      <c r="K975" s="34"/>
      <c r="L975" s="36"/>
      <c r="M975" s="36"/>
      <c r="N975" s="36"/>
      <c r="O975" s="36"/>
      <c r="P975" s="36"/>
      <c r="Q975" s="36">
        <f>SUM(Q969:Q974)</f>
        <v>2106000</v>
      </c>
      <c r="R975" s="36"/>
      <c r="S975" s="92"/>
      <c r="T975" s="93">
        <f>SUM(T969:T974)</f>
        <v>19.060000000000002</v>
      </c>
      <c r="U975" s="37"/>
      <c r="V975" s="38"/>
      <c r="W975" s="38"/>
      <c r="X975" s="38"/>
      <c r="Y975" s="34"/>
      <c r="Z975" s="34"/>
      <c r="AA975" s="39"/>
      <c r="AB975" s="29" t="s">
        <v>942</v>
      </c>
      <c r="AC975" s="81" t="s">
        <v>963</v>
      </c>
      <c r="AD975" s="83">
        <v>4166.67</v>
      </c>
      <c r="AF975" s="83">
        <v>0</v>
      </c>
      <c r="AG975" s="83">
        <f>SUM(AD975,AF975)</f>
        <v>4166.67</v>
      </c>
    </row>
    <row r="976" spans="1:33" s="29" customFormat="1" ht="15" customHeight="1" x14ac:dyDescent="0.25">
      <c r="A976" s="14">
        <v>2</v>
      </c>
      <c r="B976" s="15">
        <v>45966</v>
      </c>
      <c r="C976" s="15">
        <f>B976+8</f>
        <v>45974</v>
      </c>
      <c r="D976" s="14">
        <v>13679</v>
      </c>
      <c r="E976" s="16" t="s">
        <v>462</v>
      </c>
      <c r="F976" s="40" t="s">
        <v>463</v>
      </c>
      <c r="G976" s="17" t="s">
        <v>75</v>
      </c>
      <c r="H976" s="18" t="s">
        <v>542</v>
      </c>
      <c r="I976" s="19" t="s">
        <v>49</v>
      </c>
      <c r="J976" s="20">
        <v>45929</v>
      </c>
      <c r="K976" s="20">
        <v>45967</v>
      </c>
      <c r="L976" s="21">
        <v>150000</v>
      </c>
      <c r="M976" s="22">
        <f t="shared" ref="M976:M984" si="915">SUM(N976:O976)</f>
        <v>150000</v>
      </c>
      <c r="N976" s="23">
        <v>0</v>
      </c>
      <c r="O976" s="23">
        <v>150000</v>
      </c>
      <c r="P976" s="24">
        <f t="shared" ref="P976:P983" si="916">L976-N976</f>
        <v>150000</v>
      </c>
      <c r="Q976" s="25">
        <v>150000</v>
      </c>
      <c r="R976" s="26">
        <v>150000</v>
      </c>
      <c r="S976" s="91">
        <f t="shared" ref="S976:S983" si="917">IF(P976&gt;0,P976/$R976,0)</f>
        <v>1</v>
      </c>
      <c r="T976" s="91">
        <f t="shared" ref="T976:T983" si="918">IF(Q976&gt;0,Q976/$R976,0)</f>
        <v>1</v>
      </c>
      <c r="U976" s="27" t="s">
        <v>192</v>
      </c>
      <c r="V976" s="30" t="s">
        <v>59</v>
      </c>
      <c r="W976" s="31">
        <v>45959</v>
      </c>
      <c r="X976" s="22"/>
      <c r="Y976" s="19" t="s">
        <v>52</v>
      </c>
      <c r="Z976" s="19" t="s">
        <v>52</v>
      </c>
      <c r="AA976" s="19" t="s">
        <v>52</v>
      </c>
      <c r="AB976" s="28"/>
    </row>
    <row r="977" spans="1:33" s="29" customFormat="1" ht="15" customHeight="1" x14ac:dyDescent="0.25">
      <c r="A977" s="14">
        <v>35</v>
      </c>
      <c r="B977" s="15">
        <v>45966</v>
      </c>
      <c r="C977" s="15">
        <f>B977+8</f>
        <v>45974</v>
      </c>
      <c r="D977" s="14">
        <v>13759</v>
      </c>
      <c r="E977" s="16" t="s">
        <v>287</v>
      </c>
      <c r="F977" s="17" t="s">
        <v>288</v>
      </c>
      <c r="G977" s="17" t="s">
        <v>102</v>
      </c>
      <c r="H977" s="18" t="s">
        <v>784</v>
      </c>
      <c r="I977" s="19" t="s">
        <v>63</v>
      </c>
      <c r="J977" s="20">
        <v>45944</v>
      </c>
      <c r="K977" s="20">
        <v>45971</v>
      </c>
      <c r="L977" s="21">
        <v>1000000</v>
      </c>
      <c r="M977" s="22">
        <f t="shared" si="915"/>
        <v>1008000</v>
      </c>
      <c r="N977" s="23">
        <v>840000</v>
      </c>
      <c r="O977" s="23">
        <v>168000</v>
      </c>
      <c r="P977" s="24">
        <f t="shared" si="916"/>
        <v>160000</v>
      </c>
      <c r="Q977" s="25">
        <v>168000</v>
      </c>
      <c r="R977" s="26">
        <v>84000</v>
      </c>
      <c r="S977" s="91">
        <f t="shared" si="917"/>
        <v>1.9047619047619047</v>
      </c>
      <c r="T977" s="91">
        <f t="shared" si="918"/>
        <v>2</v>
      </c>
      <c r="U977" s="27" t="s">
        <v>192</v>
      </c>
      <c r="V977" s="19" t="s">
        <v>51</v>
      </c>
      <c r="W977" s="20">
        <v>45957</v>
      </c>
      <c r="X977" s="22"/>
      <c r="Y977" s="19" t="s">
        <v>52</v>
      </c>
      <c r="Z977" s="19" t="s">
        <v>52</v>
      </c>
      <c r="AA977" s="19" t="s">
        <v>52</v>
      </c>
      <c r="AB977" s="28"/>
    </row>
    <row r="978" spans="1:33" s="29" customFormat="1" ht="15" customHeight="1" x14ac:dyDescent="0.25">
      <c r="A978" s="14">
        <v>4</v>
      </c>
      <c r="B978" s="15">
        <v>45966</v>
      </c>
      <c r="C978" s="15">
        <f t="shared" ref="C978" si="919">B978+8</f>
        <v>45974</v>
      </c>
      <c r="D978" s="14">
        <v>13775</v>
      </c>
      <c r="E978" s="16" t="s">
        <v>919</v>
      </c>
      <c r="F978" s="17" t="s">
        <v>405</v>
      </c>
      <c r="G978" s="17" t="s">
        <v>47</v>
      </c>
      <c r="H978" s="18" t="s">
        <v>57</v>
      </c>
      <c r="I978" s="19" t="s">
        <v>58</v>
      </c>
      <c r="J978" s="20">
        <v>45945</v>
      </c>
      <c r="K978" s="20">
        <v>45973</v>
      </c>
      <c r="L978" s="21">
        <v>300000</v>
      </c>
      <c r="M978" s="22">
        <f t="shared" si="915"/>
        <v>332000</v>
      </c>
      <c r="N978" s="23">
        <v>0</v>
      </c>
      <c r="O978" s="23">
        <v>332000</v>
      </c>
      <c r="P978" s="24">
        <f t="shared" si="916"/>
        <v>300000</v>
      </c>
      <c r="Q978" s="25">
        <v>332000</v>
      </c>
      <c r="R978" s="26">
        <v>100000</v>
      </c>
      <c r="S978" s="91">
        <f t="shared" si="917"/>
        <v>3</v>
      </c>
      <c r="T978" s="91">
        <f t="shared" si="918"/>
        <v>3.32</v>
      </c>
      <c r="U978" s="27" t="s">
        <v>192</v>
      </c>
      <c r="V978" s="30" t="s">
        <v>59</v>
      </c>
      <c r="W978" s="31">
        <v>45959</v>
      </c>
      <c r="X978" s="22"/>
      <c r="Y978" s="19" t="s">
        <v>52</v>
      </c>
      <c r="Z978" s="19" t="s">
        <v>52</v>
      </c>
      <c r="AA978" s="19" t="s">
        <v>52</v>
      </c>
      <c r="AB978" s="42"/>
    </row>
    <row r="979" spans="1:33" s="29" customFormat="1" ht="15" customHeight="1" x14ac:dyDescent="0.25">
      <c r="A979" s="14">
        <v>4</v>
      </c>
      <c r="B979" s="15">
        <v>45966</v>
      </c>
      <c r="C979" s="15">
        <f>B979+8</f>
        <v>45974</v>
      </c>
      <c r="D979" s="14">
        <v>13801</v>
      </c>
      <c r="E979" s="16" t="s">
        <v>808</v>
      </c>
      <c r="F979" s="40" t="s">
        <v>657</v>
      </c>
      <c r="G979" s="17" t="s">
        <v>75</v>
      </c>
      <c r="H979" s="18" t="s">
        <v>57</v>
      </c>
      <c r="I979" s="19" t="s">
        <v>94</v>
      </c>
      <c r="J979" s="20">
        <v>45947</v>
      </c>
      <c r="K979" s="20">
        <v>45968</v>
      </c>
      <c r="L979" s="21">
        <v>1500000</v>
      </c>
      <c r="M979" s="22">
        <f t="shared" si="915"/>
        <v>350000</v>
      </c>
      <c r="N979" s="23">
        <v>0</v>
      </c>
      <c r="O979" s="23">
        <v>350000</v>
      </c>
      <c r="P979" s="24">
        <f t="shared" si="916"/>
        <v>1500000</v>
      </c>
      <c r="Q979" s="25">
        <v>350000</v>
      </c>
      <c r="R979" s="26">
        <v>100000</v>
      </c>
      <c r="S979" s="91">
        <f t="shared" si="917"/>
        <v>15</v>
      </c>
      <c r="T979" s="91">
        <f t="shared" si="918"/>
        <v>3.5</v>
      </c>
      <c r="U979" s="27" t="s">
        <v>192</v>
      </c>
      <c r="V979" s="19" t="s">
        <v>51</v>
      </c>
      <c r="W979" s="20">
        <v>45953</v>
      </c>
      <c r="X979" s="22"/>
      <c r="Y979" s="19" t="s">
        <v>52</v>
      </c>
      <c r="Z979" s="19" t="s">
        <v>52</v>
      </c>
      <c r="AA979" s="19" t="s">
        <v>52</v>
      </c>
      <c r="AB979" s="28"/>
    </row>
    <row r="980" spans="1:33" s="29" customFormat="1" ht="15" customHeight="1" x14ac:dyDescent="0.25">
      <c r="A980" s="14">
        <v>13</v>
      </c>
      <c r="B980" s="15">
        <v>45966</v>
      </c>
      <c r="C980" s="15">
        <f>B980+8</f>
        <v>45974</v>
      </c>
      <c r="D980" s="14">
        <v>13803</v>
      </c>
      <c r="E980" s="16" t="s">
        <v>92</v>
      </c>
      <c r="F980" s="40" t="s">
        <v>93</v>
      </c>
      <c r="G980" s="17" t="s">
        <v>75</v>
      </c>
      <c r="H980" s="18" t="s">
        <v>57</v>
      </c>
      <c r="I980" s="19" t="s">
        <v>94</v>
      </c>
      <c r="J980" s="20">
        <v>45947</v>
      </c>
      <c r="K980" s="20">
        <v>45989</v>
      </c>
      <c r="L980" s="21">
        <v>800000</v>
      </c>
      <c r="M980" s="22">
        <f t="shared" si="915"/>
        <v>150000</v>
      </c>
      <c r="N980" s="23">
        <v>0</v>
      </c>
      <c r="O980" s="23">
        <v>150000</v>
      </c>
      <c r="P980" s="24">
        <f t="shared" si="916"/>
        <v>800000</v>
      </c>
      <c r="Q980" s="25">
        <v>150000</v>
      </c>
      <c r="R980" s="26">
        <v>150000</v>
      </c>
      <c r="S980" s="91">
        <f t="shared" si="917"/>
        <v>5.333333333333333</v>
      </c>
      <c r="T980" s="91">
        <f t="shared" si="918"/>
        <v>1</v>
      </c>
      <c r="U980" s="27" t="s">
        <v>192</v>
      </c>
      <c r="V980" s="30" t="s">
        <v>59</v>
      </c>
      <c r="W980" s="31">
        <v>45964</v>
      </c>
      <c r="X980" s="22"/>
      <c r="Y980" s="19" t="s">
        <v>52</v>
      </c>
      <c r="Z980" s="19" t="s">
        <v>52</v>
      </c>
      <c r="AA980" s="19" t="s">
        <v>52</v>
      </c>
      <c r="AB980" s="28"/>
    </row>
    <row r="981" spans="1:33" s="29" customFormat="1" ht="15" customHeight="1" x14ac:dyDescent="0.25">
      <c r="A981" s="14">
        <v>5</v>
      </c>
      <c r="B981" s="15">
        <v>45966</v>
      </c>
      <c r="C981" s="15">
        <f t="shared" ref="C981" si="920">B981+8</f>
        <v>45974</v>
      </c>
      <c r="D981" s="14">
        <v>13765</v>
      </c>
      <c r="E981" s="16" t="s">
        <v>341</v>
      </c>
      <c r="F981" s="40" t="s">
        <v>348</v>
      </c>
      <c r="G981" s="17" t="s">
        <v>75</v>
      </c>
      <c r="H981" s="18" t="s">
        <v>542</v>
      </c>
      <c r="I981" s="19" t="s">
        <v>70</v>
      </c>
      <c r="J981" s="20">
        <v>45944</v>
      </c>
      <c r="K981" s="20">
        <v>45972</v>
      </c>
      <c r="L981" s="21">
        <v>1500000</v>
      </c>
      <c r="M981" s="22">
        <f t="shared" si="915"/>
        <v>1566000</v>
      </c>
      <c r="N981" s="23">
        <v>1050000</v>
      </c>
      <c r="O981" s="23">
        <v>516000</v>
      </c>
      <c r="P981" s="24">
        <f t="shared" si="916"/>
        <v>450000</v>
      </c>
      <c r="Q981" s="25">
        <v>519000</v>
      </c>
      <c r="R981" s="26">
        <v>150000</v>
      </c>
      <c r="S981" s="91">
        <f t="shared" si="917"/>
        <v>3</v>
      </c>
      <c r="T981" s="91">
        <f t="shared" si="918"/>
        <v>3.46</v>
      </c>
      <c r="U981" s="27" t="s">
        <v>254</v>
      </c>
      <c r="V981" s="19" t="s">
        <v>51</v>
      </c>
      <c r="W981" s="20">
        <v>45953</v>
      </c>
      <c r="X981" s="22"/>
      <c r="Y981" s="19" t="s">
        <v>52</v>
      </c>
      <c r="Z981" s="19" t="s">
        <v>52</v>
      </c>
      <c r="AA981" s="19" t="s">
        <v>52</v>
      </c>
      <c r="AB981" s="28"/>
    </row>
    <row r="982" spans="1:33" s="29" customFormat="1" ht="15" customHeight="1" x14ac:dyDescent="0.25">
      <c r="A982" s="14">
        <v>6</v>
      </c>
      <c r="B982" s="15">
        <v>45966</v>
      </c>
      <c r="C982" s="15">
        <f t="shared" ref="C982" si="921">B982+8</f>
        <v>45974</v>
      </c>
      <c r="D982" s="14">
        <v>13762</v>
      </c>
      <c r="E982" s="16" t="s">
        <v>385</v>
      </c>
      <c r="F982" s="40" t="s">
        <v>386</v>
      </c>
      <c r="G982" s="17" t="s">
        <v>75</v>
      </c>
      <c r="H982" s="18" t="s">
        <v>542</v>
      </c>
      <c r="I982" s="19" t="s">
        <v>70</v>
      </c>
      <c r="J982" s="20">
        <v>45944</v>
      </c>
      <c r="K982" s="20">
        <v>45972</v>
      </c>
      <c r="L982" s="21">
        <v>1000000</v>
      </c>
      <c r="M982" s="22">
        <f t="shared" si="915"/>
        <v>600000</v>
      </c>
      <c r="N982" s="23">
        <v>0</v>
      </c>
      <c r="O982" s="23">
        <v>600000</v>
      </c>
      <c r="P982" s="24">
        <f t="shared" si="916"/>
        <v>1000000</v>
      </c>
      <c r="Q982" s="25">
        <v>450000</v>
      </c>
      <c r="R982" s="26">
        <v>150000</v>
      </c>
      <c r="S982" s="91">
        <f t="shared" si="917"/>
        <v>6.666666666666667</v>
      </c>
      <c r="T982" s="91">
        <f t="shared" si="918"/>
        <v>3</v>
      </c>
      <c r="U982" s="27" t="s">
        <v>254</v>
      </c>
      <c r="V982" s="30" t="s">
        <v>59</v>
      </c>
      <c r="W982" s="31">
        <v>45959</v>
      </c>
      <c r="X982" s="22"/>
      <c r="Y982" s="19" t="s">
        <v>52</v>
      </c>
      <c r="Z982" s="19" t="s">
        <v>52</v>
      </c>
      <c r="AA982" s="19" t="s">
        <v>52</v>
      </c>
      <c r="AB982" s="28"/>
    </row>
    <row r="983" spans="1:33" s="29" customFormat="1" ht="15" customHeight="1" x14ac:dyDescent="0.25">
      <c r="A983" s="14">
        <v>7</v>
      </c>
      <c r="B983" s="15">
        <v>45966</v>
      </c>
      <c r="C983" s="15">
        <f t="shared" ref="C983" si="922">B983+8</f>
        <v>45974</v>
      </c>
      <c r="D983" s="14">
        <v>13758</v>
      </c>
      <c r="E983" s="16" t="s">
        <v>89</v>
      </c>
      <c r="F983" s="40" t="s">
        <v>915</v>
      </c>
      <c r="G983" s="17" t="s">
        <v>75</v>
      </c>
      <c r="H983" s="18" t="s">
        <v>542</v>
      </c>
      <c r="I983" s="19" t="s">
        <v>70</v>
      </c>
      <c r="J983" s="20">
        <v>45944</v>
      </c>
      <c r="K983" s="20">
        <v>45972</v>
      </c>
      <c r="L983" s="21">
        <v>1000000</v>
      </c>
      <c r="M983" s="22">
        <f t="shared" si="915"/>
        <v>600000</v>
      </c>
      <c r="N983" s="23">
        <v>450000</v>
      </c>
      <c r="O983" s="23">
        <v>150000</v>
      </c>
      <c r="P983" s="24">
        <f t="shared" si="916"/>
        <v>550000</v>
      </c>
      <c r="Q983" s="25">
        <v>150000</v>
      </c>
      <c r="R983" s="26">
        <v>150000</v>
      </c>
      <c r="S983" s="91">
        <f t="shared" si="917"/>
        <v>3.6666666666666665</v>
      </c>
      <c r="T983" s="91">
        <f t="shared" si="918"/>
        <v>1</v>
      </c>
      <c r="U983" s="27" t="s">
        <v>254</v>
      </c>
      <c r="V983" s="19" t="s">
        <v>51</v>
      </c>
      <c r="W983" s="20">
        <v>45955</v>
      </c>
      <c r="X983" s="22"/>
      <c r="Y983" s="19" t="s">
        <v>52</v>
      </c>
      <c r="Z983" s="19" t="s">
        <v>52</v>
      </c>
      <c r="AA983" s="19" t="s">
        <v>52</v>
      </c>
      <c r="AB983" s="28"/>
    </row>
    <row r="984" spans="1:33" s="29" customFormat="1" ht="15" customHeight="1" x14ac:dyDescent="0.25">
      <c r="A984" s="14">
        <v>27</v>
      </c>
      <c r="B984" s="15">
        <v>45966</v>
      </c>
      <c r="C984" s="15">
        <f>B984+8</f>
        <v>45974</v>
      </c>
      <c r="D984" s="14">
        <v>13620</v>
      </c>
      <c r="E984" s="16" t="s">
        <v>859</v>
      </c>
      <c r="F984" s="17" t="s">
        <v>860</v>
      </c>
      <c r="G984" s="17" t="s">
        <v>102</v>
      </c>
      <c r="H984" s="18" t="s">
        <v>775</v>
      </c>
      <c r="I984" s="19" t="s">
        <v>135</v>
      </c>
      <c r="J984" s="20">
        <v>45919</v>
      </c>
      <c r="K984" s="20">
        <v>45970</v>
      </c>
      <c r="L984" s="21">
        <v>50000</v>
      </c>
      <c r="M984" s="22">
        <f t="shared" si="915"/>
        <v>50000</v>
      </c>
      <c r="N984" s="23">
        <v>0</v>
      </c>
      <c r="O984" s="23">
        <v>50000</v>
      </c>
      <c r="P984" s="24">
        <f t="shared" ref="P984" si="923">L984-N984</f>
        <v>50000</v>
      </c>
      <c r="Q984" s="25">
        <v>42000</v>
      </c>
      <c r="R984" s="26">
        <v>24000</v>
      </c>
      <c r="S984" s="91">
        <f t="shared" ref="S984" si="924">IF(P984&gt;0,P984/$R984,0)</f>
        <v>2.0833333333333335</v>
      </c>
      <c r="T984" s="91">
        <f t="shared" ref="T984" si="925">IF(Q984&gt;0,Q984/$R984,0)</f>
        <v>1.75</v>
      </c>
      <c r="U984" s="27" t="s">
        <v>56</v>
      </c>
      <c r="V984" s="19" t="s">
        <v>51</v>
      </c>
      <c r="W984" s="20">
        <v>45953</v>
      </c>
      <c r="X984" s="22"/>
      <c r="Y984" s="19" t="s">
        <v>52</v>
      </c>
      <c r="Z984" s="19" t="s">
        <v>52</v>
      </c>
      <c r="AA984" s="19" t="s">
        <v>52</v>
      </c>
      <c r="AB984" s="28"/>
    </row>
    <row r="985" spans="1:33" ht="15" customHeight="1" x14ac:dyDescent="0.25">
      <c r="A985" s="33" t="s">
        <v>71</v>
      </c>
      <c r="B985" s="34"/>
      <c r="C985" s="34"/>
      <c r="D985" s="34"/>
      <c r="E985" s="34"/>
      <c r="F985" s="35"/>
      <c r="G985" s="35"/>
      <c r="H985" s="34"/>
      <c r="I985" s="34"/>
      <c r="J985" s="34"/>
      <c r="K985" s="34"/>
      <c r="L985" s="36"/>
      <c r="M985" s="36"/>
      <c r="N985" s="36"/>
      <c r="O985" s="36"/>
      <c r="P985" s="36"/>
      <c r="Q985" s="36">
        <f>SUM(Q976:Q984)</f>
        <v>2311000</v>
      </c>
      <c r="R985" s="36"/>
      <c r="S985" s="92"/>
      <c r="T985" s="93">
        <f>SUM(T976:T984)</f>
        <v>20.03</v>
      </c>
      <c r="U985" s="37"/>
      <c r="V985" s="38"/>
      <c r="W985" s="38"/>
      <c r="X985" s="38"/>
      <c r="Y985" s="34"/>
      <c r="Z985" s="34"/>
      <c r="AA985" s="39"/>
      <c r="AB985" s="29" t="s">
        <v>943</v>
      </c>
      <c r="AC985" s="81" t="s">
        <v>964</v>
      </c>
      <c r="AD985" s="83">
        <v>4583.33</v>
      </c>
      <c r="AF985" s="83">
        <v>0</v>
      </c>
      <c r="AG985" s="83">
        <f>SUM(AD985,AF985)</f>
        <v>4583.33</v>
      </c>
    </row>
    <row r="986" spans="1:33" s="29" customFormat="1" ht="15" customHeight="1" x14ac:dyDescent="0.25">
      <c r="A986" s="14">
        <v>1</v>
      </c>
      <c r="B986" s="15">
        <v>45969</v>
      </c>
      <c r="C986" s="15">
        <f t="shared" ref="C986:C992" si="926">B986+8</f>
        <v>45977</v>
      </c>
      <c r="D986" s="14">
        <v>13527</v>
      </c>
      <c r="E986" s="16" t="s">
        <v>45</v>
      </c>
      <c r="F986" s="17" t="s">
        <v>46</v>
      </c>
      <c r="G986" s="17" t="s">
        <v>47</v>
      </c>
      <c r="H986" s="18" t="s">
        <v>542</v>
      </c>
      <c r="I986" s="19" t="s">
        <v>49</v>
      </c>
      <c r="J986" s="20">
        <v>45903</v>
      </c>
      <c r="K986" s="20">
        <v>45943</v>
      </c>
      <c r="L986" s="21">
        <v>180000</v>
      </c>
      <c r="M986" s="22">
        <f t="shared" ref="M986:M992" si="927">SUM(N986:O986)</f>
        <v>202000</v>
      </c>
      <c r="N986" s="23">
        <v>0</v>
      </c>
      <c r="O986" s="23">
        <v>202000</v>
      </c>
      <c r="P986" s="24">
        <f t="shared" ref="P986:P992" si="928">L986-N986</f>
        <v>180000</v>
      </c>
      <c r="Q986" s="25">
        <v>202000</v>
      </c>
      <c r="R986" s="26">
        <v>60000</v>
      </c>
      <c r="S986" s="91">
        <f t="shared" ref="S986:S992" si="929">IF(P986&gt;0,P986/$R986,0)</f>
        <v>3</v>
      </c>
      <c r="T986" s="91">
        <f t="shared" ref="T986:T992" si="930">IF(Q986&gt;0,Q986/$R986,0)</f>
        <v>3.3666666666666667</v>
      </c>
      <c r="U986" s="27" t="s">
        <v>192</v>
      </c>
      <c r="V986" s="19" t="s">
        <v>51</v>
      </c>
      <c r="W986" s="20">
        <v>45959</v>
      </c>
      <c r="X986" s="22"/>
      <c r="Y986" s="19" t="s">
        <v>52</v>
      </c>
      <c r="Z986" s="19" t="s">
        <v>52</v>
      </c>
      <c r="AA986" s="19" t="s">
        <v>52</v>
      </c>
      <c r="AB986" s="42"/>
    </row>
    <row r="987" spans="1:33" s="29" customFormat="1" ht="15" customHeight="1" x14ac:dyDescent="0.25">
      <c r="A987" s="14">
        <v>2</v>
      </c>
      <c r="B987" s="15">
        <v>45969</v>
      </c>
      <c r="C987" s="15">
        <f t="shared" si="926"/>
        <v>45977</v>
      </c>
      <c r="D987" s="14">
        <v>13801</v>
      </c>
      <c r="E987" s="16" t="s">
        <v>808</v>
      </c>
      <c r="F987" s="40" t="s">
        <v>657</v>
      </c>
      <c r="G987" s="17" t="s">
        <v>75</v>
      </c>
      <c r="H987" s="18" t="s">
        <v>57</v>
      </c>
      <c r="I987" s="19" t="s">
        <v>94</v>
      </c>
      <c r="J987" s="20">
        <v>45947</v>
      </c>
      <c r="K987" s="20">
        <v>45968</v>
      </c>
      <c r="L987" s="21">
        <v>1500000</v>
      </c>
      <c r="M987" s="22">
        <f>SUM(N987:O987)</f>
        <v>1400000</v>
      </c>
      <c r="N987" s="23">
        <v>950000</v>
      </c>
      <c r="O987" s="23">
        <v>450000</v>
      </c>
      <c r="P987" s="24">
        <f>L987-N987</f>
        <v>550000</v>
      </c>
      <c r="Q987" s="25">
        <v>450000</v>
      </c>
      <c r="R987" s="26">
        <v>100000</v>
      </c>
      <c r="S987" s="91">
        <f t="shared" si="929"/>
        <v>5.5</v>
      </c>
      <c r="T987" s="91">
        <f t="shared" si="930"/>
        <v>4.5</v>
      </c>
      <c r="U987" s="27" t="s">
        <v>192</v>
      </c>
      <c r="V987" s="19" t="s">
        <v>51</v>
      </c>
      <c r="W987" s="20">
        <v>45953</v>
      </c>
      <c r="X987" s="22"/>
      <c r="Y987" s="19" t="s">
        <v>52</v>
      </c>
      <c r="Z987" s="19" t="s">
        <v>52</v>
      </c>
      <c r="AA987" s="19" t="s">
        <v>52</v>
      </c>
      <c r="AB987" s="28"/>
    </row>
    <row r="988" spans="1:33" s="29" customFormat="1" ht="15" customHeight="1" x14ac:dyDescent="0.25">
      <c r="A988" s="14">
        <v>35</v>
      </c>
      <c r="B988" s="15">
        <v>45969</v>
      </c>
      <c r="C988" s="15">
        <f t="shared" si="926"/>
        <v>45977</v>
      </c>
      <c r="D988" s="14">
        <v>13777</v>
      </c>
      <c r="E988" s="16" t="s">
        <v>917</v>
      </c>
      <c r="F988" s="17" t="s">
        <v>538</v>
      </c>
      <c r="G988" s="17" t="s">
        <v>102</v>
      </c>
      <c r="H988" s="18" t="s">
        <v>57</v>
      </c>
      <c r="I988" s="19" t="s">
        <v>58</v>
      </c>
      <c r="J988" s="20">
        <v>45945</v>
      </c>
      <c r="K988" s="20">
        <v>45973</v>
      </c>
      <c r="L988" s="21">
        <v>300000</v>
      </c>
      <c r="M988" s="22">
        <f>SUM(N988:O988)</f>
        <v>50000</v>
      </c>
      <c r="N988" s="23">
        <v>0</v>
      </c>
      <c r="O988" s="23">
        <v>50000</v>
      </c>
      <c r="P988" s="24">
        <f>L988-N988</f>
        <v>300000</v>
      </c>
      <c r="Q988" s="25">
        <v>50000</v>
      </c>
      <c r="R988" s="26">
        <v>100000</v>
      </c>
      <c r="S988" s="91">
        <f t="shared" si="929"/>
        <v>3</v>
      </c>
      <c r="T988" s="91">
        <f t="shared" si="930"/>
        <v>0.5</v>
      </c>
      <c r="U988" s="27" t="s">
        <v>192</v>
      </c>
      <c r="V988" s="19" t="s">
        <v>51</v>
      </c>
      <c r="W988" s="20">
        <v>45957</v>
      </c>
      <c r="X988" s="22"/>
      <c r="Y988" s="19" t="s">
        <v>52</v>
      </c>
      <c r="Z988" s="19" t="s">
        <v>52</v>
      </c>
      <c r="AA988" s="19" t="s">
        <v>52</v>
      </c>
      <c r="AB988" s="28"/>
    </row>
    <row r="989" spans="1:33" s="29" customFormat="1" ht="15" customHeight="1" x14ac:dyDescent="0.25">
      <c r="A989" s="14">
        <v>6</v>
      </c>
      <c r="B989" s="15">
        <v>45969</v>
      </c>
      <c r="C989" s="15">
        <f t="shared" si="926"/>
        <v>45977</v>
      </c>
      <c r="D989" s="14">
        <v>13366</v>
      </c>
      <c r="E989" s="16" t="s">
        <v>757</v>
      </c>
      <c r="F989" s="17" t="s">
        <v>672</v>
      </c>
      <c r="G989" s="17" t="s">
        <v>47</v>
      </c>
      <c r="H989" s="18" t="s">
        <v>57</v>
      </c>
      <c r="I989" s="19" t="s">
        <v>58</v>
      </c>
      <c r="J989" s="20">
        <v>45873</v>
      </c>
      <c r="K989" s="20">
        <v>45933</v>
      </c>
      <c r="L989" s="21">
        <v>300000</v>
      </c>
      <c r="M989" s="22">
        <f t="shared" ref="M989" si="931">SUM(N989:O989)</f>
        <v>593000</v>
      </c>
      <c r="N989" s="23">
        <v>300000</v>
      </c>
      <c r="O989" s="23">
        <v>293000</v>
      </c>
      <c r="P989" s="24">
        <f t="shared" ref="P989" si="932">L989-N989</f>
        <v>0</v>
      </c>
      <c r="Q989" s="25">
        <v>150000</v>
      </c>
      <c r="R989" s="26">
        <v>42000</v>
      </c>
      <c r="S989" s="91">
        <f t="shared" si="929"/>
        <v>0</v>
      </c>
      <c r="T989" s="91">
        <f t="shared" si="930"/>
        <v>3.5714285714285716</v>
      </c>
      <c r="U989" s="27" t="s">
        <v>192</v>
      </c>
      <c r="V989" s="19" t="s">
        <v>51</v>
      </c>
      <c r="W989" s="20">
        <v>45910</v>
      </c>
      <c r="X989" s="22"/>
      <c r="Y989" s="19" t="s">
        <v>52</v>
      </c>
      <c r="Z989" s="19" t="s">
        <v>52</v>
      </c>
      <c r="AA989" s="19" t="s">
        <v>52</v>
      </c>
      <c r="AB989" s="42"/>
    </row>
    <row r="990" spans="1:33" s="29" customFormat="1" ht="15" customHeight="1" x14ac:dyDescent="0.25">
      <c r="A990" s="14">
        <v>34</v>
      </c>
      <c r="B990" s="15">
        <v>45969</v>
      </c>
      <c r="C990" s="15">
        <f t="shared" si="926"/>
        <v>45977</v>
      </c>
      <c r="D990" s="14">
        <v>13759</v>
      </c>
      <c r="E990" s="16" t="s">
        <v>287</v>
      </c>
      <c r="F990" s="17" t="s">
        <v>288</v>
      </c>
      <c r="G990" s="17" t="s">
        <v>102</v>
      </c>
      <c r="H990" s="18" t="s">
        <v>784</v>
      </c>
      <c r="I990" s="19" t="s">
        <v>63</v>
      </c>
      <c r="J990" s="20">
        <v>45944</v>
      </c>
      <c r="K990" s="20">
        <v>45971</v>
      </c>
      <c r="L990" s="21">
        <v>1000000</v>
      </c>
      <c r="M990" s="22">
        <f>SUM(N990:O990)</f>
        <v>1028000</v>
      </c>
      <c r="N990" s="23">
        <v>1008000</v>
      </c>
      <c r="O990" s="23">
        <v>20000</v>
      </c>
      <c r="P990" s="24">
        <f>L990-N990</f>
        <v>-8000</v>
      </c>
      <c r="Q990" s="25">
        <v>20000</v>
      </c>
      <c r="R990" s="26">
        <v>84000</v>
      </c>
      <c r="S990" s="91">
        <f t="shared" si="929"/>
        <v>0</v>
      </c>
      <c r="T990" s="91">
        <f t="shared" si="930"/>
        <v>0.23809523809523808</v>
      </c>
      <c r="U990" s="27" t="s">
        <v>192</v>
      </c>
      <c r="V990" s="19" t="s">
        <v>51</v>
      </c>
      <c r="W990" s="20">
        <v>45957</v>
      </c>
      <c r="X990" s="22"/>
      <c r="Y990" s="19" t="s">
        <v>52</v>
      </c>
      <c r="Z990" s="19" t="s">
        <v>52</v>
      </c>
      <c r="AA990" s="19" t="s">
        <v>52</v>
      </c>
      <c r="AB990" s="28"/>
    </row>
    <row r="991" spans="1:33" s="29" customFormat="1" ht="15" customHeight="1" x14ac:dyDescent="0.25">
      <c r="A991" s="14">
        <v>4</v>
      </c>
      <c r="B991" s="15">
        <v>45969</v>
      </c>
      <c r="C991" s="15">
        <f t="shared" si="926"/>
        <v>45977</v>
      </c>
      <c r="D991" s="14">
        <v>13758</v>
      </c>
      <c r="E991" s="16" t="s">
        <v>89</v>
      </c>
      <c r="F991" s="40" t="s">
        <v>915</v>
      </c>
      <c r="G991" s="17" t="s">
        <v>75</v>
      </c>
      <c r="H991" s="18" t="s">
        <v>542</v>
      </c>
      <c r="I991" s="19" t="s">
        <v>70</v>
      </c>
      <c r="J991" s="20">
        <v>45944</v>
      </c>
      <c r="K991" s="20">
        <v>45972</v>
      </c>
      <c r="L991" s="21">
        <v>1000000</v>
      </c>
      <c r="M991" s="22">
        <f>SUM(N991:O991)</f>
        <v>1083000</v>
      </c>
      <c r="N991" s="23">
        <v>600000</v>
      </c>
      <c r="O991" s="23">
        <v>483000</v>
      </c>
      <c r="P991" s="24">
        <f>L991-N991</f>
        <v>400000</v>
      </c>
      <c r="Q991" s="25">
        <v>483000</v>
      </c>
      <c r="R991" s="26">
        <v>150000</v>
      </c>
      <c r="S991" s="91">
        <f t="shared" si="929"/>
        <v>2.6666666666666665</v>
      </c>
      <c r="T991" s="91">
        <f t="shared" si="930"/>
        <v>3.22</v>
      </c>
      <c r="U991" s="27" t="s">
        <v>254</v>
      </c>
      <c r="V991" s="19" t="s">
        <v>51</v>
      </c>
      <c r="W991" s="20">
        <v>45955</v>
      </c>
      <c r="X991" s="22"/>
      <c r="Y991" s="19" t="s">
        <v>52</v>
      </c>
      <c r="Z991" s="19" t="s">
        <v>52</v>
      </c>
      <c r="AA991" s="19" t="s">
        <v>52</v>
      </c>
      <c r="AB991" s="28"/>
    </row>
    <row r="992" spans="1:33" s="29" customFormat="1" ht="15" customHeight="1" x14ac:dyDescent="0.25">
      <c r="A992" s="14">
        <v>6</v>
      </c>
      <c r="B992" s="15">
        <v>45969</v>
      </c>
      <c r="C992" s="15">
        <f t="shared" si="926"/>
        <v>45977</v>
      </c>
      <c r="D992" s="14">
        <v>13366</v>
      </c>
      <c r="E992" s="16" t="s">
        <v>757</v>
      </c>
      <c r="F992" s="17" t="s">
        <v>672</v>
      </c>
      <c r="G992" s="17" t="s">
        <v>47</v>
      </c>
      <c r="H992" s="18" t="s">
        <v>57</v>
      </c>
      <c r="I992" s="19" t="s">
        <v>58</v>
      </c>
      <c r="J992" s="20">
        <v>45873</v>
      </c>
      <c r="K992" s="20">
        <v>45933</v>
      </c>
      <c r="L992" s="21">
        <v>300000</v>
      </c>
      <c r="M992" s="22">
        <f t="shared" si="927"/>
        <v>593000</v>
      </c>
      <c r="N992" s="23">
        <v>300000</v>
      </c>
      <c r="O992" s="23">
        <v>293000</v>
      </c>
      <c r="P992" s="24">
        <f t="shared" si="928"/>
        <v>0</v>
      </c>
      <c r="Q992" s="25">
        <v>150000</v>
      </c>
      <c r="R992" s="26">
        <v>42000</v>
      </c>
      <c r="S992" s="91">
        <f t="shared" si="929"/>
        <v>0</v>
      </c>
      <c r="T992" s="91">
        <f t="shared" si="930"/>
        <v>3.5714285714285716</v>
      </c>
      <c r="U992" s="27" t="s">
        <v>193</v>
      </c>
      <c r="V992" s="19" t="s">
        <v>51</v>
      </c>
      <c r="W992" s="20">
        <v>45910</v>
      </c>
      <c r="X992" s="22"/>
      <c r="Y992" s="19" t="s">
        <v>52</v>
      </c>
      <c r="Z992" s="19" t="s">
        <v>52</v>
      </c>
      <c r="AA992" s="19" t="s">
        <v>52</v>
      </c>
      <c r="AB992" s="42"/>
    </row>
    <row r="993" spans="1:33" ht="15" customHeight="1" x14ac:dyDescent="0.25">
      <c r="A993" s="33" t="s">
        <v>71</v>
      </c>
      <c r="B993" s="34"/>
      <c r="C993" s="34"/>
      <c r="D993" s="34"/>
      <c r="E993" s="34"/>
      <c r="F993" s="35"/>
      <c r="G993" s="35"/>
      <c r="H993" s="34"/>
      <c r="I993" s="34"/>
      <c r="J993" s="34"/>
      <c r="K993" s="34"/>
      <c r="L993" s="36"/>
      <c r="M993" s="36"/>
      <c r="N993" s="36"/>
      <c r="O993" s="36"/>
      <c r="P993" s="36"/>
      <c r="Q993" s="36">
        <f>SUM(Q986:Q992)</f>
        <v>1505000</v>
      </c>
      <c r="R993" s="36"/>
      <c r="S993" s="92"/>
      <c r="T993" s="93">
        <f>SUM(T986:T992)</f>
        <v>18.967619047619049</v>
      </c>
      <c r="U993" s="37"/>
      <c r="V993" s="38"/>
      <c r="W993" s="38"/>
      <c r="X993" s="38"/>
      <c r="Y993" s="34"/>
      <c r="Z993" s="34"/>
      <c r="AA993" s="39"/>
      <c r="AB993" s="29" t="s">
        <v>946</v>
      </c>
      <c r="AC993" s="81" t="s">
        <v>948</v>
      </c>
      <c r="AD993" s="83">
        <v>4791.67</v>
      </c>
      <c r="AF993" s="83">
        <v>0</v>
      </c>
      <c r="AG993" s="83">
        <f>SUM(AD993,AF993)</f>
        <v>4791.67</v>
      </c>
    </row>
    <row r="994" spans="1:33" s="29" customFormat="1" ht="15" customHeight="1" x14ac:dyDescent="0.25">
      <c r="A994" s="14">
        <v>9</v>
      </c>
      <c r="B994" s="15">
        <v>45969</v>
      </c>
      <c r="C994" s="15">
        <f t="shared" ref="C994" si="933">B994+8</f>
        <v>45977</v>
      </c>
      <c r="D994" s="14">
        <v>13803</v>
      </c>
      <c r="E994" s="16" t="s">
        <v>92</v>
      </c>
      <c r="F994" s="40" t="s">
        <v>93</v>
      </c>
      <c r="G994" s="17" t="s">
        <v>75</v>
      </c>
      <c r="H994" s="18" t="s">
        <v>57</v>
      </c>
      <c r="I994" s="19" t="s">
        <v>94</v>
      </c>
      <c r="J994" s="20">
        <v>45947</v>
      </c>
      <c r="K994" s="20">
        <v>45989</v>
      </c>
      <c r="L994" s="21">
        <v>800000</v>
      </c>
      <c r="M994" s="22">
        <f t="shared" ref="M994" si="934">SUM(N994:O994)</f>
        <v>750000</v>
      </c>
      <c r="N994" s="23">
        <v>150000</v>
      </c>
      <c r="O994" s="23">
        <v>600000</v>
      </c>
      <c r="P994" s="24">
        <f t="shared" ref="P994" si="935">L994-N994</f>
        <v>650000</v>
      </c>
      <c r="Q994" s="25">
        <v>600000</v>
      </c>
      <c r="R994" s="26">
        <v>150000</v>
      </c>
      <c r="S994" s="91">
        <f t="shared" ref="S994:S1006" si="936">IF(P994&gt;0,P994/$R994,0)</f>
        <v>4.333333333333333</v>
      </c>
      <c r="T994" s="91">
        <f t="shared" ref="T994:T1006" si="937">IF(Q994&gt;0,Q994/$R994,0)</f>
        <v>4</v>
      </c>
      <c r="U994" s="27" t="s">
        <v>192</v>
      </c>
      <c r="V994" s="30" t="s">
        <v>59</v>
      </c>
      <c r="W994" s="31">
        <v>45964</v>
      </c>
      <c r="X994" s="22"/>
      <c r="Y994" s="19" t="s">
        <v>52</v>
      </c>
      <c r="Z994" s="19" t="s">
        <v>52</v>
      </c>
      <c r="AA994" s="19" t="s">
        <v>52</v>
      </c>
      <c r="AB994" s="28"/>
    </row>
    <row r="995" spans="1:33" s="29" customFormat="1" ht="15" customHeight="1" x14ac:dyDescent="0.25">
      <c r="A995" s="14">
        <v>47</v>
      </c>
      <c r="B995" s="15">
        <v>45969</v>
      </c>
      <c r="C995" s="15">
        <f>B995+8</f>
        <v>45977</v>
      </c>
      <c r="D995" s="14">
        <v>13819</v>
      </c>
      <c r="E995" s="16" t="s">
        <v>760</v>
      </c>
      <c r="F995" s="17" t="s">
        <v>286</v>
      </c>
      <c r="G995" s="17" t="s">
        <v>102</v>
      </c>
      <c r="H995" s="18" t="s">
        <v>57</v>
      </c>
      <c r="I995" s="19" t="s">
        <v>94</v>
      </c>
      <c r="J995" s="20">
        <v>45953</v>
      </c>
      <c r="K995" s="20">
        <v>45994</v>
      </c>
      <c r="L995" s="21">
        <v>150000</v>
      </c>
      <c r="M995" s="22">
        <f>SUM(N995:O995)</f>
        <v>70000</v>
      </c>
      <c r="N995" s="23">
        <v>0</v>
      </c>
      <c r="O995" s="23">
        <v>70000</v>
      </c>
      <c r="P995" s="24">
        <f t="shared" ref="P995:P1001" si="938">L995-N995</f>
        <v>150000</v>
      </c>
      <c r="Q995" s="25">
        <v>35000</v>
      </c>
      <c r="R995" s="26">
        <v>30000</v>
      </c>
      <c r="S995" s="91">
        <f t="shared" si="936"/>
        <v>5</v>
      </c>
      <c r="T995" s="91">
        <f t="shared" si="937"/>
        <v>1.1666666666666667</v>
      </c>
      <c r="U995" s="27" t="s">
        <v>192</v>
      </c>
      <c r="V995" s="30" t="s">
        <v>68</v>
      </c>
      <c r="W995" s="31" t="s">
        <v>68</v>
      </c>
      <c r="X995" s="22"/>
      <c r="Y995" s="19" t="s">
        <v>52</v>
      </c>
      <c r="Z995" s="19" t="s">
        <v>52</v>
      </c>
      <c r="AA995" s="19" t="s">
        <v>52</v>
      </c>
      <c r="AB995" s="28"/>
    </row>
    <row r="996" spans="1:33" s="29" customFormat="1" ht="15" customHeight="1" x14ac:dyDescent="0.25">
      <c r="A996" s="14">
        <v>11</v>
      </c>
      <c r="B996" s="15">
        <v>45969</v>
      </c>
      <c r="C996" s="15">
        <f>B996+8</f>
        <v>45977</v>
      </c>
      <c r="D996" s="14">
        <v>13820</v>
      </c>
      <c r="E996" s="16" t="s">
        <v>295</v>
      </c>
      <c r="F996" s="40" t="s">
        <v>296</v>
      </c>
      <c r="G996" s="17" t="s">
        <v>75</v>
      </c>
      <c r="H996" s="18" t="s">
        <v>542</v>
      </c>
      <c r="I996" s="19" t="s">
        <v>49</v>
      </c>
      <c r="J996" s="20">
        <v>45953</v>
      </c>
      <c r="K996" s="20">
        <v>45992</v>
      </c>
      <c r="L996" s="21">
        <v>150000</v>
      </c>
      <c r="M996" s="22">
        <f>SUM(N996:O996)</f>
        <v>150000</v>
      </c>
      <c r="N996" s="23">
        <v>0</v>
      </c>
      <c r="O996" s="23">
        <v>150000</v>
      </c>
      <c r="P996" s="24">
        <f t="shared" si="938"/>
        <v>150000</v>
      </c>
      <c r="Q996" s="25">
        <v>150000</v>
      </c>
      <c r="R996" s="26">
        <v>150000</v>
      </c>
      <c r="S996" s="91">
        <f t="shared" si="936"/>
        <v>1</v>
      </c>
      <c r="T996" s="91">
        <f t="shared" si="937"/>
        <v>1</v>
      </c>
      <c r="U996" s="27" t="s">
        <v>192</v>
      </c>
      <c r="V996" s="30" t="s">
        <v>59</v>
      </c>
      <c r="W996" s="31">
        <v>45968</v>
      </c>
      <c r="X996" s="22"/>
      <c r="Y996" s="19" t="s">
        <v>52</v>
      </c>
      <c r="Z996" s="19" t="s">
        <v>52</v>
      </c>
      <c r="AA996" s="19" t="s">
        <v>52</v>
      </c>
      <c r="AB996" s="28"/>
    </row>
    <row r="997" spans="1:33" s="29" customFormat="1" ht="15" customHeight="1" x14ac:dyDescent="0.25">
      <c r="A997" s="14">
        <v>12</v>
      </c>
      <c r="B997" s="15">
        <v>45969</v>
      </c>
      <c r="C997" s="15">
        <f>B997+8</f>
        <v>45977</v>
      </c>
      <c r="D997" s="14">
        <v>13825</v>
      </c>
      <c r="E997" s="16" t="s">
        <v>232</v>
      </c>
      <c r="F997" s="40" t="s">
        <v>233</v>
      </c>
      <c r="G997" s="17" t="s">
        <v>75</v>
      </c>
      <c r="H997" s="18" t="s">
        <v>542</v>
      </c>
      <c r="I997" s="19" t="s">
        <v>104</v>
      </c>
      <c r="J997" s="20">
        <v>45953</v>
      </c>
      <c r="K997" s="20">
        <v>45992</v>
      </c>
      <c r="L997" s="21">
        <v>150000</v>
      </c>
      <c r="M997" s="22">
        <f>SUM(N997:O997)</f>
        <v>174000</v>
      </c>
      <c r="N997" s="23">
        <v>0</v>
      </c>
      <c r="O997" s="23">
        <v>174000</v>
      </c>
      <c r="P997" s="24">
        <f t="shared" si="938"/>
        <v>150000</v>
      </c>
      <c r="Q997" s="25">
        <v>174000</v>
      </c>
      <c r="R997" s="26">
        <v>150000</v>
      </c>
      <c r="S997" s="91">
        <f t="shared" si="936"/>
        <v>1</v>
      </c>
      <c r="T997" s="91">
        <f t="shared" si="937"/>
        <v>1.1599999999999999</v>
      </c>
      <c r="U997" s="27" t="s">
        <v>192</v>
      </c>
      <c r="V997" s="30" t="s">
        <v>59</v>
      </c>
      <c r="W997" s="31">
        <v>45966</v>
      </c>
      <c r="X997" s="22"/>
      <c r="Y997" s="19" t="s">
        <v>52</v>
      </c>
      <c r="Z997" s="19" t="s">
        <v>52</v>
      </c>
      <c r="AA997" s="19" t="s">
        <v>52</v>
      </c>
      <c r="AB997" s="28"/>
    </row>
    <row r="998" spans="1:33" s="29" customFormat="1" ht="15" customHeight="1" x14ac:dyDescent="0.25">
      <c r="A998" s="14">
        <v>5</v>
      </c>
      <c r="B998" s="15">
        <v>45969</v>
      </c>
      <c r="C998" s="15">
        <f>B998+8</f>
        <v>45977</v>
      </c>
      <c r="D998" s="14">
        <v>13840</v>
      </c>
      <c r="E998" s="16" t="s">
        <v>60</v>
      </c>
      <c r="F998" s="17" t="s">
        <v>61</v>
      </c>
      <c r="G998" s="17" t="s">
        <v>47</v>
      </c>
      <c r="H998" s="18" t="s">
        <v>784</v>
      </c>
      <c r="I998" s="19" t="s">
        <v>63</v>
      </c>
      <c r="J998" s="20">
        <v>45954</v>
      </c>
      <c r="K998" s="20">
        <v>45994</v>
      </c>
      <c r="L998" s="21">
        <v>100000</v>
      </c>
      <c r="M998" s="22">
        <f t="shared" ref="M998" si="939">SUM(N998:O998)</f>
        <v>116000</v>
      </c>
      <c r="N998" s="23">
        <v>0</v>
      </c>
      <c r="O998" s="23">
        <v>116000</v>
      </c>
      <c r="P998" s="24">
        <f t="shared" si="938"/>
        <v>100000</v>
      </c>
      <c r="Q998" s="25">
        <v>116000</v>
      </c>
      <c r="R998" s="26">
        <v>40000</v>
      </c>
      <c r="S998" s="91">
        <f t="shared" si="936"/>
        <v>2.5</v>
      </c>
      <c r="T998" s="91">
        <f t="shared" si="937"/>
        <v>2.9</v>
      </c>
      <c r="U998" s="27" t="s">
        <v>192</v>
      </c>
      <c r="V998" s="30" t="s">
        <v>59</v>
      </c>
      <c r="W998" s="31">
        <v>45971</v>
      </c>
      <c r="X998" s="22"/>
      <c r="Y998" s="19" t="s">
        <v>52</v>
      </c>
      <c r="Z998" s="19" t="s">
        <v>52</v>
      </c>
      <c r="AA998" s="19" t="s">
        <v>52</v>
      </c>
      <c r="AB998" s="42"/>
    </row>
    <row r="999" spans="1:33" s="29" customFormat="1" ht="15" customHeight="1" x14ac:dyDescent="0.25">
      <c r="A999" s="14">
        <v>44</v>
      </c>
      <c r="B999" s="15">
        <v>45969</v>
      </c>
      <c r="C999" s="15">
        <f>B999+8</f>
        <v>45977</v>
      </c>
      <c r="D999" s="14">
        <v>13849</v>
      </c>
      <c r="E999" s="16" t="s">
        <v>360</v>
      </c>
      <c r="F999" s="17" t="s">
        <v>361</v>
      </c>
      <c r="G999" s="17" t="s">
        <v>102</v>
      </c>
      <c r="H999" s="18" t="s">
        <v>113</v>
      </c>
      <c r="I999" s="19" t="s">
        <v>698</v>
      </c>
      <c r="J999" s="20">
        <v>45957</v>
      </c>
      <c r="K999" s="20">
        <v>45982</v>
      </c>
      <c r="L999" s="21">
        <v>150000</v>
      </c>
      <c r="M999" s="22">
        <f>SUM(N999:O999)</f>
        <v>124000</v>
      </c>
      <c r="N999" s="23">
        <v>0</v>
      </c>
      <c r="O999" s="23">
        <v>124000</v>
      </c>
      <c r="P999" s="24">
        <f t="shared" si="938"/>
        <v>150000</v>
      </c>
      <c r="Q999" s="25">
        <v>144000</v>
      </c>
      <c r="R999" s="26">
        <v>100000</v>
      </c>
      <c r="S999" s="91">
        <f t="shared" si="936"/>
        <v>1.5</v>
      </c>
      <c r="T999" s="91">
        <f t="shared" si="937"/>
        <v>1.44</v>
      </c>
      <c r="U999" s="27" t="s">
        <v>192</v>
      </c>
      <c r="V999" s="19" t="s">
        <v>51</v>
      </c>
      <c r="W999" s="20">
        <v>45957</v>
      </c>
      <c r="X999" s="22"/>
      <c r="Y999" s="19" t="s">
        <v>52</v>
      </c>
      <c r="Z999" s="19" t="s">
        <v>52</v>
      </c>
      <c r="AA999" s="19" t="s">
        <v>52</v>
      </c>
      <c r="AB999" s="28"/>
    </row>
    <row r="1000" spans="1:33" s="29" customFormat="1" ht="15" customHeight="1" x14ac:dyDescent="0.25">
      <c r="A1000" s="14">
        <v>5</v>
      </c>
      <c r="B1000" s="15">
        <v>45969</v>
      </c>
      <c r="C1000" s="15">
        <f t="shared" ref="C1000:C1006" si="940">B1000+8</f>
        <v>45977</v>
      </c>
      <c r="D1000" s="14">
        <v>13690</v>
      </c>
      <c r="E1000" s="16" t="s">
        <v>299</v>
      </c>
      <c r="F1000" s="17" t="s">
        <v>300</v>
      </c>
      <c r="G1000" s="17" t="s">
        <v>132</v>
      </c>
      <c r="H1000" s="18" t="s">
        <v>133</v>
      </c>
      <c r="I1000" s="19" t="s">
        <v>198</v>
      </c>
      <c r="J1000" s="20">
        <v>45930</v>
      </c>
      <c r="K1000" s="20">
        <v>45978</v>
      </c>
      <c r="L1000" s="21">
        <v>200000</v>
      </c>
      <c r="M1000" s="22">
        <f>SUM(N1000:O1000)</f>
        <v>200000</v>
      </c>
      <c r="N1000" s="23">
        <v>0</v>
      </c>
      <c r="O1000" s="23">
        <v>200000</v>
      </c>
      <c r="P1000" s="24">
        <f t="shared" si="938"/>
        <v>200000</v>
      </c>
      <c r="Q1000" s="25">
        <v>176000</v>
      </c>
      <c r="R1000" s="26">
        <v>128000</v>
      </c>
      <c r="S1000" s="91">
        <f t="shared" si="936"/>
        <v>1.5625</v>
      </c>
      <c r="T1000" s="91">
        <f t="shared" si="937"/>
        <v>1.375</v>
      </c>
      <c r="U1000" s="27" t="s">
        <v>56</v>
      </c>
      <c r="V1000" s="30" t="s">
        <v>59</v>
      </c>
      <c r="W1000" s="31">
        <v>45967</v>
      </c>
      <c r="X1000" s="22"/>
      <c r="Y1000" s="19" t="s">
        <v>52</v>
      </c>
      <c r="Z1000" s="19" t="s">
        <v>52</v>
      </c>
      <c r="AA1000" s="19" t="s">
        <v>52</v>
      </c>
      <c r="AB1000" s="28"/>
    </row>
    <row r="1001" spans="1:33" s="29" customFormat="1" ht="15" customHeight="1" x14ac:dyDescent="0.25">
      <c r="A1001" s="14">
        <v>14</v>
      </c>
      <c r="B1001" s="15">
        <v>45969</v>
      </c>
      <c r="C1001" s="15">
        <f>B1001+8</f>
        <v>45977</v>
      </c>
      <c r="D1001" s="14">
        <v>13740</v>
      </c>
      <c r="E1001" s="16" t="s">
        <v>160</v>
      </c>
      <c r="F1001" s="17" t="s">
        <v>161</v>
      </c>
      <c r="G1001" s="17" t="s">
        <v>132</v>
      </c>
      <c r="H1001" s="18" t="s">
        <v>775</v>
      </c>
      <c r="I1001" s="19" t="s">
        <v>135</v>
      </c>
      <c r="J1001" s="20">
        <v>45938</v>
      </c>
      <c r="K1001" s="20">
        <v>45982</v>
      </c>
      <c r="L1001" s="21">
        <v>170000</v>
      </c>
      <c r="M1001" s="22">
        <f>SUM(N1001:O1001)</f>
        <v>204000</v>
      </c>
      <c r="N1001" s="23">
        <v>0</v>
      </c>
      <c r="O1001" s="23">
        <v>204000</v>
      </c>
      <c r="P1001" s="24">
        <f t="shared" si="938"/>
        <v>170000</v>
      </c>
      <c r="Q1001" s="25">
        <v>203940</v>
      </c>
      <c r="R1001" s="26">
        <v>175500</v>
      </c>
      <c r="S1001" s="91">
        <f t="shared" si="936"/>
        <v>0.96866096866096862</v>
      </c>
      <c r="T1001" s="91">
        <f t="shared" si="937"/>
        <v>1.1620512820512821</v>
      </c>
      <c r="U1001" s="27" t="s">
        <v>56</v>
      </c>
      <c r="V1001" s="30" t="s">
        <v>59</v>
      </c>
      <c r="W1001" s="31">
        <v>45969</v>
      </c>
      <c r="X1001" s="22"/>
      <c r="Y1001" s="19" t="s">
        <v>52</v>
      </c>
      <c r="Z1001" s="19" t="s">
        <v>52</v>
      </c>
      <c r="AA1001" s="19" t="s">
        <v>52</v>
      </c>
      <c r="AB1001" s="28"/>
    </row>
    <row r="1002" spans="1:33" s="29" customFormat="1" ht="15" customHeight="1" x14ac:dyDescent="0.25">
      <c r="A1002" s="14">
        <v>6</v>
      </c>
      <c r="B1002" s="15">
        <v>45969</v>
      </c>
      <c r="C1002" s="15">
        <f t="shared" si="940"/>
        <v>45977</v>
      </c>
      <c r="D1002" s="14">
        <v>13721</v>
      </c>
      <c r="E1002" s="16" t="s">
        <v>147</v>
      </c>
      <c r="F1002" s="17" t="s">
        <v>260</v>
      </c>
      <c r="G1002" s="17" t="s">
        <v>132</v>
      </c>
      <c r="H1002" s="18" t="s">
        <v>775</v>
      </c>
      <c r="I1002" s="19" t="s">
        <v>135</v>
      </c>
      <c r="J1002" s="20">
        <v>45938</v>
      </c>
      <c r="K1002" s="20">
        <v>45980</v>
      </c>
      <c r="L1002" s="21">
        <v>75000</v>
      </c>
      <c r="M1002" s="22">
        <f t="shared" ref="M1002" si="941">SUM(N1002:O1002)</f>
        <v>88400</v>
      </c>
      <c r="N1002" s="23">
        <v>0</v>
      </c>
      <c r="O1002" s="23">
        <v>88400</v>
      </c>
      <c r="P1002" s="24">
        <f t="shared" ref="P1002:P1006" si="942">L1002-N1002</f>
        <v>75000</v>
      </c>
      <c r="Q1002" s="25">
        <v>88390</v>
      </c>
      <c r="R1002" s="26">
        <v>57330</v>
      </c>
      <c r="S1002" s="91">
        <f t="shared" si="936"/>
        <v>1.3082155939298796</v>
      </c>
      <c r="T1002" s="91">
        <f t="shared" si="937"/>
        <v>1.5417756846328274</v>
      </c>
      <c r="U1002" s="27" t="s">
        <v>56</v>
      </c>
      <c r="V1002" s="19" t="s">
        <v>51</v>
      </c>
      <c r="W1002" s="20">
        <v>45961</v>
      </c>
      <c r="X1002" s="22"/>
      <c r="Y1002" s="19" t="s">
        <v>52</v>
      </c>
      <c r="Z1002" s="19" t="s">
        <v>52</v>
      </c>
      <c r="AA1002" s="19" t="s">
        <v>52</v>
      </c>
      <c r="AB1002" s="28"/>
    </row>
    <row r="1003" spans="1:33" s="29" customFormat="1" ht="15" customHeight="1" x14ac:dyDescent="0.25">
      <c r="A1003" s="14">
        <v>7</v>
      </c>
      <c r="B1003" s="15">
        <v>45969</v>
      </c>
      <c r="C1003" s="15">
        <f t="shared" si="940"/>
        <v>45977</v>
      </c>
      <c r="D1003" s="14">
        <v>13722</v>
      </c>
      <c r="E1003" s="16" t="s">
        <v>154</v>
      </c>
      <c r="F1003" s="17" t="s">
        <v>155</v>
      </c>
      <c r="G1003" s="17" t="s">
        <v>132</v>
      </c>
      <c r="H1003" s="18" t="s">
        <v>775</v>
      </c>
      <c r="I1003" s="19" t="s">
        <v>135</v>
      </c>
      <c r="J1003" s="20">
        <v>45938</v>
      </c>
      <c r="K1003" s="20">
        <v>45980</v>
      </c>
      <c r="L1003" s="21">
        <v>110000</v>
      </c>
      <c r="M1003" s="22">
        <f t="shared" ref="M1003:M1006" si="943">SUM(N1003:O1003)</f>
        <v>57330</v>
      </c>
      <c r="N1003" s="23">
        <v>0</v>
      </c>
      <c r="O1003" s="23">
        <v>57330</v>
      </c>
      <c r="P1003" s="24">
        <f t="shared" si="942"/>
        <v>110000</v>
      </c>
      <c r="Q1003" s="25">
        <v>57330</v>
      </c>
      <c r="R1003" s="26">
        <v>57330</v>
      </c>
      <c r="S1003" s="91">
        <f t="shared" si="936"/>
        <v>1.9187162044304902</v>
      </c>
      <c r="T1003" s="91">
        <f t="shared" si="937"/>
        <v>1</v>
      </c>
      <c r="U1003" s="27" t="s">
        <v>56</v>
      </c>
      <c r="V1003" s="19" t="s">
        <v>51</v>
      </c>
      <c r="W1003" s="20">
        <v>45961</v>
      </c>
      <c r="X1003" s="22"/>
      <c r="Y1003" s="19" t="s">
        <v>52</v>
      </c>
      <c r="Z1003" s="19" t="s">
        <v>52</v>
      </c>
      <c r="AA1003" s="19" t="s">
        <v>52</v>
      </c>
      <c r="AB1003" s="28"/>
    </row>
    <row r="1004" spans="1:33" s="29" customFormat="1" ht="15" customHeight="1" x14ac:dyDescent="0.25">
      <c r="A1004" s="14">
        <v>8</v>
      </c>
      <c r="B1004" s="15">
        <v>45969</v>
      </c>
      <c r="C1004" s="15">
        <f t="shared" si="940"/>
        <v>45977</v>
      </c>
      <c r="D1004" s="14">
        <v>13723</v>
      </c>
      <c r="E1004" s="16" t="s">
        <v>248</v>
      </c>
      <c r="F1004" s="17" t="s">
        <v>249</v>
      </c>
      <c r="G1004" s="17" t="s">
        <v>132</v>
      </c>
      <c r="H1004" s="18" t="s">
        <v>775</v>
      </c>
      <c r="I1004" s="19" t="s">
        <v>135</v>
      </c>
      <c r="J1004" s="20">
        <v>45938</v>
      </c>
      <c r="K1004" s="20">
        <v>45980</v>
      </c>
      <c r="L1004" s="21">
        <v>120000</v>
      </c>
      <c r="M1004" s="22">
        <f t="shared" si="943"/>
        <v>137500</v>
      </c>
      <c r="N1004" s="23">
        <v>0</v>
      </c>
      <c r="O1004" s="23">
        <v>137500</v>
      </c>
      <c r="P1004" s="24">
        <f t="shared" si="942"/>
        <v>120000</v>
      </c>
      <c r="Q1004" s="25">
        <v>137490</v>
      </c>
      <c r="R1004" s="26">
        <v>57330</v>
      </c>
      <c r="S1004" s="91">
        <f t="shared" si="936"/>
        <v>2.0931449502878072</v>
      </c>
      <c r="T1004" s="91">
        <f t="shared" si="937"/>
        <v>2.3982208267922553</v>
      </c>
      <c r="U1004" s="27" t="s">
        <v>56</v>
      </c>
      <c r="V1004" s="30" t="s">
        <v>59</v>
      </c>
      <c r="W1004" s="31">
        <v>45967</v>
      </c>
      <c r="X1004" s="22"/>
      <c r="Y1004" s="19" t="s">
        <v>52</v>
      </c>
      <c r="Z1004" s="19" t="s">
        <v>52</v>
      </c>
      <c r="AA1004" s="19" t="s">
        <v>52</v>
      </c>
      <c r="AB1004" s="28"/>
    </row>
    <row r="1005" spans="1:33" s="29" customFormat="1" ht="15" customHeight="1" x14ac:dyDescent="0.25">
      <c r="A1005" s="14">
        <v>9</v>
      </c>
      <c r="B1005" s="15">
        <v>45969</v>
      </c>
      <c r="C1005" s="15">
        <f t="shared" si="940"/>
        <v>45977</v>
      </c>
      <c r="D1005" s="14">
        <v>13724</v>
      </c>
      <c r="E1005" s="16" t="s">
        <v>158</v>
      </c>
      <c r="F1005" s="17" t="s">
        <v>159</v>
      </c>
      <c r="G1005" s="17" t="s">
        <v>132</v>
      </c>
      <c r="H1005" s="18" t="s">
        <v>775</v>
      </c>
      <c r="I1005" s="19" t="s">
        <v>135</v>
      </c>
      <c r="J1005" s="20">
        <v>45938</v>
      </c>
      <c r="K1005" s="20">
        <v>45980</v>
      </c>
      <c r="L1005" s="21">
        <v>300000</v>
      </c>
      <c r="M1005" s="22">
        <f t="shared" si="943"/>
        <v>57330</v>
      </c>
      <c r="N1005" s="23">
        <v>0</v>
      </c>
      <c r="O1005" s="23">
        <v>57330</v>
      </c>
      <c r="P1005" s="24">
        <f t="shared" si="942"/>
        <v>300000</v>
      </c>
      <c r="Q1005" s="25">
        <v>57330</v>
      </c>
      <c r="R1005" s="26">
        <v>57330</v>
      </c>
      <c r="S1005" s="91">
        <f t="shared" si="936"/>
        <v>5.2328623757195185</v>
      </c>
      <c r="T1005" s="91">
        <f t="shared" si="937"/>
        <v>1</v>
      </c>
      <c r="U1005" s="27" t="s">
        <v>56</v>
      </c>
      <c r="V1005" s="30" t="s">
        <v>59</v>
      </c>
      <c r="W1005" s="31">
        <v>45967</v>
      </c>
      <c r="X1005" s="22"/>
      <c r="Y1005" s="19" t="s">
        <v>52</v>
      </c>
      <c r="Z1005" s="19" t="s">
        <v>52</v>
      </c>
      <c r="AA1005" s="19" t="s">
        <v>52</v>
      </c>
      <c r="AB1005" s="28"/>
    </row>
    <row r="1006" spans="1:33" s="29" customFormat="1" ht="15" customHeight="1" x14ac:dyDescent="0.25">
      <c r="A1006" s="14">
        <v>10</v>
      </c>
      <c r="B1006" s="15">
        <v>45969</v>
      </c>
      <c r="C1006" s="15">
        <f t="shared" si="940"/>
        <v>45977</v>
      </c>
      <c r="D1006" s="14">
        <v>13725</v>
      </c>
      <c r="E1006" s="16" t="s">
        <v>148</v>
      </c>
      <c r="F1006" s="17" t="s">
        <v>149</v>
      </c>
      <c r="G1006" s="17" t="s">
        <v>132</v>
      </c>
      <c r="H1006" s="18" t="s">
        <v>775</v>
      </c>
      <c r="I1006" s="19" t="s">
        <v>135</v>
      </c>
      <c r="J1006" s="20">
        <v>45938</v>
      </c>
      <c r="K1006" s="20">
        <v>45980</v>
      </c>
      <c r="L1006" s="21">
        <v>80000</v>
      </c>
      <c r="M1006" s="22">
        <f t="shared" si="943"/>
        <v>71860</v>
      </c>
      <c r="N1006" s="23">
        <v>0</v>
      </c>
      <c r="O1006" s="23">
        <v>71860</v>
      </c>
      <c r="P1006" s="24">
        <f t="shared" si="942"/>
        <v>80000</v>
      </c>
      <c r="Q1006" s="25">
        <v>71850</v>
      </c>
      <c r="R1006" s="26">
        <v>57330</v>
      </c>
      <c r="S1006" s="91">
        <f t="shared" si="936"/>
        <v>1.3954299668585384</v>
      </c>
      <c r="T1006" s="91">
        <f t="shared" si="937"/>
        <v>1.2532705389848247</v>
      </c>
      <c r="U1006" s="27" t="s">
        <v>56</v>
      </c>
      <c r="V1006" s="30" t="s">
        <v>59</v>
      </c>
      <c r="W1006" s="31">
        <v>45967</v>
      </c>
      <c r="X1006" s="22"/>
      <c r="Y1006" s="19" t="s">
        <v>52</v>
      </c>
      <c r="Z1006" s="19" t="s">
        <v>52</v>
      </c>
      <c r="AA1006" s="19" t="s">
        <v>52</v>
      </c>
      <c r="AB1006" s="28"/>
    </row>
    <row r="1007" spans="1:33" ht="15" customHeight="1" x14ac:dyDescent="0.25">
      <c r="A1007" s="33" t="s">
        <v>71</v>
      </c>
      <c r="B1007" s="34"/>
      <c r="C1007" s="34"/>
      <c r="D1007" s="34"/>
      <c r="E1007" s="34"/>
      <c r="F1007" s="35"/>
      <c r="G1007" s="35"/>
      <c r="H1007" s="34"/>
      <c r="I1007" s="34"/>
      <c r="J1007" s="34"/>
      <c r="K1007" s="34"/>
      <c r="L1007" s="36"/>
      <c r="M1007" s="36"/>
      <c r="N1007" s="36"/>
      <c r="O1007" s="36"/>
      <c r="P1007" s="36"/>
      <c r="Q1007" s="36">
        <f>SUM(Q994:Q1006)</f>
        <v>2011330</v>
      </c>
      <c r="R1007" s="36"/>
      <c r="S1007" s="92"/>
      <c r="T1007" s="93">
        <f>SUM(T994:T1006)</f>
        <v>21.396984999127856</v>
      </c>
      <c r="U1007" s="37"/>
      <c r="V1007" s="38"/>
      <c r="W1007" s="38"/>
      <c r="X1007" s="38"/>
      <c r="Y1007" s="34"/>
      <c r="Z1007" s="34"/>
      <c r="AA1007" s="39"/>
      <c r="AB1007" s="29" t="s">
        <v>947</v>
      </c>
      <c r="AC1007" s="81" t="s">
        <v>955</v>
      </c>
      <c r="AD1007" s="83">
        <v>5000</v>
      </c>
      <c r="AF1007" s="83">
        <v>0</v>
      </c>
      <c r="AG1007" s="83">
        <f>SUM(AD1007,AF1007)</f>
        <v>5000</v>
      </c>
    </row>
    <row r="1008" spans="1:33" s="29" customFormat="1" ht="15" customHeight="1" x14ac:dyDescent="0.25">
      <c r="A1008" s="14">
        <v>2</v>
      </c>
      <c r="B1008" s="15">
        <v>45974</v>
      </c>
      <c r="C1008" s="15">
        <f>B1008+8</f>
        <v>45982</v>
      </c>
      <c r="D1008" s="14">
        <v>13801</v>
      </c>
      <c r="E1008" s="16" t="s">
        <v>808</v>
      </c>
      <c r="F1008" s="40" t="s">
        <v>657</v>
      </c>
      <c r="G1008" s="17" t="s">
        <v>75</v>
      </c>
      <c r="H1008" s="18" t="s">
        <v>57</v>
      </c>
      <c r="I1008" s="19" t="s">
        <v>94</v>
      </c>
      <c r="J1008" s="20">
        <v>45947</v>
      </c>
      <c r="K1008" s="20">
        <v>45968</v>
      </c>
      <c r="L1008" s="21">
        <v>1500000</v>
      </c>
      <c r="M1008" s="22">
        <f>SUM(N1008:O1008)</f>
        <v>1609000</v>
      </c>
      <c r="N1008" s="23">
        <v>1400000</v>
      </c>
      <c r="O1008" s="23">
        <v>209000</v>
      </c>
      <c r="P1008" s="24">
        <f>L1008-N1008</f>
        <v>100000</v>
      </c>
      <c r="Q1008" s="25">
        <v>209000</v>
      </c>
      <c r="R1008" s="26">
        <v>100000</v>
      </c>
      <c r="S1008" s="91">
        <f t="shared" ref="S1008:S1014" si="944">IF(P1008&gt;0,P1008/$R1008,0)</f>
        <v>1</v>
      </c>
      <c r="T1008" s="91">
        <f t="shared" ref="T1008:T1014" si="945">IF(Q1008&gt;0,Q1008/$R1008,0)</f>
        <v>2.09</v>
      </c>
      <c r="U1008" s="27" t="s">
        <v>192</v>
      </c>
      <c r="V1008" s="19" t="s">
        <v>51</v>
      </c>
      <c r="W1008" s="20">
        <v>45953</v>
      </c>
      <c r="X1008" s="22"/>
      <c r="Y1008" s="19" t="s">
        <v>52</v>
      </c>
      <c r="Z1008" s="19" t="s">
        <v>52</v>
      </c>
      <c r="AA1008" s="19" t="s">
        <v>52</v>
      </c>
      <c r="AB1008" s="28"/>
    </row>
    <row r="1009" spans="1:33" s="29" customFormat="1" ht="15" customHeight="1" x14ac:dyDescent="0.25">
      <c r="A1009" s="14">
        <v>45</v>
      </c>
      <c r="B1009" s="15">
        <v>45974</v>
      </c>
      <c r="C1009" s="15">
        <f>B1009+8</f>
        <v>45982</v>
      </c>
      <c r="D1009" s="14">
        <v>13811</v>
      </c>
      <c r="E1009" s="16" t="s">
        <v>111</v>
      </c>
      <c r="F1009" s="17" t="s">
        <v>481</v>
      </c>
      <c r="G1009" s="17" t="s">
        <v>102</v>
      </c>
      <c r="H1009" s="18" t="s">
        <v>57</v>
      </c>
      <c r="I1009" s="19" t="s">
        <v>94</v>
      </c>
      <c r="J1009" s="20">
        <v>45951</v>
      </c>
      <c r="K1009" s="20">
        <v>45985</v>
      </c>
      <c r="L1009" s="21">
        <v>100000</v>
      </c>
      <c r="M1009" s="22">
        <f>SUM(N1009:O1009)</f>
        <v>101000</v>
      </c>
      <c r="N1009" s="23">
        <v>0</v>
      </c>
      <c r="O1009" s="23">
        <v>101000</v>
      </c>
      <c r="P1009" s="24">
        <f>L1009-N1009</f>
        <v>100000</v>
      </c>
      <c r="Q1009" s="25">
        <v>101000</v>
      </c>
      <c r="R1009" s="26">
        <v>42000</v>
      </c>
      <c r="S1009" s="91">
        <f t="shared" si="944"/>
        <v>2.3809523809523809</v>
      </c>
      <c r="T1009" s="91">
        <f t="shared" si="945"/>
        <v>2.4047619047619047</v>
      </c>
      <c r="U1009" s="27" t="s">
        <v>192</v>
      </c>
      <c r="V1009" s="30" t="s">
        <v>59</v>
      </c>
      <c r="W1009" s="31">
        <v>45968</v>
      </c>
      <c r="X1009" s="22"/>
      <c r="Y1009" s="19" t="s">
        <v>52</v>
      </c>
      <c r="Z1009" s="19" t="s">
        <v>52</v>
      </c>
      <c r="AA1009" s="19" t="s">
        <v>52</v>
      </c>
      <c r="AB1009" s="28"/>
    </row>
    <row r="1010" spans="1:33" s="29" customFormat="1" ht="15" customHeight="1" x14ac:dyDescent="0.25">
      <c r="A1010" s="14">
        <v>35</v>
      </c>
      <c r="B1010" s="15">
        <v>45974</v>
      </c>
      <c r="C1010" s="15">
        <f>B1010+8</f>
        <v>45982</v>
      </c>
      <c r="D1010" s="14">
        <v>13777</v>
      </c>
      <c r="E1010" s="16" t="s">
        <v>917</v>
      </c>
      <c r="F1010" s="17" t="s">
        <v>538</v>
      </c>
      <c r="G1010" s="17" t="s">
        <v>102</v>
      </c>
      <c r="H1010" s="18" t="s">
        <v>57</v>
      </c>
      <c r="I1010" s="19" t="s">
        <v>58</v>
      </c>
      <c r="J1010" s="20">
        <v>45945</v>
      </c>
      <c r="K1010" s="20">
        <v>45973</v>
      </c>
      <c r="L1010" s="21">
        <v>300000</v>
      </c>
      <c r="M1010" s="22">
        <f t="shared" ref="M1010" si="946">SUM(N1010:O1010)</f>
        <v>257000</v>
      </c>
      <c r="N1010" s="23">
        <v>50000</v>
      </c>
      <c r="O1010" s="23">
        <v>207000</v>
      </c>
      <c r="P1010" s="24">
        <f>L1010-N1010</f>
        <v>250000</v>
      </c>
      <c r="Q1010" s="25">
        <v>207000</v>
      </c>
      <c r="R1010" s="26">
        <v>100000</v>
      </c>
      <c r="S1010" s="91">
        <f t="shared" si="944"/>
        <v>2.5</v>
      </c>
      <c r="T1010" s="91">
        <f t="shared" si="945"/>
        <v>2.0699999999999998</v>
      </c>
      <c r="U1010" s="27" t="s">
        <v>192</v>
      </c>
      <c r="V1010" s="19" t="s">
        <v>51</v>
      </c>
      <c r="W1010" s="20">
        <v>45957</v>
      </c>
      <c r="X1010" s="22"/>
      <c r="Y1010" s="19" t="s">
        <v>52</v>
      </c>
      <c r="Z1010" s="19" t="s">
        <v>52</v>
      </c>
      <c r="AA1010" s="19" t="s">
        <v>52</v>
      </c>
      <c r="AB1010" s="28"/>
    </row>
    <row r="1011" spans="1:33" s="29" customFormat="1" ht="15" customHeight="1" x14ac:dyDescent="0.25">
      <c r="A1011" s="14">
        <v>3</v>
      </c>
      <c r="B1011" s="15">
        <v>45974</v>
      </c>
      <c r="C1011" s="15">
        <f>B1011+8</f>
        <v>45982</v>
      </c>
      <c r="D1011" s="14">
        <v>13846</v>
      </c>
      <c r="E1011" s="16" t="s">
        <v>702</v>
      </c>
      <c r="F1011" s="17" t="s">
        <v>703</v>
      </c>
      <c r="G1011" s="17" t="s">
        <v>47</v>
      </c>
      <c r="H1011" s="18" t="s">
        <v>542</v>
      </c>
      <c r="I1011" s="19" t="s">
        <v>104</v>
      </c>
      <c r="J1011" s="20">
        <v>45957</v>
      </c>
      <c r="K1011" s="20">
        <v>45985</v>
      </c>
      <c r="L1011" s="21">
        <v>1500000</v>
      </c>
      <c r="M1011" s="22">
        <f t="shared" ref="M1011" si="947">SUM(N1011:O1011)</f>
        <v>1134000</v>
      </c>
      <c r="N1011" s="23">
        <v>0</v>
      </c>
      <c r="O1011" s="23">
        <v>1134000</v>
      </c>
      <c r="P1011" s="24">
        <f t="shared" ref="P1011:P1013" si="948">L1011-N1011</f>
        <v>1500000</v>
      </c>
      <c r="Q1011" s="25">
        <v>1134000</v>
      </c>
      <c r="R1011" s="26">
        <v>94500</v>
      </c>
      <c r="S1011" s="91">
        <f t="shared" si="944"/>
        <v>15.873015873015873</v>
      </c>
      <c r="T1011" s="91">
        <f t="shared" si="945"/>
        <v>12</v>
      </c>
      <c r="U1011" s="27" t="s">
        <v>192</v>
      </c>
      <c r="V1011" s="30" t="s">
        <v>68</v>
      </c>
      <c r="W1011" s="31" t="s">
        <v>68</v>
      </c>
      <c r="X1011" s="22"/>
      <c r="Y1011" s="19" t="s">
        <v>52</v>
      </c>
      <c r="Z1011" s="19" t="s">
        <v>52</v>
      </c>
      <c r="AA1011" s="19" t="s">
        <v>52</v>
      </c>
      <c r="AB1011" s="42"/>
    </row>
    <row r="1012" spans="1:33" s="29" customFormat="1" ht="15" customHeight="1" x14ac:dyDescent="0.25">
      <c r="A1012" s="14">
        <v>7</v>
      </c>
      <c r="B1012" s="15">
        <v>45974</v>
      </c>
      <c r="C1012" s="15">
        <f t="shared" ref="C1012:C1013" si="949">B1012+8</f>
        <v>45982</v>
      </c>
      <c r="D1012" s="14">
        <v>13722</v>
      </c>
      <c r="E1012" s="16" t="s">
        <v>154</v>
      </c>
      <c r="F1012" s="17" t="s">
        <v>155</v>
      </c>
      <c r="G1012" s="17" t="s">
        <v>132</v>
      </c>
      <c r="H1012" s="18" t="s">
        <v>775</v>
      </c>
      <c r="I1012" s="19" t="s">
        <v>135</v>
      </c>
      <c r="J1012" s="20">
        <v>45938</v>
      </c>
      <c r="K1012" s="20">
        <v>45980</v>
      </c>
      <c r="L1012" s="21">
        <v>110000</v>
      </c>
      <c r="M1012" s="22">
        <f t="shared" ref="M1012:M1013" si="950">SUM(N1012:O1012)</f>
        <v>112720</v>
      </c>
      <c r="N1012" s="23">
        <v>57330</v>
      </c>
      <c r="O1012" s="23">
        <v>55390</v>
      </c>
      <c r="P1012" s="24">
        <f t="shared" si="948"/>
        <v>52670</v>
      </c>
      <c r="Q1012" s="25">
        <v>55390</v>
      </c>
      <c r="R1012" s="26">
        <v>57330</v>
      </c>
      <c r="S1012" s="91">
        <f t="shared" si="944"/>
        <v>0.91871620443049018</v>
      </c>
      <c r="T1012" s="91">
        <f t="shared" si="945"/>
        <v>0.96616082330368047</v>
      </c>
      <c r="U1012" s="27" t="s">
        <v>56</v>
      </c>
      <c r="V1012" s="19" t="s">
        <v>51</v>
      </c>
      <c r="W1012" s="20">
        <v>45961</v>
      </c>
      <c r="X1012" s="22"/>
      <c r="Y1012" s="19" t="s">
        <v>52</v>
      </c>
      <c r="Z1012" s="19" t="s">
        <v>52</v>
      </c>
      <c r="AA1012" s="19" t="s">
        <v>52</v>
      </c>
      <c r="AB1012" s="28"/>
    </row>
    <row r="1013" spans="1:33" s="29" customFormat="1" ht="15" customHeight="1" x14ac:dyDescent="0.25">
      <c r="A1013" s="14">
        <v>11</v>
      </c>
      <c r="B1013" s="15">
        <v>45974</v>
      </c>
      <c r="C1013" s="15">
        <f t="shared" si="949"/>
        <v>45982</v>
      </c>
      <c r="D1013" s="14">
        <v>13728</v>
      </c>
      <c r="E1013" s="16" t="s">
        <v>268</v>
      </c>
      <c r="F1013" s="17" t="s">
        <v>899</v>
      </c>
      <c r="G1013" s="17" t="s">
        <v>132</v>
      </c>
      <c r="H1013" s="18" t="s">
        <v>775</v>
      </c>
      <c r="I1013" s="19" t="s">
        <v>135</v>
      </c>
      <c r="J1013" s="20">
        <v>45938</v>
      </c>
      <c r="K1013" s="20">
        <v>45980</v>
      </c>
      <c r="L1013" s="21">
        <v>50000</v>
      </c>
      <c r="M1013" s="22">
        <f t="shared" si="950"/>
        <v>112720</v>
      </c>
      <c r="N1013" s="23">
        <v>57330</v>
      </c>
      <c r="O1013" s="23">
        <v>55390</v>
      </c>
      <c r="P1013" s="24">
        <f t="shared" si="948"/>
        <v>-7330</v>
      </c>
      <c r="Q1013" s="25">
        <v>62560</v>
      </c>
      <c r="R1013" s="26">
        <v>57330</v>
      </c>
      <c r="S1013" s="91">
        <f t="shared" si="944"/>
        <v>0</v>
      </c>
      <c r="T1013" s="91">
        <f t="shared" si="945"/>
        <v>1.0912262340833769</v>
      </c>
      <c r="U1013" s="27" t="s">
        <v>56</v>
      </c>
      <c r="V1013" s="30" t="s">
        <v>59</v>
      </c>
      <c r="W1013" s="31">
        <v>45967</v>
      </c>
      <c r="X1013" s="22"/>
      <c r="Y1013" s="19" t="s">
        <v>52</v>
      </c>
      <c r="Z1013" s="19" t="s">
        <v>52</v>
      </c>
      <c r="AA1013" s="19" t="s">
        <v>52</v>
      </c>
      <c r="AB1013" s="28"/>
    </row>
    <row r="1014" spans="1:33" s="29" customFormat="1" ht="15" customHeight="1" x14ac:dyDescent="0.25">
      <c r="A1014" s="14">
        <v>16</v>
      </c>
      <c r="B1014" s="15">
        <v>45974</v>
      </c>
      <c r="C1014" s="15">
        <f>B1014+8</f>
        <v>45982</v>
      </c>
      <c r="D1014" s="14">
        <v>13434</v>
      </c>
      <c r="E1014" s="16" t="s">
        <v>358</v>
      </c>
      <c r="F1014" s="17" t="s">
        <v>359</v>
      </c>
      <c r="G1014" s="17" t="s">
        <v>132</v>
      </c>
      <c r="H1014" s="18" t="s">
        <v>162</v>
      </c>
      <c r="I1014" s="19" t="s">
        <v>198</v>
      </c>
      <c r="J1014" s="20">
        <v>45891</v>
      </c>
      <c r="K1014" s="20">
        <v>45953</v>
      </c>
      <c r="L1014" s="21">
        <v>350000</v>
      </c>
      <c r="M1014" s="22">
        <f>SUM(N1014:O1014)</f>
        <v>564310</v>
      </c>
      <c r="N1014" s="23">
        <v>378720</v>
      </c>
      <c r="O1014" s="23">
        <v>185590</v>
      </c>
      <c r="P1014" s="24">
        <f>L1014-N1014</f>
        <v>-28720</v>
      </c>
      <c r="Q1014" s="25">
        <v>185590</v>
      </c>
      <c r="R1014" s="26">
        <v>324000</v>
      </c>
      <c r="S1014" s="91">
        <f t="shared" si="944"/>
        <v>0</v>
      </c>
      <c r="T1014" s="91">
        <f t="shared" si="945"/>
        <v>0.57280864197530867</v>
      </c>
      <c r="U1014" s="27" t="s">
        <v>56</v>
      </c>
      <c r="V1014" s="19" t="s">
        <v>51</v>
      </c>
      <c r="W1014" s="20">
        <v>45948</v>
      </c>
      <c r="X1014" s="22"/>
      <c r="Y1014" s="19" t="s">
        <v>52</v>
      </c>
      <c r="Z1014" s="19" t="s">
        <v>52</v>
      </c>
      <c r="AA1014" s="19" t="s">
        <v>52</v>
      </c>
      <c r="AB1014" s="28"/>
    </row>
    <row r="1015" spans="1:33" ht="15" customHeight="1" x14ac:dyDescent="0.25">
      <c r="A1015" s="33" t="s">
        <v>71</v>
      </c>
      <c r="B1015" s="34"/>
      <c r="C1015" s="34"/>
      <c r="D1015" s="34"/>
      <c r="E1015" s="34"/>
      <c r="F1015" s="35"/>
      <c r="G1015" s="35"/>
      <c r="H1015" s="34"/>
      <c r="I1015" s="34"/>
      <c r="J1015" s="34"/>
      <c r="K1015" s="34"/>
      <c r="L1015" s="36"/>
      <c r="M1015" s="36"/>
      <c r="N1015" s="36"/>
      <c r="O1015" s="36"/>
      <c r="P1015" s="36"/>
      <c r="Q1015" s="36">
        <f>SUM(Q1008:Q1014)</f>
        <v>1954540</v>
      </c>
      <c r="R1015" s="36"/>
      <c r="S1015" s="92"/>
      <c r="T1015" s="93">
        <f>SUM(T1008:T1014)</f>
        <v>21.194957604124269</v>
      </c>
      <c r="U1015" s="37"/>
      <c r="V1015" s="38"/>
      <c r="W1015" s="38"/>
      <c r="X1015" s="38"/>
      <c r="Y1015" s="34"/>
      <c r="Z1015" s="34"/>
      <c r="AA1015" s="39"/>
      <c r="AB1015" s="29" t="s">
        <v>949</v>
      </c>
      <c r="AC1015" s="81" t="s">
        <v>965</v>
      </c>
      <c r="AD1015" s="83">
        <v>5000</v>
      </c>
      <c r="AF1015" s="83">
        <v>0</v>
      </c>
      <c r="AG1015" s="83">
        <f>SUM(AD1015,AF1015)</f>
        <v>5000</v>
      </c>
    </row>
    <row r="1016" spans="1:33" s="29" customFormat="1" ht="15" customHeight="1" x14ac:dyDescent="0.25">
      <c r="A1016" s="14">
        <v>4</v>
      </c>
      <c r="B1016" s="15">
        <v>45976</v>
      </c>
      <c r="C1016" s="15">
        <f t="shared" ref="C1016" si="951">B1016+8</f>
        <v>45984</v>
      </c>
      <c r="D1016" s="14">
        <v>13776</v>
      </c>
      <c r="E1016" s="16" t="s">
        <v>918</v>
      </c>
      <c r="F1016" s="40" t="s">
        <v>474</v>
      </c>
      <c r="G1016" s="17" t="s">
        <v>75</v>
      </c>
      <c r="H1016" s="18" t="s">
        <v>57</v>
      </c>
      <c r="I1016" s="19" t="s">
        <v>58</v>
      </c>
      <c r="J1016" s="20">
        <v>45945</v>
      </c>
      <c r="K1016" s="20">
        <v>45973</v>
      </c>
      <c r="L1016" s="21">
        <v>100000</v>
      </c>
      <c r="M1016" s="22">
        <f t="shared" ref="M1016:M1028" si="952">SUM(N1016:O1016)</f>
        <v>123000</v>
      </c>
      <c r="N1016" s="23">
        <v>0</v>
      </c>
      <c r="O1016" s="23">
        <v>123000</v>
      </c>
      <c r="P1016" s="24">
        <f t="shared" ref="P1016" si="953">L1016-N1016</f>
        <v>100000</v>
      </c>
      <c r="Q1016" s="25">
        <v>60000</v>
      </c>
      <c r="R1016" s="26">
        <v>150000</v>
      </c>
      <c r="S1016" s="91">
        <f t="shared" ref="S1016:S1029" si="954">IF(P1016&gt;0,P1016/$R1016,0)</f>
        <v>0.66666666666666663</v>
      </c>
      <c r="T1016" s="91">
        <f t="shared" ref="T1016:T1029" si="955">IF(Q1016&gt;0,Q1016/$R1016,0)</f>
        <v>0.4</v>
      </c>
      <c r="U1016" s="27" t="s">
        <v>192</v>
      </c>
      <c r="V1016" s="19" t="s">
        <v>51</v>
      </c>
      <c r="W1016" s="20">
        <v>45966</v>
      </c>
      <c r="X1016" s="22"/>
      <c r="Y1016" s="19" t="s">
        <v>52</v>
      </c>
      <c r="Z1016" s="19" t="s">
        <v>52</v>
      </c>
      <c r="AA1016" s="19" t="s">
        <v>52</v>
      </c>
      <c r="AB1016" s="28"/>
    </row>
    <row r="1017" spans="1:33" s="29" customFormat="1" ht="15" customHeight="1" x14ac:dyDescent="0.25">
      <c r="A1017" s="14">
        <v>8</v>
      </c>
      <c r="B1017" s="15">
        <v>45976</v>
      </c>
      <c r="C1017" s="15">
        <f>B1017+8</f>
        <v>45984</v>
      </c>
      <c r="D1017" s="14">
        <v>13803</v>
      </c>
      <c r="E1017" s="16" t="s">
        <v>92</v>
      </c>
      <c r="F1017" s="40" t="s">
        <v>93</v>
      </c>
      <c r="G1017" s="17" t="s">
        <v>75</v>
      </c>
      <c r="H1017" s="18" t="s">
        <v>57</v>
      </c>
      <c r="I1017" s="19" t="s">
        <v>94</v>
      </c>
      <c r="J1017" s="20">
        <v>45947</v>
      </c>
      <c r="K1017" s="20">
        <v>45989</v>
      </c>
      <c r="L1017" s="21">
        <v>800000</v>
      </c>
      <c r="M1017" s="22">
        <f t="shared" si="952"/>
        <v>834000</v>
      </c>
      <c r="N1017" s="23">
        <v>750000</v>
      </c>
      <c r="O1017" s="23">
        <v>84000</v>
      </c>
      <c r="P1017" s="24">
        <f>L1017-N1017</f>
        <v>50000</v>
      </c>
      <c r="Q1017" s="25">
        <v>84000</v>
      </c>
      <c r="R1017" s="26">
        <v>150000</v>
      </c>
      <c r="S1017" s="91">
        <f t="shared" si="954"/>
        <v>0.33333333333333331</v>
      </c>
      <c r="T1017" s="91">
        <f t="shared" si="955"/>
        <v>0.56000000000000005</v>
      </c>
      <c r="U1017" s="27" t="s">
        <v>192</v>
      </c>
      <c r="V1017" s="19" t="s">
        <v>51</v>
      </c>
      <c r="W1017" s="20">
        <v>45964</v>
      </c>
      <c r="X1017" s="22"/>
      <c r="Y1017" s="19" t="s">
        <v>52</v>
      </c>
      <c r="Z1017" s="19" t="s">
        <v>52</v>
      </c>
      <c r="AA1017" s="19" t="s">
        <v>52</v>
      </c>
      <c r="AB1017" s="28"/>
    </row>
    <row r="1018" spans="1:33" s="29" customFormat="1" ht="15" customHeight="1" x14ac:dyDescent="0.25">
      <c r="A1018" s="14">
        <v>45</v>
      </c>
      <c r="B1018" s="15">
        <v>45976</v>
      </c>
      <c r="C1018" s="15">
        <f>B1018+8</f>
        <v>45984</v>
      </c>
      <c r="D1018" s="14">
        <v>13819</v>
      </c>
      <c r="E1018" s="16" t="s">
        <v>760</v>
      </c>
      <c r="F1018" s="17" t="s">
        <v>286</v>
      </c>
      <c r="G1018" s="17" t="s">
        <v>102</v>
      </c>
      <c r="H1018" s="18" t="s">
        <v>57</v>
      </c>
      <c r="I1018" s="19" t="s">
        <v>94</v>
      </c>
      <c r="J1018" s="20">
        <v>45953</v>
      </c>
      <c r="K1018" s="20">
        <v>45994</v>
      </c>
      <c r="L1018" s="21">
        <v>150000</v>
      </c>
      <c r="M1018" s="22">
        <f t="shared" si="952"/>
        <v>80000</v>
      </c>
      <c r="N1018" s="23">
        <v>35000</v>
      </c>
      <c r="O1018" s="23">
        <v>45000</v>
      </c>
      <c r="P1018" s="24">
        <f>L1018-N1018</f>
        <v>115000</v>
      </c>
      <c r="Q1018" s="25">
        <v>45000</v>
      </c>
      <c r="R1018" s="26">
        <v>30000</v>
      </c>
      <c r="S1018" s="91">
        <f t="shared" si="954"/>
        <v>3.8333333333333335</v>
      </c>
      <c r="T1018" s="91">
        <f t="shared" si="955"/>
        <v>1.5</v>
      </c>
      <c r="U1018" s="27" t="s">
        <v>192</v>
      </c>
      <c r="V1018" s="19" t="s">
        <v>51</v>
      </c>
      <c r="W1018" s="20">
        <v>45971</v>
      </c>
      <c r="X1018" s="22"/>
      <c r="Y1018" s="19" t="s">
        <v>52</v>
      </c>
      <c r="Z1018" s="19" t="s">
        <v>52</v>
      </c>
      <c r="AA1018" s="19" t="s">
        <v>52</v>
      </c>
      <c r="AB1018" s="28"/>
    </row>
    <row r="1019" spans="1:33" s="29" customFormat="1" ht="15" customHeight="1" x14ac:dyDescent="0.25">
      <c r="A1019" s="14">
        <v>11</v>
      </c>
      <c r="B1019" s="15">
        <v>45976</v>
      </c>
      <c r="C1019" s="15">
        <f t="shared" ref="C1019" si="956">B1019+8</f>
        <v>45984</v>
      </c>
      <c r="D1019" s="14">
        <v>13823</v>
      </c>
      <c r="E1019" s="16" t="s">
        <v>436</v>
      </c>
      <c r="F1019" s="40" t="s">
        <v>437</v>
      </c>
      <c r="G1019" s="17" t="s">
        <v>75</v>
      </c>
      <c r="H1019" s="18" t="s">
        <v>57</v>
      </c>
      <c r="I1019" s="19" t="s">
        <v>94</v>
      </c>
      <c r="J1019" s="20">
        <v>45953</v>
      </c>
      <c r="K1019" s="20">
        <v>45994</v>
      </c>
      <c r="L1019" s="21">
        <v>600000</v>
      </c>
      <c r="M1019" s="22">
        <f t="shared" si="952"/>
        <v>600000</v>
      </c>
      <c r="N1019" s="23">
        <v>0</v>
      </c>
      <c r="O1019" s="23">
        <v>600000</v>
      </c>
      <c r="P1019" s="24">
        <f t="shared" ref="P1019" si="957">L1019-N1019</f>
        <v>600000</v>
      </c>
      <c r="Q1019" s="25">
        <v>300000</v>
      </c>
      <c r="R1019" s="26">
        <v>150000</v>
      </c>
      <c r="S1019" s="91">
        <f t="shared" si="954"/>
        <v>4</v>
      </c>
      <c r="T1019" s="91">
        <f t="shared" si="955"/>
        <v>2</v>
      </c>
      <c r="U1019" s="27" t="s">
        <v>192</v>
      </c>
      <c r="V1019" s="19" t="s">
        <v>51</v>
      </c>
      <c r="W1019" s="20">
        <v>45968</v>
      </c>
      <c r="X1019" s="22"/>
      <c r="Y1019" s="19" t="s">
        <v>52</v>
      </c>
      <c r="Z1019" s="19" t="s">
        <v>52</v>
      </c>
      <c r="AA1019" s="19" t="s">
        <v>52</v>
      </c>
      <c r="AB1019" s="28"/>
    </row>
    <row r="1020" spans="1:33" s="29" customFormat="1" ht="15" customHeight="1" x14ac:dyDescent="0.25">
      <c r="A1020" s="14">
        <v>13</v>
      </c>
      <c r="B1020" s="15">
        <v>45976</v>
      </c>
      <c r="C1020" s="15">
        <f t="shared" ref="C1020:C1025" si="958">B1020+8</f>
        <v>45984</v>
      </c>
      <c r="D1020" s="14">
        <v>13806</v>
      </c>
      <c r="E1020" s="16" t="s">
        <v>938</v>
      </c>
      <c r="F1020" s="40" t="s">
        <v>933</v>
      </c>
      <c r="G1020" s="17" t="s">
        <v>75</v>
      </c>
      <c r="H1020" s="18" t="s">
        <v>542</v>
      </c>
      <c r="I1020" s="19" t="s">
        <v>49</v>
      </c>
      <c r="J1020" s="20">
        <v>45947</v>
      </c>
      <c r="K1020" s="20">
        <v>45999</v>
      </c>
      <c r="L1020" s="21">
        <v>150000</v>
      </c>
      <c r="M1020" s="22">
        <f t="shared" si="952"/>
        <v>138000</v>
      </c>
      <c r="N1020" s="23">
        <v>0</v>
      </c>
      <c r="O1020" s="23">
        <v>138000</v>
      </c>
      <c r="P1020" s="24">
        <f t="shared" ref="P1020:P1025" si="959">L1020-N1020</f>
        <v>150000</v>
      </c>
      <c r="Q1020" s="25">
        <v>138000</v>
      </c>
      <c r="R1020" s="26">
        <v>150000</v>
      </c>
      <c r="S1020" s="91">
        <f t="shared" si="954"/>
        <v>1</v>
      </c>
      <c r="T1020" s="91">
        <f t="shared" si="955"/>
        <v>0.92</v>
      </c>
      <c r="U1020" s="27" t="s">
        <v>192</v>
      </c>
      <c r="V1020" s="19" t="s">
        <v>51</v>
      </c>
      <c r="W1020" s="20">
        <v>45971</v>
      </c>
      <c r="X1020" s="22"/>
      <c r="Y1020" s="19" t="s">
        <v>52</v>
      </c>
      <c r="Z1020" s="19" t="s">
        <v>52</v>
      </c>
      <c r="AA1020" s="19" t="s">
        <v>52</v>
      </c>
      <c r="AB1020" s="28"/>
    </row>
    <row r="1021" spans="1:33" s="29" customFormat="1" ht="15" customHeight="1" x14ac:dyDescent="0.25">
      <c r="A1021" s="14">
        <v>3</v>
      </c>
      <c r="B1021" s="15">
        <v>45976</v>
      </c>
      <c r="C1021" s="15">
        <f t="shared" si="958"/>
        <v>45984</v>
      </c>
      <c r="D1021" s="14">
        <v>13762</v>
      </c>
      <c r="E1021" s="16" t="s">
        <v>385</v>
      </c>
      <c r="F1021" s="40" t="s">
        <v>386</v>
      </c>
      <c r="G1021" s="17" t="s">
        <v>75</v>
      </c>
      <c r="H1021" s="18" t="s">
        <v>542</v>
      </c>
      <c r="I1021" s="19" t="s">
        <v>70</v>
      </c>
      <c r="J1021" s="20">
        <v>45944</v>
      </c>
      <c r="K1021" s="20">
        <v>45972</v>
      </c>
      <c r="L1021" s="21">
        <v>1000000</v>
      </c>
      <c r="M1021" s="22">
        <f t="shared" si="952"/>
        <v>1044000</v>
      </c>
      <c r="N1021" s="23">
        <v>600000</v>
      </c>
      <c r="O1021" s="23">
        <v>444000</v>
      </c>
      <c r="P1021" s="24">
        <f t="shared" si="959"/>
        <v>400000</v>
      </c>
      <c r="Q1021" s="25">
        <v>444000</v>
      </c>
      <c r="R1021" s="26">
        <v>150000</v>
      </c>
      <c r="S1021" s="91">
        <f t="shared" si="954"/>
        <v>2.6666666666666665</v>
      </c>
      <c r="T1021" s="91">
        <f t="shared" si="955"/>
        <v>2.96</v>
      </c>
      <c r="U1021" s="27" t="s">
        <v>254</v>
      </c>
      <c r="V1021" s="19" t="s">
        <v>51</v>
      </c>
      <c r="W1021" s="20">
        <v>45959</v>
      </c>
      <c r="X1021" s="22"/>
      <c r="Y1021" s="19" t="s">
        <v>52</v>
      </c>
      <c r="Z1021" s="19" t="s">
        <v>52</v>
      </c>
      <c r="AA1021" s="19" t="s">
        <v>52</v>
      </c>
      <c r="AB1021" s="28"/>
    </row>
    <row r="1022" spans="1:33" s="29" customFormat="1" ht="15" customHeight="1" x14ac:dyDescent="0.25">
      <c r="A1022" s="14">
        <v>2</v>
      </c>
      <c r="B1022" s="15">
        <v>45976</v>
      </c>
      <c r="C1022" s="15">
        <f t="shared" si="958"/>
        <v>45984</v>
      </c>
      <c r="D1022" s="14">
        <v>13485</v>
      </c>
      <c r="E1022" s="16" t="s">
        <v>163</v>
      </c>
      <c r="F1022" s="17" t="s">
        <v>164</v>
      </c>
      <c r="G1022" s="17" t="s">
        <v>132</v>
      </c>
      <c r="H1022" s="18" t="s">
        <v>54</v>
      </c>
      <c r="I1022" s="19" t="s">
        <v>135</v>
      </c>
      <c r="J1022" s="20">
        <v>45896</v>
      </c>
      <c r="K1022" s="20">
        <v>45931</v>
      </c>
      <c r="L1022" s="21">
        <v>35000</v>
      </c>
      <c r="M1022" s="22">
        <f t="shared" si="952"/>
        <v>38422</v>
      </c>
      <c r="N1022" s="23">
        <v>0</v>
      </c>
      <c r="O1022" s="23">
        <v>38422</v>
      </c>
      <c r="P1022" s="24">
        <f t="shared" si="959"/>
        <v>35000</v>
      </c>
      <c r="Q1022" s="25">
        <v>38420</v>
      </c>
      <c r="R1022" s="26">
        <v>69948</v>
      </c>
      <c r="S1022" s="91">
        <f t="shared" si="954"/>
        <v>0.50037170469491621</v>
      </c>
      <c r="T1022" s="91">
        <f t="shared" si="955"/>
        <v>0.54926516841081952</v>
      </c>
      <c r="U1022" s="27" t="s">
        <v>56</v>
      </c>
      <c r="V1022" s="19" t="s">
        <v>51</v>
      </c>
      <c r="W1022" s="20">
        <v>45953</v>
      </c>
      <c r="X1022" s="22"/>
      <c r="Y1022" s="19" t="s">
        <v>52</v>
      </c>
      <c r="Z1022" s="19" t="s">
        <v>52</v>
      </c>
      <c r="AA1022" s="19" t="s">
        <v>52</v>
      </c>
      <c r="AB1022" s="28"/>
    </row>
    <row r="1023" spans="1:33" s="29" customFormat="1" ht="15" customHeight="1" x14ac:dyDescent="0.25">
      <c r="A1023" s="14">
        <v>4</v>
      </c>
      <c r="B1023" s="15">
        <v>45976</v>
      </c>
      <c r="C1023" s="15">
        <f t="shared" si="958"/>
        <v>45984</v>
      </c>
      <c r="D1023" s="14">
        <v>13524</v>
      </c>
      <c r="E1023" s="16" t="s">
        <v>333</v>
      </c>
      <c r="F1023" s="17" t="s">
        <v>334</v>
      </c>
      <c r="G1023" s="17" t="s">
        <v>132</v>
      </c>
      <c r="H1023" s="18" t="s">
        <v>162</v>
      </c>
      <c r="I1023" s="19" t="s">
        <v>198</v>
      </c>
      <c r="J1023" s="20">
        <v>45905</v>
      </c>
      <c r="K1023" s="20">
        <v>45957</v>
      </c>
      <c r="L1023" s="21">
        <v>450000</v>
      </c>
      <c r="M1023" s="22">
        <f t="shared" si="952"/>
        <v>216000</v>
      </c>
      <c r="N1023" s="23">
        <v>0</v>
      </c>
      <c r="O1023" s="23">
        <v>216000</v>
      </c>
      <c r="P1023" s="24">
        <f t="shared" si="959"/>
        <v>450000</v>
      </c>
      <c r="Q1023" s="25">
        <v>216000</v>
      </c>
      <c r="R1023" s="26">
        <v>324000</v>
      </c>
      <c r="S1023" s="91">
        <f t="shared" si="954"/>
        <v>1.3888888888888888</v>
      </c>
      <c r="T1023" s="91">
        <f t="shared" si="955"/>
        <v>0.66666666666666663</v>
      </c>
      <c r="U1023" s="27" t="s">
        <v>56</v>
      </c>
      <c r="V1023" s="19" t="s">
        <v>51</v>
      </c>
      <c r="W1023" s="20">
        <v>45967</v>
      </c>
      <c r="X1023" s="22"/>
      <c r="Y1023" s="19" t="s">
        <v>52</v>
      </c>
      <c r="Z1023" s="19" t="s">
        <v>52</v>
      </c>
      <c r="AA1023" s="19" t="s">
        <v>52</v>
      </c>
      <c r="AB1023" s="28"/>
    </row>
    <row r="1024" spans="1:33" s="29" customFormat="1" ht="15" customHeight="1" x14ac:dyDescent="0.25">
      <c r="A1024" s="14">
        <v>15</v>
      </c>
      <c r="B1024" s="15">
        <v>45976</v>
      </c>
      <c r="C1024" s="15">
        <f t="shared" si="958"/>
        <v>45984</v>
      </c>
      <c r="D1024" s="14">
        <v>13562</v>
      </c>
      <c r="E1024" s="16" t="s">
        <v>839</v>
      </c>
      <c r="F1024" s="17" t="s">
        <v>840</v>
      </c>
      <c r="G1024" s="17" t="s">
        <v>102</v>
      </c>
      <c r="H1024" s="18" t="s">
        <v>54</v>
      </c>
      <c r="I1024" s="19" t="s">
        <v>135</v>
      </c>
      <c r="J1024" s="20">
        <v>45918</v>
      </c>
      <c r="K1024" s="20">
        <v>45947</v>
      </c>
      <c r="L1024" s="21">
        <v>65000</v>
      </c>
      <c r="M1024" s="22">
        <f t="shared" si="952"/>
        <v>24000</v>
      </c>
      <c r="N1024" s="23">
        <v>0</v>
      </c>
      <c r="O1024" s="23">
        <v>24000</v>
      </c>
      <c r="P1024" s="24">
        <f t="shared" si="959"/>
        <v>65000</v>
      </c>
      <c r="Q1024" s="25">
        <v>60000</v>
      </c>
      <c r="R1024" s="26">
        <v>24000</v>
      </c>
      <c r="S1024" s="91">
        <f t="shared" si="954"/>
        <v>2.7083333333333335</v>
      </c>
      <c r="T1024" s="91">
        <f t="shared" si="955"/>
        <v>2.5</v>
      </c>
      <c r="U1024" s="27" t="s">
        <v>56</v>
      </c>
      <c r="V1024" s="19" t="s">
        <v>51</v>
      </c>
      <c r="W1024" s="20">
        <v>45953</v>
      </c>
      <c r="X1024" s="22"/>
      <c r="Y1024" s="19" t="s">
        <v>52</v>
      </c>
      <c r="Z1024" s="19" t="s">
        <v>52</v>
      </c>
      <c r="AA1024" s="19" t="s">
        <v>52</v>
      </c>
      <c r="AB1024" s="28"/>
    </row>
    <row r="1025" spans="1:33" s="29" customFormat="1" ht="15" customHeight="1" x14ac:dyDescent="0.25">
      <c r="A1025" s="14">
        <v>40</v>
      </c>
      <c r="B1025" s="15">
        <v>45976</v>
      </c>
      <c r="C1025" s="15">
        <f t="shared" si="958"/>
        <v>45984</v>
      </c>
      <c r="D1025" s="14">
        <v>13752</v>
      </c>
      <c r="E1025" s="16" t="s">
        <v>859</v>
      </c>
      <c r="F1025" s="17" t="s">
        <v>860</v>
      </c>
      <c r="G1025" s="17" t="s">
        <v>102</v>
      </c>
      <c r="H1025" s="18" t="s">
        <v>54</v>
      </c>
      <c r="I1025" s="19" t="s">
        <v>135</v>
      </c>
      <c r="J1025" s="20">
        <v>45946</v>
      </c>
      <c r="K1025" s="20">
        <v>45980</v>
      </c>
      <c r="L1025" s="21">
        <v>30000</v>
      </c>
      <c r="M1025" s="22">
        <f t="shared" si="952"/>
        <v>10000</v>
      </c>
      <c r="N1025" s="23">
        <v>0</v>
      </c>
      <c r="O1025" s="23">
        <v>10000</v>
      </c>
      <c r="P1025" s="24">
        <f t="shared" si="959"/>
        <v>30000</v>
      </c>
      <c r="Q1025" s="25">
        <v>10000</v>
      </c>
      <c r="R1025" s="26">
        <v>24000</v>
      </c>
      <c r="S1025" s="91">
        <f t="shared" si="954"/>
        <v>1.25</v>
      </c>
      <c r="T1025" s="91">
        <f t="shared" si="955"/>
        <v>0.41666666666666669</v>
      </c>
      <c r="U1025" s="27" t="s">
        <v>56</v>
      </c>
      <c r="V1025" s="30" t="s">
        <v>59</v>
      </c>
      <c r="W1025" s="31">
        <v>45973</v>
      </c>
      <c r="X1025" s="22"/>
      <c r="Y1025" s="41" t="s">
        <v>82</v>
      </c>
      <c r="Z1025" s="41" t="s">
        <v>82</v>
      </c>
      <c r="AA1025" s="41" t="s">
        <v>82</v>
      </c>
      <c r="AB1025" s="28"/>
    </row>
    <row r="1026" spans="1:33" s="29" customFormat="1" ht="15" customHeight="1" x14ac:dyDescent="0.25">
      <c r="A1026" s="14">
        <v>6</v>
      </c>
      <c r="B1026" s="15">
        <v>45976</v>
      </c>
      <c r="C1026" s="15">
        <f t="shared" ref="C1026" si="960">B1026+8</f>
        <v>45984</v>
      </c>
      <c r="D1026" s="14">
        <v>13724</v>
      </c>
      <c r="E1026" s="16" t="s">
        <v>158</v>
      </c>
      <c r="F1026" s="17" t="s">
        <v>159</v>
      </c>
      <c r="G1026" s="17" t="s">
        <v>132</v>
      </c>
      <c r="H1026" s="18" t="s">
        <v>775</v>
      </c>
      <c r="I1026" s="19" t="s">
        <v>135</v>
      </c>
      <c r="J1026" s="20">
        <v>45938</v>
      </c>
      <c r="K1026" s="20">
        <v>45980</v>
      </c>
      <c r="L1026" s="21">
        <v>300000</v>
      </c>
      <c r="M1026" s="22">
        <f t="shared" si="952"/>
        <v>99780</v>
      </c>
      <c r="N1026" s="23">
        <v>57330</v>
      </c>
      <c r="O1026" s="23">
        <v>42450</v>
      </c>
      <c r="P1026" s="24">
        <f t="shared" ref="P1026" si="961">L1026-N1026</f>
        <v>242670</v>
      </c>
      <c r="Q1026" s="25">
        <v>15210</v>
      </c>
      <c r="R1026" s="26">
        <v>57330</v>
      </c>
      <c r="S1026" s="91">
        <f t="shared" si="954"/>
        <v>4.2328623757195185</v>
      </c>
      <c r="T1026" s="91">
        <f t="shared" si="955"/>
        <v>0.26530612244897961</v>
      </c>
      <c r="U1026" s="27" t="s">
        <v>56</v>
      </c>
      <c r="V1026" s="19" t="s">
        <v>51</v>
      </c>
      <c r="W1026" s="20">
        <v>45967</v>
      </c>
      <c r="X1026" s="22"/>
      <c r="Y1026" s="19" t="s">
        <v>52</v>
      </c>
      <c r="Z1026" s="19" t="s">
        <v>52</v>
      </c>
      <c r="AA1026" s="19" t="s">
        <v>52</v>
      </c>
      <c r="AB1026" s="28"/>
    </row>
    <row r="1027" spans="1:33" s="29" customFormat="1" ht="15" customHeight="1" x14ac:dyDescent="0.25">
      <c r="A1027" s="14">
        <v>17</v>
      </c>
      <c r="B1027" s="15">
        <v>45976</v>
      </c>
      <c r="C1027" s="15">
        <f>B1027+8</f>
        <v>45984</v>
      </c>
      <c r="D1027" s="14">
        <v>13856</v>
      </c>
      <c r="E1027" s="16" t="s">
        <v>459</v>
      </c>
      <c r="F1027" s="40" t="s">
        <v>460</v>
      </c>
      <c r="G1027" s="17" t="s">
        <v>75</v>
      </c>
      <c r="H1027" s="18" t="s">
        <v>78</v>
      </c>
      <c r="I1027" s="19" t="s">
        <v>79</v>
      </c>
      <c r="J1027" s="20">
        <v>45959</v>
      </c>
      <c r="K1027" s="20">
        <v>46001</v>
      </c>
      <c r="L1027" s="21">
        <v>650000</v>
      </c>
      <c r="M1027" s="22">
        <f t="shared" si="952"/>
        <v>744000</v>
      </c>
      <c r="N1027" s="23">
        <v>0</v>
      </c>
      <c r="O1027" s="23">
        <v>744000</v>
      </c>
      <c r="P1027" s="24">
        <f>L1027-N1027</f>
        <v>650000</v>
      </c>
      <c r="Q1027" s="25">
        <v>672000</v>
      </c>
      <c r="R1027" s="26">
        <v>96000</v>
      </c>
      <c r="S1027" s="91">
        <f t="shared" si="954"/>
        <v>6.770833333333333</v>
      </c>
      <c r="T1027" s="91">
        <f t="shared" si="955"/>
        <v>7</v>
      </c>
      <c r="U1027" s="27" t="s">
        <v>56</v>
      </c>
      <c r="V1027" s="19" t="s">
        <v>51</v>
      </c>
      <c r="W1027" s="20">
        <v>45968</v>
      </c>
      <c r="X1027" s="22"/>
      <c r="Y1027" s="19" t="s">
        <v>52</v>
      </c>
      <c r="Z1027" s="19" t="s">
        <v>52</v>
      </c>
      <c r="AA1027" s="19" t="s">
        <v>52</v>
      </c>
      <c r="AB1027" s="28"/>
    </row>
    <row r="1028" spans="1:33" s="29" customFormat="1" ht="15" customHeight="1" x14ac:dyDescent="0.25">
      <c r="A1028" s="14">
        <v>6</v>
      </c>
      <c r="B1028" s="15">
        <v>45976</v>
      </c>
      <c r="C1028" s="15">
        <f>B1028+8</f>
        <v>45984</v>
      </c>
      <c r="D1028" s="14">
        <v>13790</v>
      </c>
      <c r="E1028" s="16" t="s">
        <v>931</v>
      </c>
      <c r="F1028" s="40" t="s">
        <v>932</v>
      </c>
      <c r="G1028" s="17" t="s">
        <v>75</v>
      </c>
      <c r="H1028" s="18" t="s">
        <v>133</v>
      </c>
      <c r="I1028" s="19" t="s">
        <v>198</v>
      </c>
      <c r="J1028" s="20">
        <v>45947</v>
      </c>
      <c r="K1028" s="20">
        <v>45980</v>
      </c>
      <c r="L1028" s="21">
        <v>180000</v>
      </c>
      <c r="M1028" s="22">
        <f t="shared" si="952"/>
        <v>180000</v>
      </c>
      <c r="N1028" s="23">
        <v>0</v>
      </c>
      <c r="O1028" s="23">
        <v>180000</v>
      </c>
      <c r="P1028" s="24">
        <f>L1028-N1028</f>
        <v>180000</v>
      </c>
      <c r="Q1028" s="25">
        <v>120000</v>
      </c>
      <c r="R1028" s="26">
        <v>120000</v>
      </c>
      <c r="S1028" s="91">
        <f t="shared" si="954"/>
        <v>1.5</v>
      </c>
      <c r="T1028" s="91">
        <f t="shared" si="955"/>
        <v>1</v>
      </c>
      <c r="U1028" s="27" t="s">
        <v>56</v>
      </c>
      <c r="V1028" s="19" t="s">
        <v>51</v>
      </c>
      <c r="W1028" s="20">
        <v>45971</v>
      </c>
      <c r="X1028" s="22"/>
      <c r="Y1028" s="19" t="s">
        <v>52</v>
      </c>
      <c r="Z1028" s="19" t="s">
        <v>52</v>
      </c>
      <c r="AA1028" s="19" t="s">
        <v>52</v>
      </c>
      <c r="AB1028" s="28"/>
    </row>
    <row r="1029" spans="1:33" s="29" customFormat="1" ht="15" customHeight="1" x14ac:dyDescent="0.25">
      <c r="A1029" s="14">
        <v>4</v>
      </c>
      <c r="B1029" s="15">
        <v>45976</v>
      </c>
      <c r="C1029" s="15">
        <f t="shared" ref="C1029:C1030" si="962">B1029+8</f>
        <v>45984</v>
      </c>
      <c r="D1029" s="14">
        <v>13776</v>
      </c>
      <c r="E1029" s="16" t="s">
        <v>918</v>
      </c>
      <c r="F1029" s="40" t="s">
        <v>474</v>
      </c>
      <c r="G1029" s="17" t="s">
        <v>75</v>
      </c>
      <c r="H1029" s="18" t="s">
        <v>57</v>
      </c>
      <c r="I1029" s="19" t="s">
        <v>58</v>
      </c>
      <c r="J1029" s="20">
        <v>45945</v>
      </c>
      <c r="K1029" s="20">
        <v>45973</v>
      </c>
      <c r="L1029" s="21">
        <v>100000</v>
      </c>
      <c r="M1029" s="22">
        <f t="shared" ref="M1029:M1030" si="963">SUM(N1029:O1029)</f>
        <v>123000</v>
      </c>
      <c r="N1029" s="23">
        <v>0</v>
      </c>
      <c r="O1029" s="23">
        <v>123000</v>
      </c>
      <c r="P1029" s="24">
        <f t="shared" ref="P1029:P1030" si="964">L1029-N1029</f>
        <v>100000</v>
      </c>
      <c r="Q1029" s="25">
        <v>63000</v>
      </c>
      <c r="R1029" s="26">
        <v>150000</v>
      </c>
      <c r="S1029" s="91">
        <f t="shared" si="954"/>
        <v>0.66666666666666663</v>
      </c>
      <c r="T1029" s="91">
        <f t="shared" si="955"/>
        <v>0.42</v>
      </c>
      <c r="U1029" s="27" t="s">
        <v>193</v>
      </c>
      <c r="V1029" s="19" t="s">
        <v>51</v>
      </c>
      <c r="W1029" s="20">
        <v>45966</v>
      </c>
      <c r="X1029" s="22"/>
      <c r="Y1029" s="19" t="s">
        <v>52</v>
      </c>
      <c r="Z1029" s="19" t="s">
        <v>52</v>
      </c>
      <c r="AA1029" s="19" t="s">
        <v>52</v>
      </c>
      <c r="AB1029" s="28"/>
    </row>
    <row r="1030" spans="1:33" s="29" customFormat="1" ht="15" customHeight="1" x14ac:dyDescent="0.25">
      <c r="A1030" s="14">
        <v>11</v>
      </c>
      <c r="B1030" s="15">
        <v>45976</v>
      </c>
      <c r="C1030" s="15">
        <f t="shared" si="962"/>
        <v>45984</v>
      </c>
      <c r="D1030" s="14">
        <v>13823</v>
      </c>
      <c r="E1030" s="16" t="s">
        <v>436</v>
      </c>
      <c r="F1030" s="40" t="s">
        <v>437</v>
      </c>
      <c r="G1030" s="17" t="s">
        <v>75</v>
      </c>
      <c r="H1030" s="18" t="s">
        <v>57</v>
      </c>
      <c r="I1030" s="19" t="s">
        <v>94</v>
      </c>
      <c r="J1030" s="20">
        <v>45953</v>
      </c>
      <c r="K1030" s="20">
        <v>45994</v>
      </c>
      <c r="L1030" s="21">
        <v>600000</v>
      </c>
      <c r="M1030" s="22">
        <f t="shared" si="963"/>
        <v>600000</v>
      </c>
      <c r="N1030" s="23">
        <v>0</v>
      </c>
      <c r="O1030" s="23">
        <v>600000</v>
      </c>
      <c r="P1030" s="24">
        <f t="shared" si="964"/>
        <v>600000</v>
      </c>
      <c r="Q1030" s="25">
        <v>150000</v>
      </c>
      <c r="R1030" s="26">
        <v>150000</v>
      </c>
      <c r="S1030" s="91">
        <f t="shared" ref="S1030" si="965">IF(P1030&gt;0,P1030/$R1030,0)</f>
        <v>4</v>
      </c>
      <c r="T1030" s="91">
        <f t="shared" ref="T1030" si="966">IF(Q1030&gt;0,Q1030/$R1030,0)</f>
        <v>1</v>
      </c>
      <c r="U1030" s="27" t="s">
        <v>193</v>
      </c>
      <c r="V1030" s="19" t="s">
        <v>51</v>
      </c>
      <c r="W1030" s="20">
        <v>45968</v>
      </c>
      <c r="X1030" s="22"/>
      <c r="Y1030" s="19" t="s">
        <v>52</v>
      </c>
      <c r="Z1030" s="19" t="s">
        <v>52</v>
      </c>
      <c r="AA1030" s="19" t="s">
        <v>52</v>
      </c>
      <c r="AB1030" s="28"/>
    </row>
    <row r="1031" spans="1:33" ht="15" customHeight="1" x14ac:dyDescent="0.25">
      <c r="A1031" s="33" t="s">
        <v>71</v>
      </c>
      <c r="B1031" s="34"/>
      <c r="C1031" s="34"/>
      <c r="D1031" s="34"/>
      <c r="E1031" s="34"/>
      <c r="F1031" s="35"/>
      <c r="G1031" s="35"/>
      <c r="H1031" s="34"/>
      <c r="I1031" s="34"/>
      <c r="J1031" s="34"/>
      <c r="K1031" s="34"/>
      <c r="L1031" s="36"/>
      <c r="M1031" s="36"/>
      <c r="N1031" s="36"/>
      <c r="O1031" s="36"/>
      <c r="P1031" s="36"/>
      <c r="Q1031" s="36">
        <f>SUM(Q1016:Q1030)</f>
        <v>2415630</v>
      </c>
      <c r="R1031" s="36"/>
      <c r="S1031" s="92"/>
      <c r="T1031" s="93">
        <f>SUM(T1016:T1030)</f>
        <v>22.157904624193133</v>
      </c>
      <c r="U1031" s="37"/>
      <c r="V1031" s="38"/>
      <c r="W1031" s="38"/>
      <c r="X1031" s="38"/>
      <c r="Y1031" s="34"/>
      <c r="Z1031" s="34"/>
      <c r="AA1031" s="39"/>
      <c r="AB1031" s="29" t="s">
        <v>956</v>
      </c>
      <c r="AC1031" s="81" t="s">
        <v>966</v>
      </c>
      <c r="AD1031" s="83">
        <v>5000</v>
      </c>
      <c r="AF1031" s="83">
        <v>0</v>
      </c>
      <c r="AG1031" s="83">
        <f>SUM(AD1031,AF1031)</f>
        <v>5000</v>
      </c>
    </row>
    <row r="1032" spans="1:33" s="29" customFormat="1" ht="15" customHeight="1" x14ac:dyDescent="0.25">
      <c r="A1032" s="14">
        <v>11</v>
      </c>
      <c r="B1032" s="15">
        <v>45981</v>
      </c>
      <c r="C1032" s="15">
        <f>B1032+8</f>
        <v>45989</v>
      </c>
      <c r="D1032" s="14">
        <v>13772</v>
      </c>
      <c r="E1032" s="16" t="s">
        <v>190</v>
      </c>
      <c r="F1032" s="40" t="s">
        <v>191</v>
      </c>
      <c r="G1032" s="17" t="s">
        <v>75</v>
      </c>
      <c r="H1032" s="18" t="s">
        <v>916</v>
      </c>
      <c r="I1032" s="19" t="s">
        <v>49</v>
      </c>
      <c r="J1032" s="20">
        <v>45945</v>
      </c>
      <c r="K1032" s="20">
        <v>45992</v>
      </c>
      <c r="L1032" s="21">
        <v>250000</v>
      </c>
      <c r="M1032" s="22">
        <f>SUM(N1032:O1032)</f>
        <v>267000</v>
      </c>
      <c r="N1032" s="23">
        <v>0</v>
      </c>
      <c r="O1032" s="23">
        <v>267000</v>
      </c>
      <c r="P1032" s="24">
        <f>L1032-N1032</f>
        <v>250000</v>
      </c>
      <c r="Q1032" s="25">
        <v>267000</v>
      </c>
      <c r="R1032" s="26">
        <v>50000</v>
      </c>
      <c r="S1032" s="91">
        <f t="shared" ref="S1032:S1038" si="967">IF(P1032&gt;0,P1032/$R1032,0)</f>
        <v>5</v>
      </c>
      <c r="T1032" s="91">
        <f t="shared" ref="T1032:T1038" si="968">IF(Q1032&gt;0,Q1032/$R1032,0)</f>
        <v>5.34</v>
      </c>
      <c r="U1032" s="27" t="s">
        <v>192</v>
      </c>
      <c r="V1032" s="19" t="s">
        <v>51</v>
      </c>
      <c r="W1032" s="20">
        <v>45964</v>
      </c>
      <c r="X1032" s="22"/>
      <c r="Y1032" s="19" t="s">
        <v>52</v>
      </c>
      <c r="Z1032" s="19" t="s">
        <v>52</v>
      </c>
      <c r="AA1032" s="19" t="s">
        <v>52</v>
      </c>
      <c r="AB1032" s="28"/>
    </row>
    <row r="1033" spans="1:33" s="29" customFormat="1" ht="15" customHeight="1" x14ac:dyDescent="0.25">
      <c r="A1033" s="14">
        <v>1</v>
      </c>
      <c r="B1033" s="15">
        <v>45981</v>
      </c>
      <c r="C1033" s="15">
        <f>B1033+8</f>
        <v>45989</v>
      </c>
      <c r="D1033" s="14">
        <v>13846</v>
      </c>
      <c r="E1033" s="16" t="s">
        <v>702</v>
      </c>
      <c r="F1033" s="17" t="s">
        <v>703</v>
      </c>
      <c r="G1033" s="17" t="s">
        <v>47</v>
      </c>
      <c r="H1033" s="18" t="s">
        <v>542</v>
      </c>
      <c r="I1033" s="19" t="s">
        <v>104</v>
      </c>
      <c r="J1033" s="20">
        <v>45957</v>
      </c>
      <c r="K1033" s="20">
        <v>45985</v>
      </c>
      <c r="L1033" s="21">
        <v>1500000</v>
      </c>
      <c r="M1033" s="22">
        <f>SUM(N1033:O1033)</f>
        <v>1671000</v>
      </c>
      <c r="N1033" s="23">
        <v>1134000</v>
      </c>
      <c r="O1033" s="23">
        <v>537000</v>
      </c>
      <c r="P1033" s="24">
        <f>L1033-N1033</f>
        <v>366000</v>
      </c>
      <c r="Q1033" s="25">
        <v>537000</v>
      </c>
      <c r="R1033" s="26">
        <v>94500</v>
      </c>
      <c r="S1033" s="91">
        <f t="shared" si="967"/>
        <v>3.873015873015873</v>
      </c>
      <c r="T1033" s="91">
        <f t="shared" si="968"/>
        <v>5.6825396825396828</v>
      </c>
      <c r="U1033" s="27" t="s">
        <v>192</v>
      </c>
      <c r="V1033" s="19" t="s">
        <v>51</v>
      </c>
      <c r="W1033" s="20">
        <v>45968</v>
      </c>
      <c r="X1033" s="22"/>
      <c r="Y1033" s="19" t="s">
        <v>52</v>
      </c>
      <c r="Z1033" s="19" t="s">
        <v>52</v>
      </c>
      <c r="AA1033" s="19" t="s">
        <v>52</v>
      </c>
      <c r="AB1033" s="42"/>
    </row>
    <row r="1034" spans="1:33" s="29" customFormat="1" ht="15" customHeight="1" x14ac:dyDescent="0.25">
      <c r="A1034" s="14">
        <v>9</v>
      </c>
      <c r="B1034" s="15">
        <v>45981</v>
      </c>
      <c r="C1034" s="15">
        <f>B1034+8</f>
        <v>45989</v>
      </c>
      <c r="D1034" s="14">
        <v>13841</v>
      </c>
      <c r="E1034" s="16" t="s">
        <v>464</v>
      </c>
      <c r="F1034" s="40" t="s">
        <v>465</v>
      </c>
      <c r="G1034" s="17" t="s">
        <v>75</v>
      </c>
      <c r="H1034" s="18" t="s">
        <v>113</v>
      </c>
      <c r="I1034" s="19" t="s">
        <v>64</v>
      </c>
      <c r="J1034" s="20">
        <v>45961</v>
      </c>
      <c r="K1034" s="20">
        <v>45982</v>
      </c>
      <c r="L1034" s="21">
        <v>1000000</v>
      </c>
      <c r="M1034" s="22">
        <f>SUM(N1034:O1034)</f>
        <v>1044000</v>
      </c>
      <c r="N1034" s="23">
        <v>0</v>
      </c>
      <c r="O1034" s="23">
        <v>1044000</v>
      </c>
      <c r="P1034" s="24">
        <f>L1034-N1034</f>
        <v>1000000</v>
      </c>
      <c r="Q1034" s="25">
        <v>750000</v>
      </c>
      <c r="R1034" s="26">
        <v>150000</v>
      </c>
      <c r="S1034" s="91">
        <f t="shared" si="967"/>
        <v>6.666666666666667</v>
      </c>
      <c r="T1034" s="91">
        <f t="shared" si="968"/>
        <v>5</v>
      </c>
      <c r="U1034" s="27" t="s">
        <v>192</v>
      </c>
      <c r="V1034" s="19" t="s">
        <v>51</v>
      </c>
      <c r="W1034" s="20">
        <v>45971</v>
      </c>
      <c r="X1034" s="22"/>
      <c r="Y1034" s="19" t="s">
        <v>52</v>
      </c>
      <c r="Z1034" s="19" t="s">
        <v>52</v>
      </c>
      <c r="AA1034" s="19" t="s">
        <v>52</v>
      </c>
      <c r="AB1034" s="28"/>
    </row>
    <row r="1035" spans="1:33" s="29" customFormat="1" ht="15" customHeight="1" x14ac:dyDescent="0.25">
      <c r="A1035" s="14">
        <v>46</v>
      </c>
      <c r="B1035" s="15">
        <v>45981</v>
      </c>
      <c r="C1035" s="15">
        <f t="shared" ref="C1035" si="969">B1035+8</f>
        <v>45989</v>
      </c>
      <c r="D1035" s="14">
        <v>13910</v>
      </c>
      <c r="E1035" s="16" t="s">
        <v>121</v>
      </c>
      <c r="F1035" s="17" t="s">
        <v>122</v>
      </c>
      <c r="G1035" s="17" t="s">
        <v>102</v>
      </c>
      <c r="H1035" s="18" t="s">
        <v>542</v>
      </c>
      <c r="I1035" s="19" t="s">
        <v>70</v>
      </c>
      <c r="J1035" s="20">
        <v>45967</v>
      </c>
      <c r="K1035" s="20">
        <v>45994</v>
      </c>
      <c r="L1035" s="21">
        <v>500000</v>
      </c>
      <c r="M1035" s="22">
        <f t="shared" ref="M1035" si="970">SUM(N1035:O1035)</f>
        <v>100000</v>
      </c>
      <c r="N1035" s="23">
        <v>0</v>
      </c>
      <c r="O1035" s="23">
        <v>100000</v>
      </c>
      <c r="P1035" s="24">
        <f>L1035-N1035</f>
        <v>500000</v>
      </c>
      <c r="Q1035" s="25">
        <v>100000</v>
      </c>
      <c r="R1035" s="26">
        <v>50000</v>
      </c>
      <c r="S1035" s="91">
        <f t="shared" si="967"/>
        <v>10</v>
      </c>
      <c r="T1035" s="91">
        <f t="shared" si="968"/>
        <v>2</v>
      </c>
      <c r="U1035" s="27" t="s">
        <v>254</v>
      </c>
      <c r="V1035" s="30" t="s">
        <v>59</v>
      </c>
      <c r="W1035" s="31">
        <v>45978</v>
      </c>
      <c r="X1035" s="22"/>
      <c r="Y1035" s="19" t="s">
        <v>52</v>
      </c>
      <c r="Z1035" s="19" t="s">
        <v>52</v>
      </c>
      <c r="AA1035" s="19" t="s">
        <v>52</v>
      </c>
      <c r="AB1035" s="28"/>
    </row>
    <row r="1036" spans="1:33" s="29" customFormat="1" ht="15" customHeight="1" x14ac:dyDescent="0.25">
      <c r="A1036" s="14">
        <v>8</v>
      </c>
      <c r="B1036" s="15">
        <v>45981</v>
      </c>
      <c r="C1036" s="15">
        <f>B1036+8</f>
        <v>45989</v>
      </c>
      <c r="D1036" s="14">
        <v>13790</v>
      </c>
      <c r="E1036" s="16" t="s">
        <v>931</v>
      </c>
      <c r="F1036" s="40" t="s">
        <v>932</v>
      </c>
      <c r="G1036" s="17" t="s">
        <v>75</v>
      </c>
      <c r="H1036" s="18" t="s">
        <v>133</v>
      </c>
      <c r="I1036" s="19" t="s">
        <v>198</v>
      </c>
      <c r="J1036" s="20">
        <v>45947</v>
      </c>
      <c r="K1036" s="20">
        <v>45980</v>
      </c>
      <c r="L1036" s="21">
        <v>180000</v>
      </c>
      <c r="M1036" s="22">
        <f>SUM(N1036:O1036)</f>
        <v>88000</v>
      </c>
      <c r="N1036" s="23">
        <v>0</v>
      </c>
      <c r="O1036" s="23">
        <v>88000</v>
      </c>
      <c r="P1036" s="24">
        <f>L1036-N1036</f>
        <v>180000</v>
      </c>
      <c r="Q1036" s="25">
        <v>88000</v>
      </c>
      <c r="R1036" s="26">
        <v>120000</v>
      </c>
      <c r="S1036" s="91">
        <f t="shared" si="967"/>
        <v>1.5</v>
      </c>
      <c r="T1036" s="91">
        <f t="shared" si="968"/>
        <v>0.73333333333333328</v>
      </c>
      <c r="U1036" s="27" t="s">
        <v>56</v>
      </c>
      <c r="V1036" s="19" t="s">
        <v>51</v>
      </c>
      <c r="W1036" s="20">
        <v>45971</v>
      </c>
      <c r="X1036" s="22"/>
      <c r="Y1036" s="19" t="s">
        <v>52</v>
      </c>
      <c r="Z1036" s="19" t="s">
        <v>52</v>
      </c>
      <c r="AA1036" s="19" t="s">
        <v>52</v>
      </c>
      <c r="AB1036" s="28"/>
    </row>
    <row r="1037" spans="1:33" s="29" customFormat="1" ht="15" customHeight="1" x14ac:dyDescent="0.25">
      <c r="A1037" s="14">
        <v>7</v>
      </c>
      <c r="B1037" s="15">
        <v>45981</v>
      </c>
      <c r="C1037" s="15">
        <f t="shared" ref="C1037" si="971">B1037+8</f>
        <v>45989</v>
      </c>
      <c r="D1037" s="14">
        <v>13855</v>
      </c>
      <c r="E1037" s="16" t="s">
        <v>663</v>
      </c>
      <c r="F1037" s="40" t="s">
        <v>664</v>
      </c>
      <c r="G1037" s="17" t="s">
        <v>75</v>
      </c>
      <c r="H1037" s="18" t="s">
        <v>133</v>
      </c>
      <c r="I1037" s="19" t="s">
        <v>198</v>
      </c>
      <c r="J1037" s="20">
        <v>45960</v>
      </c>
      <c r="K1037" s="20">
        <v>45978</v>
      </c>
      <c r="L1037" s="21">
        <v>200000</v>
      </c>
      <c r="M1037" s="22">
        <f t="shared" ref="M1037:M1038" si="972">SUM(N1037:O1037)</f>
        <v>240000</v>
      </c>
      <c r="N1037" s="23">
        <v>0</v>
      </c>
      <c r="O1037" s="23">
        <v>240000</v>
      </c>
      <c r="P1037" s="24">
        <f t="shared" ref="P1037:P1038" si="973">L1037-N1037</f>
        <v>200000</v>
      </c>
      <c r="Q1037" s="25">
        <v>240000</v>
      </c>
      <c r="R1037" s="26">
        <v>150000</v>
      </c>
      <c r="S1037" s="91">
        <f t="shared" si="967"/>
        <v>1.3333333333333333</v>
      </c>
      <c r="T1037" s="91">
        <f t="shared" si="968"/>
        <v>1.6</v>
      </c>
      <c r="U1037" s="27" t="s">
        <v>56</v>
      </c>
      <c r="V1037" s="19" t="s">
        <v>51</v>
      </c>
      <c r="W1037" s="20">
        <v>45971</v>
      </c>
      <c r="X1037" s="22"/>
      <c r="Y1037" s="19" t="s">
        <v>52</v>
      </c>
      <c r="Z1037" s="19" t="s">
        <v>52</v>
      </c>
      <c r="AA1037" s="19" t="s">
        <v>52</v>
      </c>
      <c r="AB1037" s="28"/>
    </row>
    <row r="1038" spans="1:33" s="29" customFormat="1" ht="15" customHeight="1" x14ac:dyDescent="0.25">
      <c r="A1038" s="14">
        <v>20</v>
      </c>
      <c r="B1038" s="15">
        <v>45981</v>
      </c>
      <c r="C1038" s="15">
        <f>B1038+8</f>
        <v>45989</v>
      </c>
      <c r="D1038" s="14">
        <v>13866</v>
      </c>
      <c r="E1038" s="16" t="s">
        <v>552</v>
      </c>
      <c r="F1038" s="40" t="s">
        <v>553</v>
      </c>
      <c r="G1038" s="17" t="s">
        <v>75</v>
      </c>
      <c r="H1038" s="18" t="s">
        <v>78</v>
      </c>
      <c r="I1038" s="19" t="s">
        <v>79</v>
      </c>
      <c r="J1038" s="20">
        <v>45964</v>
      </c>
      <c r="K1038" s="20">
        <v>46002</v>
      </c>
      <c r="L1038" s="21">
        <v>230000</v>
      </c>
      <c r="M1038" s="22">
        <f t="shared" si="972"/>
        <v>267000</v>
      </c>
      <c r="N1038" s="23">
        <v>0</v>
      </c>
      <c r="O1038" s="23">
        <v>267000</v>
      </c>
      <c r="P1038" s="24">
        <f t="shared" si="973"/>
        <v>230000</v>
      </c>
      <c r="Q1038" s="25">
        <v>267000</v>
      </c>
      <c r="R1038" s="26">
        <v>96000</v>
      </c>
      <c r="S1038" s="91">
        <f t="shared" si="967"/>
        <v>2.3958333333333335</v>
      </c>
      <c r="T1038" s="91">
        <f t="shared" si="968"/>
        <v>2.78125</v>
      </c>
      <c r="U1038" s="27" t="s">
        <v>56</v>
      </c>
      <c r="V1038" s="30" t="s">
        <v>59</v>
      </c>
      <c r="W1038" s="31">
        <v>45973</v>
      </c>
      <c r="X1038" s="22"/>
      <c r="Y1038" s="19" t="s">
        <v>52</v>
      </c>
      <c r="Z1038" s="19" t="s">
        <v>52</v>
      </c>
      <c r="AA1038" s="19" t="s">
        <v>52</v>
      </c>
      <c r="AB1038" s="28"/>
    </row>
    <row r="1039" spans="1:33" ht="15" customHeight="1" x14ac:dyDescent="0.25">
      <c r="A1039" s="33" t="s">
        <v>71</v>
      </c>
      <c r="B1039" s="34"/>
      <c r="C1039" s="34"/>
      <c r="D1039" s="34"/>
      <c r="E1039" s="34"/>
      <c r="F1039" s="35"/>
      <c r="G1039" s="35"/>
      <c r="H1039" s="34"/>
      <c r="I1039" s="34"/>
      <c r="J1039" s="34"/>
      <c r="K1039" s="34"/>
      <c r="L1039" s="36"/>
      <c r="M1039" s="36"/>
      <c r="N1039" s="36"/>
      <c r="O1039" s="36"/>
      <c r="P1039" s="36"/>
      <c r="Q1039" s="36">
        <f>SUM(Q1032:Q1038)</f>
        <v>2249000</v>
      </c>
      <c r="R1039" s="36"/>
      <c r="S1039" s="92"/>
      <c r="T1039" s="93">
        <f>SUM(T1032:T1038)</f>
        <v>23.137123015873019</v>
      </c>
      <c r="U1039" s="37"/>
      <c r="V1039" s="38"/>
      <c r="W1039" s="38"/>
      <c r="X1039" s="38"/>
      <c r="Y1039" s="34"/>
      <c r="Z1039" s="34"/>
      <c r="AA1039" s="39"/>
      <c r="AB1039" s="29" t="s">
        <v>958</v>
      </c>
      <c r="AC1039" s="81" t="s">
        <v>1023</v>
      </c>
      <c r="AD1039" s="83">
        <v>5000</v>
      </c>
      <c r="AF1039" s="83">
        <v>0</v>
      </c>
      <c r="AG1039" s="83">
        <f>SUM(AD1039,AF1039)</f>
        <v>5000</v>
      </c>
    </row>
    <row r="1040" spans="1:33" s="29" customFormat="1" ht="15" customHeight="1" x14ac:dyDescent="0.25">
      <c r="A1040" s="14">
        <v>4</v>
      </c>
      <c r="B1040" s="15">
        <v>45983</v>
      </c>
      <c r="C1040" s="15">
        <f>B1040+8</f>
        <v>45991</v>
      </c>
      <c r="D1040" s="14">
        <v>13524</v>
      </c>
      <c r="E1040" s="16" t="s">
        <v>333</v>
      </c>
      <c r="F1040" s="17" t="s">
        <v>334</v>
      </c>
      <c r="G1040" s="17" t="s">
        <v>132</v>
      </c>
      <c r="H1040" s="18" t="s">
        <v>162</v>
      </c>
      <c r="I1040" s="19" t="s">
        <v>198</v>
      </c>
      <c r="J1040" s="20">
        <v>45905</v>
      </c>
      <c r="K1040" s="20">
        <v>45957</v>
      </c>
      <c r="L1040" s="21">
        <v>450000</v>
      </c>
      <c r="M1040" s="22">
        <f>SUM(N1040:O1040)</f>
        <v>534210</v>
      </c>
      <c r="N1040" s="23">
        <v>216000</v>
      </c>
      <c r="O1040" s="23">
        <v>318210</v>
      </c>
      <c r="P1040" s="24">
        <f t="shared" ref="P1040:P1047" si="974">L1040-N1040</f>
        <v>234000</v>
      </c>
      <c r="Q1040" s="25">
        <v>216000</v>
      </c>
      <c r="R1040" s="26">
        <v>324000</v>
      </c>
      <c r="S1040" s="91">
        <f t="shared" ref="S1040:S1049" si="975">IF(P1040&gt;0,P1040/$R1040,0)</f>
        <v>0.72222222222222221</v>
      </c>
      <c r="T1040" s="91">
        <f t="shared" ref="T1040:T1049" si="976">IF(Q1040&gt;0,Q1040/$R1040,0)</f>
        <v>0.66666666666666663</v>
      </c>
      <c r="U1040" s="27" t="s">
        <v>56</v>
      </c>
      <c r="V1040" s="19" t="s">
        <v>51</v>
      </c>
      <c r="W1040" s="20">
        <v>45967</v>
      </c>
      <c r="X1040" s="22"/>
      <c r="Y1040" s="19" t="s">
        <v>52</v>
      </c>
      <c r="Z1040" s="19" t="s">
        <v>52</v>
      </c>
      <c r="AA1040" s="19" t="s">
        <v>52</v>
      </c>
      <c r="AB1040" s="28"/>
    </row>
    <row r="1041" spans="1:33" s="29" customFormat="1" ht="15" customHeight="1" x14ac:dyDescent="0.25">
      <c r="A1041" s="14">
        <v>21</v>
      </c>
      <c r="B1041" s="15">
        <v>45983</v>
      </c>
      <c r="C1041" s="15">
        <f>B1041+8</f>
        <v>45991</v>
      </c>
      <c r="D1041" s="14">
        <v>13562</v>
      </c>
      <c r="E1041" s="16" t="s">
        <v>839</v>
      </c>
      <c r="F1041" s="17" t="s">
        <v>840</v>
      </c>
      <c r="G1041" s="17" t="s">
        <v>102</v>
      </c>
      <c r="H1041" s="18" t="s">
        <v>54</v>
      </c>
      <c r="I1041" s="19" t="s">
        <v>135</v>
      </c>
      <c r="J1041" s="20">
        <v>45918</v>
      </c>
      <c r="K1041" s="20">
        <v>45947</v>
      </c>
      <c r="L1041" s="21">
        <v>65000</v>
      </c>
      <c r="M1041" s="22">
        <f>SUM(N1041:O1041)</f>
        <v>72000</v>
      </c>
      <c r="N1041" s="23">
        <v>60000</v>
      </c>
      <c r="O1041" s="23">
        <v>12000</v>
      </c>
      <c r="P1041" s="24">
        <f t="shared" si="974"/>
        <v>5000</v>
      </c>
      <c r="Q1041" s="25">
        <v>12000</v>
      </c>
      <c r="R1041" s="26">
        <v>24000</v>
      </c>
      <c r="S1041" s="91">
        <f t="shared" si="975"/>
        <v>0.20833333333333334</v>
      </c>
      <c r="T1041" s="91">
        <f t="shared" si="976"/>
        <v>0.5</v>
      </c>
      <c r="U1041" s="27" t="s">
        <v>56</v>
      </c>
      <c r="V1041" s="19" t="s">
        <v>51</v>
      </c>
      <c r="W1041" s="20">
        <v>45953</v>
      </c>
      <c r="X1041" s="22"/>
      <c r="Y1041" s="19" t="s">
        <v>52</v>
      </c>
      <c r="Z1041" s="19" t="s">
        <v>52</v>
      </c>
      <c r="AA1041" s="19" t="s">
        <v>52</v>
      </c>
      <c r="AB1041" s="28"/>
    </row>
    <row r="1042" spans="1:33" s="29" customFormat="1" ht="15" customHeight="1" x14ac:dyDescent="0.25">
      <c r="A1042" s="14">
        <v>4</v>
      </c>
      <c r="B1042" s="15">
        <v>45983</v>
      </c>
      <c r="C1042" s="15">
        <f>B1042+8</f>
        <v>45991</v>
      </c>
      <c r="D1042" s="14">
        <v>13561</v>
      </c>
      <c r="E1042" s="16" t="s">
        <v>817</v>
      </c>
      <c r="F1042" s="17" t="s">
        <v>818</v>
      </c>
      <c r="G1042" s="17" t="s">
        <v>102</v>
      </c>
      <c r="H1042" s="18" t="s">
        <v>54</v>
      </c>
      <c r="I1042" s="19" t="s">
        <v>135</v>
      </c>
      <c r="J1042" s="20">
        <v>45917</v>
      </c>
      <c r="K1042" s="20">
        <v>45947</v>
      </c>
      <c r="L1042" s="21">
        <v>75000</v>
      </c>
      <c r="M1042" s="22">
        <f>SUM(N1042:O1042)</f>
        <v>71000</v>
      </c>
      <c r="N1042" s="23">
        <v>0</v>
      </c>
      <c r="O1042" s="23">
        <v>71000</v>
      </c>
      <c r="P1042" s="24">
        <f t="shared" si="974"/>
        <v>75000</v>
      </c>
      <c r="Q1042" s="25">
        <v>71000</v>
      </c>
      <c r="R1042" s="26">
        <v>24000</v>
      </c>
      <c r="S1042" s="91">
        <f t="shared" si="975"/>
        <v>3.125</v>
      </c>
      <c r="T1042" s="91">
        <f t="shared" si="976"/>
        <v>2.9583333333333335</v>
      </c>
      <c r="U1042" s="27" t="s">
        <v>56</v>
      </c>
      <c r="V1042" s="19" t="s">
        <v>51</v>
      </c>
      <c r="W1042" s="20">
        <v>45953</v>
      </c>
      <c r="X1042" s="22"/>
      <c r="Y1042" s="19" t="s">
        <v>52</v>
      </c>
      <c r="Z1042" s="19" t="s">
        <v>52</v>
      </c>
      <c r="AA1042" s="19" t="s">
        <v>52</v>
      </c>
      <c r="AB1042" s="28"/>
    </row>
    <row r="1043" spans="1:33" s="29" customFormat="1" ht="15" customHeight="1" x14ac:dyDescent="0.25">
      <c r="A1043" s="14">
        <v>5</v>
      </c>
      <c r="B1043" s="15">
        <v>45983</v>
      </c>
      <c r="C1043" s="15">
        <f t="shared" ref="C1043" si="977">B1043+8</f>
        <v>45991</v>
      </c>
      <c r="D1043" s="14">
        <v>13738</v>
      </c>
      <c r="E1043" s="16" t="s">
        <v>240</v>
      </c>
      <c r="F1043" s="17" t="s">
        <v>241</v>
      </c>
      <c r="G1043" s="17" t="s">
        <v>132</v>
      </c>
      <c r="H1043" s="18" t="s">
        <v>775</v>
      </c>
      <c r="I1043" s="19" t="s">
        <v>135</v>
      </c>
      <c r="J1043" s="20">
        <v>45938</v>
      </c>
      <c r="K1043" s="20">
        <v>45982</v>
      </c>
      <c r="L1043" s="21">
        <v>310000</v>
      </c>
      <c r="M1043" s="22">
        <f>SUM(N1043:O1043)</f>
        <v>351000</v>
      </c>
      <c r="N1043" s="23">
        <v>0</v>
      </c>
      <c r="O1043" s="23">
        <v>351000</v>
      </c>
      <c r="P1043" s="24">
        <f t="shared" si="974"/>
        <v>310000</v>
      </c>
      <c r="Q1043" s="25">
        <v>351000</v>
      </c>
      <c r="R1043" s="26">
        <v>175500</v>
      </c>
      <c r="S1043" s="91">
        <f t="shared" si="975"/>
        <v>1.7663817663817665</v>
      </c>
      <c r="T1043" s="91">
        <f t="shared" si="976"/>
        <v>2</v>
      </c>
      <c r="U1043" s="27" t="s">
        <v>56</v>
      </c>
      <c r="V1043" s="19" t="s">
        <v>51</v>
      </c>
      <c r="W1043" s="20">
        <v>45969</v>
      </c>
      <c r="X1043" s="22"/>
      <c r="Y1043" s="19" t="s">
        <v>52</v>
      </c>
      <c r="Z1043" s="19" t="s">
        <v>52</v>
      </c>
      <c r="AA1043" s="19" t="s">
        <v>52</v>
      </c>
      <c r="AB1043" s="28"/>
    </row>
    <row r="1044" spans="1:33" s="29" customFormat="1" ht="15" customHeight="1" x14ac:dyDescent="0.25">
      <c r="A1044" s="14">
        <v>21</v>
      </c>
      <c r="B1044" s="15">
        <v>45983</v>
      </c>
      <c r="C1044" s="15">
        <f>B1044+8</f>
        <v>45991</v>
      </c>
      <c r="D1044" s="14">
        <v>13834</v>
      </c>
      <c r="E1044" s="16" t="s">
        <v>289</v>
      </c>
      <c r="F1044" s="40" t="s">
        <v>290</v>
      </c>
      <c r="G1044" s="17" t="s">
        <v>75</v>
      </c>
      <c r="H1044" s="18" t="s">
        <v>133</v>
      </c>
      <c r="I1044" s="19" t="s">
        <v>198</v>
      </c>
      <c r="J1044" s="20">
        <v>45957</v>
      </c>
      <c r="K1044" s="20">
        <v>46013</v>
      </c>
      <c r="L1044" s="21">
        <v>120000</v>
      </c>
      <c r="M1044" s="22">
        <f t="shared" ref="M1044" si="978">SUM(N1044:O1044)</f>
        <v>90000</v>
      </c>
      <c r="N1044" s="23">
        <v>0</v>
      </c>
      <c r="O1044" s="23">
        <v>90000</v>
      </c>
      <c r="P1044" s="24">
        <f t="shared" si="974"/>
        <v>120000</v>
      </c>
      <c r="Q1044" s="25">
        <v>90000</v>
      </c>
      <c r="R1044" s="26">
        <v>45000</v>
      </c>
      <c r="S1044" s="91">
        <f t="shared" si="975"/>
        <v>2.6666666666666665</v>
      </c>
      <c r="T1044" s="91">
        <f t="shared" si="976"/>
        <v>2</v>
      </c>
      <c r="U1044" s="27" t="s">
        <v>56</v>
      </c>
      <c r="V1044" s="30" t="s">
        <v>59</v>
      </c>
      <c r="W1044" s="31">
        <v>45997</v>
      </c>
      <c r="X1044" s="22"/>
      <c r="Y1044" s="19" t="s">
        <v>52</v>
      </c>
      <c r="Z1044" s="19" t="s">
        <v>52</v>
      </c>
      <c r="AA1044" s="19" t="s">
        <v>52</v>
      </c>
      <c r="AB1044" s="28"/>
    </row>
    <row r="1045" spans="1:33" s="29" customFormat="1" ht="15" customHeight="1" x14ac:dyDescent="0.25">
      <c r="A1045" s="14">
        <v>3</v>
      </c>
      <c r="B1045" s="15">
        <v>45983</v>
      </c>
      <c r="C1045" s="15">
        <f>B1045+8</f>
        <v>45991</v>
      </c>
      <c r="D1045" s="14">
        <v>13434</v>
      </c>
      <c r="E1045" s="16" t="s">
        <v>358</v>
      </c>
      <c r="F1045" s="17" t="s">
        <v>359</v>
      </c>
      <c r="G1045" s="17" t="s">
        <v>132</v>
      </c>
      <c r="H1045" s="18" t="s">
        <v>162</v>
      </c>
      <c r="I1045" s="19" t="s">
        <v>198</v>
      </c>
      <c r="J1045" s="20">
        <v>45891</v>
      </c>
      <c r="K1045" s="20">
        <v>45953</v>
      </c>
      <c r="L1045" s="21">
        <v>350000</v>
      </c>
      <c r="M1045" s="22">
        <f>SUM(N1045:O1045)</f>
        <v>401590</v>
      </c>
      <c r="N1045" s="23">
        <v>185590</v>
      </c>
      <c r="O1045" s="23">
        <v>216000</v>
      </c>
      <c r="P1045" s="24">
        <f t="shared" si="974"/>
        <v>164410</v>
      </c>
      <c r="Q1045" s="25">
        <v>216000</v>
      </c>
      <c r="R1045" s="26">
        <v>324000</v>
      </c>
      <c r="S1045" s="91">
        <f t="shared" si="975"/>
        <v>0.50743827160493826</v>
      </c>
      <c r="T1045" s="91">
        <f t="shared" si="976"/>
        <v>0.66666666666666663</v>
      </c>
      <c r="U1045" s="27" t="s">
        <v>56</v>
      </c>
      <c r="V1045" s="19" t="s">
        <v>51</v>
      </c>
      <c r="W1045" s="20">
        <v>45948</v>
      </c>
      <c r="X1045" s="22"/>
      <c r="Y1045" s="19" t="s">
        <v>52</v>
      </c>
      <c r="Z1045" s="19" t="s">
        <v>52</v>
      </c>
      <c r="AA1045" s="19" t="s">
        <v>52</v>
      </c>
      <c r="AB1045" s="28"/>
    </row>
    <row r="1046" spans="1:33" s="29" customFormat="1" ht="15" customHeight="1" x14ac:dyDescent="0.25">
      <c r="A1046" s="14">
        <v>46</v>
      </c>
      <c r="B1046" s="15">
        <v>45983</v>
      </c>
      <c r="C1046" s="15">
        <f>B1046+8</f>
        <v>45991</v>
      </c>
      <c r="D1046" s="14">
        <v>13910</v>
      </c>
      <c r="E1046" s="16" t="s">
        <v>121</v>
      </c>
      <c r="F1046" s="17" t="s">
        <v>122</v>
      </c>
      <c r="G1046" s="17" t="s">
        <v>102</v>
      </c>
      <c r="H1046" s="18" t="s">
        <v>542</v>
      </c>
      <c r="I1046" s="19" t="s">
        <v>70</v>
      </c>
      <c r="J1046" s="20">
        <v>45967</v>
      </c>
      <c r="K1046" s="20">
        <v>45994</v>
      </c>
      <c r="L1046" s="21">
        <v>500000</v>
      </c>
      <c r="M1046" s="22">
        <f>SUM(N1046:O1046)</f>
        <v>500000</v>
      </c>
      <c r="N1046" s="23">
        <v>100000</v>
      </c>
      <c r="O1046" s="23">
        <v>400000</v>
      </c>
      <c r="P1046" s="24">
        <f t="shared" si="974"/>
        <v>400000</v>
      </c>
      <c r="Q1046" s="25">
        <v>401000</v>
      </c>
      <c r="R1046" s="26">
        <v>50000</v>
      </c>
      <c r="S1046" s="91">
        <f t="shared" si="975"/>
        <v>8</v>
      </c>
      <c r="T1046" s="91">
        <f t="shared" si="976"/>
        <v>8.02</v>
      </c>
      <c r="U1046" s="27" t="s">
        <v>254</v>
      </c>
      <c r="V1046" s="19" t="s">
        <v>51</v>
      </c>
      <c r="W1046" s="20">
        <v>45974</v>
      </c>
      <c r="X1046" s="22"/>
      <c r="Y1046" s="19" t="s">
        <v>52</v>
      </c>
      <c r="Z1046" s="19" t="s">
        <v>52</v>
      </c>
      <c r="AA1046" s="19" t="s">
        <v>52</v>
      </c>
      <c r="AB1046" s="28"/>
    </row>
    <row r="1047" spans="1:33" s="29" customFormat="1" ht="15" customHeight="1" x14ac:dyDescent="0.25">
      <c r="A1047" s="14">
        <v>45</v>
      </c>
      <c r="B1047" s="15">
        <v>45983</v>
      </c>
      <c r="C1047" s="15">
        <f>B1047+8</f>
        <v>45991</v>
      </c>
      <c r="D1047" s="14">
        <v>13819</v>
      </c>
      <c r="E1047" s="16" t="s">
        <v>760</v>
      </c>
      <c r="F1047" s="17" t="s">
        <v>286</v>
      </c>
      <c r="G1047" s="17" t="s">
        <v>102</v>
      </c>
      <c r="H1047" s="18" t="s">
        <v>57</v>
      </c>
      <c r="I1047" s="19" t="s">
        <v>94</v>
      </c>
      <c r="J1047" s="20">
        <v>45953</v>
      </c>
      <c r="K1047" s="20">
        <v>45994</v>
      </c>
      <c r="L1047" s="21">
        <v>150000</v>
      </c>
      <c r="M1047" s="22">
        <f t="shared" ref="M1047" si="979">SUM(N1047:O1047)</f>
        <v>150000</v>
      </c>
      <c r="N1047" s="23">
        <v>80000</v>
      </c>
      <c r="O1047" s="23">
        <v>70000</v>
      </c>
      <c r="P1047" s="24">
        <f t="shared" si="974"/>
        <v>70000</v>
      </c>
      <c r="Q1047" s="25">
        <v>84000</v>
      </c>
      <c r="R1047" s="26">
        <v>45000</v>
      </c>
      <c r="S1047" s="91">
        <f t="shared" si="975"/>
        <v>1.5555555555555556</v>
      </c>
      <c r="T1047" s="91">
        <f t="shared" si="976"/>
        <v>1.8666666666666667</v>
      </c>
      <c r="U1047" s="27" t="s">
        <v>192</v>
      </c>
      <c r="V1047" s="19" t="s">
        <v>51</v>
      </c>
      <c r="W1047" s="20">
        <v>45971</v>
      </c>
      <c r="X1047" s="22"/>
      <c r="Y1047" s="19" t="s">
        <v>52</v>
      </c>
      <c r="Z1047" s="19" t="s">
        <v>52</v>
      </c>
      <c r="AA1047" s="19" t="s">
        <v>52</v>
      </c>
      <c r="AB1047" s="28"/>
    </row>
    <row r="1048" spans="1:33" s="29" customFormat="1" ht="15" customHeight="1" x14ac:dyDescent="0.25">
      <c r="A1048" s="14">
        <v>2</v>
      </c>
      <c r="B1048" s="15">
        <v>45983</v>
      </c>
      <c r="C1048" s="15">
        <f t="shared" ref="C1048" si="980">B1048+8</f>
        <v>45991</v>
      </c>
      <c r="D1048" s="14">
        <v>13823</v>
      </c>
      <c r="E1048" s="16" t="s">
        <v>436</v>
      </c>
      <c r="F1048" s="40" t="s">
        <v>437</v>
      </c>
      <c r="G1048" s="17" t="s">
        <v>75</v>
      </c>
      <c r="H1048" s="18" t="s">
        <v>57</v>
      </c>
      <c r="I1048" s="19" t="s">
        <v>94</v>
      </c>
      <c r="J1048" s="20">
        <v>45953</v>
      </c>
      <c r="K1048" s="20">
        <v>45994</v>
      </c>
      <c r="L1048" s="21">
        <v>600000</v>
      </c>
      <c r="M1048" s="22">
        <f t="shared" ref="M1048" si="981">SUM(N1048:O1048)</f>
        <v>474000</v>
      </c>
      <c r="N1048" s="23">
        <v>450000</v>
      </c>
      <c r="O1048" s="23">
        <v>24000</v>
      </c>
      <c r="P1048" s="24">
        <f t="shared" ref="P1048" si="982">L1048-N1048</f>
        <v>150000</v>
      </c>
      <c r="Q1048" s="25">
        <v>174000</v>
      </c>
      <c r="R1048" s="26">
        <v>150000</v>
      </c>
      <c r="S1048" s="91">
        <f t="shared" si="975"/>
        <v>1</v>
      </c>
      <c r="T1048" s="91">
        <f t="shared" si="976"/>
        <v>1.1599999999999999</v>
      </c>
      <c r="U1048" s="27" t="s">
        <v>192</v>
      </c>
      <c r="V1048" s="19" t="s">
        <v>51</v>
      </c>
      <c r="W1048" s="20">
        <v>45968</v>
      </c>
      <c r="X1048" s="22"/>
      <c r="Y1048" s="19" t="s">
        <v>52</v>
      </c>
      <c r="Z1048" s="19" t="s">
        <v>52</v>
      </c>
      <c r="AA1048" s="19" t="s">
        <v>52</v>
      </c>
      <c r="AB1048" s="28"/>
    </row>
    <row r="1049" spans="1:33" s="29" customFormat="1" ht="15" customHeight="1" x14ac:dyDescent="0.25">
      <c r="A1049" s="14">
        <v>49</v>
      </c>
      <c r="B1049" s="15">
        <v>45983</v>
      </c>
      <c r="C1049" s="15">
        <f>B1049+8</f>
        <v>45991</v>
      </c>
      <c r="D1049" s="14">
        <v>13978</v>
      </c>
      <c r="E1049" s="16" t="s">
        <v>737</v>
      </c>
      <c r="F1049" s="17" t="s">
        <v>952</v>
      </c>
      <c r="G1049" s="17" t="s">
        <v>102</v>
      </c>
      <c r="H1049" s="18" t="s">
        <v>57</v>
      </c>
      <c r="I1049" s="19" t="s">
        <v>58</v>
      </c>
      <c r="J1049" s="20">
        <v>45973</v>
      </c>
      <c r="K1049" s="20">
        <v>46001</v>
      </c>
      <c r="L1049" s="21">
        <v>2000000</v>
      </c>
      <c r="M1049" s="22">
        <f t="shared" ref="M1049" si="983">SUM(N1049:O1049)</f>
        <v>210000</v>
      </c>
      <c r="N1049" s="23">
        <v>0</v>
      </c>
      <c r="O1049" s="23">
        <v>210000</v>
      </c>
      <c r="P1049" s="24">
        <f t="shared" ref="P1049" si="984">L1049-N1049</f>
        <v>2000000</v>
      </c>
      <c r="Q1049" s="25">
        <v>210000</v>
      </c>
      <c r="R1049" s="26">
        <v>42000</v>
      </c>
      <c r="S1049" s="91">
        <f t="shared" si="975"/>
        <v>47.61904761904762</v>
      </c>
      <c r="T1049" s="91">
        <f t="shared" si="976"/>
        <v>5</v>
      </c>
      <c r="U1049" s="27" t="s">
        <v>192</v>
      </c>
      <c r="V1049" s="30" t="s">
        <v>68</v>
      </c>
      <c r="W1049" s="31" t="s">
        <v>68</v>
      </c>
      <c r="X1049" s="22"/>
      <c r="Y1049" s="19" t="s">
        <v>52</v>
      </c>
      <c r="Z1049" s="19" t="s">
        <v>52</v>
      </c>
      <c r="AA1049" s="19" t="s">
        <v>52</v>
      </c>
      <c r="AB1049" s="28"/>
    </row>
    <row r="1050" spans="1:33" ht="15" customHeight="1" x14ac:dyDescent="0.25">
      <c r="A1050" s="33" t="s">
        <v>71</v>
      </c>
      <c r="B1050" s="34"/>
      <c r="C1050" s="34"/>
      <c r="D1050" s="34"/>
      <c r="E1050" s="34"/>
      <c r="F1050" s="35"/>
      <c r="G1050" s="35"/>
      <c r="H1050" s="34"/>
      <c r="I1050" s="34"/>
      <c r="J1050" s="34"/>
      <c r="K1050" s="34"/>
      <c r="L1050" s="36"/>
      <c r="M1050" s="36"/>
      <c r="N1050" s="36"/>
      <c r="O1050" s="36"/>
      <c r="P1050" s="36"/>
      <c r="Q1050" s="36">
        <f>SUM(Q1040:Q1049)</f>
        <v>1825000</v>
      </c>
      <c r="R1050" s="36"/>
      <c r="S1050" s="92"/>
      <c r="T1050" s="93">
        <f>SUM(T1040:T1049)</f>
        <v>24.838333333333335</v>
      </c>
      <c r="U1050" s="37"/>
      <c r="V1050" s="38"/>
      <c r="W1050" s="38"/>
      <c r="X1050" s="38"/>
      <c r="Y1050" s="34"/>
      <c r="Z1050" s="34"/>
      <c r="AA1050" s="39"/>
      <c r="AB1050" s="29" t="s">
        <v>1017</v>
      </c>
      <c r="AC1050" s="81" t="s">
        <v>1024</v>
      </c>
      <c r="AD1050" s="83">
        <v>5000</v>
      </c>
      <c r="AF1050" s="83">
        <v>0</v>
      </c>
      <c r="AG1050" s="83">
        <f>SUM(AD1050,AF1050)</f>
        <v>5000</v>
      </c>
    </row>
    <row r="1051" spans="1:33" s="29" customFormat="1" ht="15" customHeight="1" x14ac:dyDescent="0.25">
      <c r="A1051" s="14">
        <v>7</v>
      </c>
      <c r="B1051" s="15">
        <v>45986</v>
      </c>
      <c r="C1051" s="15">
        <f t="shared" ref="C1051" si="985">B1051+8</f>
        <v>45994</v>
      </c>
      <c r="D1051" s="14">
        <v>13841</v>
      </c>
      <c r="E1051" s="16" t="s">
        <v>464</v>
      </c>
      <c r="F1051" s="40" t="s">
        <v>465</v>
      </c>
      <c r="G1051" s="17" t="s">
        <v>75</v>
      </c>
      <c r="H1051" s="18" t="s">
        <v>113</v>
      </c>
      <c r="I1051" s="19" t="s">
        <v>64</v>
      </c>
      <c r="J1051" s="20">
        <v>45961</v>
      </c>
      <c r="K1051" s="20">
        <v>45982</v>
      </c>
      <c r="L1051" s="21">
        <v>1000000</v>
      </c>
      <c r="M1051" s="22">
        <f t="shared" ref="M1051" si="986">SUM(N1051:O1051)</f>
        <v>1044000</v>
      </c>
      <c r="N1051" s="23">
        <v>750000</v>
      </c>
      <c r="O1051" s="23">
        <v>294000</v>
      </c>
      <c r="P1051" s="24">
        <f t="shared" ref="P1051" si="987">L1051-N1051</f>
        <v>250000</v>
      </c>
      <c r="Q1051" s="25">
        <v>294000</v>
      </c>
      <c r="R1051" s="26">
        <v>150000</v>
      </c>
      <c r="S1051" s="91">
        <f t="shared" ref="S1051:S1057" si="988">IF(P1051&gt;0,P1051/$R1051,0)</f>
        <v>1.6666666666666667</v>
      </c>
      <c r="T1051" s="91">
        <f t="shared" ref="T1051:T1057" si="989">IF(Q1051&gt;0,Q1051/$R1051,0)</f>
        <v>1.96</v>
      </c>
      <c r="U1051" s="27" t="s">
        <v>192</v>
      </c>
      <c r="V1051" s="19" t="s">
        <v>51</v>
      </c>
      <c r="W1051" s="20">
        <v>45971</v>
      </c>
      <c r="X1051" s="22"/>
      <c r="Y1051" s="19" t="s">
        <v>52</v>
      </c>
      <c r="Z1051" s="19" t="s">
        <v>52</v>
      </c>
      <c r="AA1051" s="19" t="s">
        <v>52</v>
      </c>
      <c r="AB1051" s="28"/>
    </row>
    <row r="1052" spans="1:33" s="29" customFormat="1" ht="15" customHeight="1" x14ac:dyDescent="0.25">
      <c r="A1052" s="14">
        <v>51</v>
      </c>
      <c r="B1052" s="15">
        <v>45986</v>
      </c>
      <c r="C1052" s="15">
        <f t="shared" ref="C1052" si="990">B1052+8</f>
        <v>45994</v>
      </c>
      <c r="D1052" s="14">
        <v>13915</v>
      </c>
      <c r="E1052" s="16" t="s">
        <v>297</v>
      </c>
      <c r="F1052" s="17" t="s">
        <v>298</v>
      </c>
      <c r="G1052" s="17" t="s">
        <v>102</v>
      </c>
      <c r="H1052" s="18" t="s">
        <v>57</v>
      </c>
      <c r="I1052" s="19" t="s">
        <v>94</v>
      </c>
      <c r="J1052" s="20">
        <v>45971</v>
      </c>
      <c r="K1052" s="20">
        <v>46020</v>
      </c>
      <c r="L1052" s="21">
        <v>500000</v>
      </c>
      <c r="M1052" s="22">
        <f>SUM(N1052:O1052)</f>
        <v>150000</v>
      </c>
      <c r="N1052" s="23">
        <v>0</v>
      </c>
      <c r="O1052" s="23">
        <v>150000</v>
      </c>
      <c r="P1052" s="24">
        <f t="shared" ref="P1052:P1058" si="991">L1052-N1052</f>
        <v>500000</v>
      </c>
      <c r="Q1052" s="25">
        <v>240000</v>
      </c>
      <c r="R1052" s="26">
        <v>30000</v>
      </c>
      <c r="S1052" s="91">
        <f t="shared" si="988"/>
        <v>16.666666666666668</v>
      </c>
      <c r="T1052" s="91">
        <f t="shared" si="989"/>
        <v>8</v>
      </c>
      <c r="U1052" s="27" t="s">
        <v>192</v>
      </c>
      <c r="V1052" s="30" t="s">
        <v>59</v>
      </c>
      <c r="W1052" s="31">
        <v>45985</v>
      </c>
      <c r="X1052" s="22"/>
      <c r="Y1052" s="19" t="s">
        <v>52</v>
      </c>
      <c r="Z1052" s="19" t="s">
        <v>52</v>
      </c>
      <c r="AA1052" s="19" t="s">
        <v>52</v>
      </c>
      <c r="AB1052" s="28"/>
    </row>
    <row r="1053" spans="1:33" s="29" customFormat="1" ht="15" customHeight="1" x14ac:dyDescent="0.25">
      <c r="A1053" s="14">
        <v>49</v>
      </c>
      <c r="B1053" s="15">
        <v>45986</v>
      </c>
      <c r="C1053" s="15">
        <f t="shared" ref="C1053:C1058" si="992">B1053+8</f>
        <v>45994</v>
      </c>
      <c r="D1053" s="14">
        <v>13978</v>
      </c>
      <c r="E1053" s="16" t="s">
        <v>737</v>
      </c>
      <c r="F1053" s="17" t="s">
        <v>952</v>
      </c>
      <c r="G1053" s="17" t="s">
        <v>102</v>
      </c>
      <c r="H1053" s="18" t="s">
        <v>57</v>
      </c>
      <c r="I1053" s="19" t="s">
        <v>58</v>
      </c>
      <c r="J1053" s="20">
        <v>45973</v>
      </c>
      <c r="K1053" s="20">
        <v>46001</v>
      </c>
      <c r="L1053" s="21">
        <v>2000000</v>
      </c>
      <c r="M1053" s="22">
        <f>SUM(N1053:O1053)</f>
        <v>462000</v>
      </c>
      <c r="N1053" s="23">
        <v>210000</v>
      </c>
      <c r="O1053" s="23">
        <v>252000</v>
      </c>
      <c r="P1053" s="24">
        <f t="shared" si="991"/>
        <v>1790000</v>
      </c>
      <c r="Q1053" s="25">
        <v>252000</v>
      </c>
      <c r="R1053" s="26">
        <v>42000</v>
      </c>
      <c r="S1053" s="91">
        <f t="shared" si="988"/>
        <v>42.61904761904762</v>
      </c>
      <c r="T1053" s="91">
        <f t="shared" si="989"/>
        <v>6</v>
      </c>
      <c r="U1053" s="27" t="s">
        <v>192</v>
      </c>
      <c r="V1053" s="30" t="s">
        <v>68</v>
      </c>
      <c r="W1053" s="31" t="s">
        <v>68</v>
      </c>
      <c r="X1053" s="22"/>
      <c r="Y1053" s="19" t="s">
        <v>52</v>
      </c>
      <c r="Z1053" s="19" t="s">
        <v>52</v>
      </c>
      <c r="AA1053" s="19" t="s">
        <v>52</v>
      </c>
      <c r="AB1053" s="28"/>
    </row>
    <row r="1054" spans="1:33" s="29" customFormat="1" ht="15" customHeight="1" x14ac:dyDescent="0.25">
      <c r="A1054" s="14">
        <v>4</v>
      </c>
      <c r="B1054" s="15">
        <v>45986</v>
      </c>
      <c r="C1054" s="15">
        <f t="shared" si="992"/>
        <v>45994</v>
      </c>
      <c r="D1054" s="14">
        <v>14085</v>
      </c>
      <c r="E1054" s="16" t="s">
        <v>938</v>
      </c>
      <c r="F1054" s="40" t="s">
        <v>933</v>
      </c>
      <c r="G1054" s="17" t="s">
        <v>75</v>
      </c>
      <c r="H1054" s="18" t="s">
        <v>542</v>
      </c>
      <c r="I1054" s="19" t="s">
        <v>49</v>
      </c>
      <c r="J1054" s="20">
        <v>45985</v>
      </c>
      <c r="K1054" s="20">
        <v>45992</v>
      </c>
      <c r="L1054" s="21">
        <v>50000</v>
      </c>
      <c r="M1054" s="22">
        <f t="shared" ref="M1054:M1058" si="993">SUM(N1054:O1054)</f>
        <v>288000</v>
      </c>
      <c r="N1054" s="23">
        <v>138000</v>
      </c>
      <c r="O1054" s="23">
        <v>150000</v>
      </c>
      <c r="P1054" s="24">
        <f t="shared" si="991"/>
        <v>-88000</v>
      </c>
      <c r="Q1054" s="25">
        <v>51000</v>
      </c>
      <c r="R1054" s="26">
        <v>150000</v>
      </c>
      <c r="S1054" s="91">
        <f t="shared" si="988"/>
        <v>0</v>
      </c>
      <c r="T1054" s="91">
        <f t="shared" si="989"/>
        <v>0.34</v>
      </c>
      <c r="U1054" s="27" t="s">
        <v>192</v>
      </c>
      <c r="V1054" s="30" t="s">
        <v>68</v>
      </c>
      <c r="W1054" s="31" t="s">
        <v>68</v>
      </c>
      <c r="X1054" s="22"/>
      <c r="Y1054" s="19" t="s">
        <v>52</v>
      </c>
      <c r="Z1054" s="19" t="s">
        <v>52</v>
      </c>
      <c r="AA1054" s="19" t="s">
        <v>52</v>
      </c>
      <c r="AB1054" s="28"/>
    </row>
    <row r="1055" spans="1:33" s="29" customFormat="1" ht="15" customHeight="1" x14ac:dyDescent="0.25">
      <c r="A1055" s="14">
        <v>1</v>
      </c>
      <c r="B1055" s="15">
        <v>45986</v>
      </c>
      <c r="C1055" s="15">
        <f t="shared" si="992"/>
        <v>45994</v>
      </c>
      <c r="D1055" s="14">
        <v>13724</v>
      </c>
      <c r="E1055" s="16" t="s">
        <v>158</v>
      </c>
      <c r="F1055" s="17" t="s">
        <v>159</v>
      </c>
      <c r="G1055" s="17" t="s">
        <v>132</v>
      </c>
      <c r="H1055" s="18" t="s">
        <v>775</v>
      </c>
      <c r="I1055" s="19" t="s">
        <v>135</v>
      </c>
      <c r="J1055" s="20">
        <v>45938</v>
      </c>
      <c r="K1055" s="20">
        <v>45980</v>
      </c>
      <c r="L1055" s="21">
        <v>300000</v>
      </c>
      <c r="M1055" s="22">
        <f t="shared" si="993"/>
        <v>100143</v>
      </c>
      <c r="N1055" s="23">
        <v>72540</v>
      </c>
      <c r="O1055" s="23">
        <v>27603</v>
      </c>
      <c r="P1055" s="24">
        <f t="shared" si="991"/>
        <v>227460</v>
      </c>
      <c r="Q1055" s="25">
        <v>27600</v>
      </c>
      <c r="R1055" s="26">
        <v>57330</v>
      </c>
      <c r="S1055" s="91">
        <f t="shared" si="988"/>
        <v>3.9675562532705388</v>
      </c>
      <c r="T1055" s="91">
        <f t="shared" si="989"/>
        <v>0.48142333856619574</v>
      </c>
      <c r="U1055" s="27" t="s">
        <v>56</v>
      </c>
      <c r="V1055" s="19" t="s">
        <v>51</v>
      </c>
      <c r="W1055" s="20">
        <v>45967</v>
      </c>
      <c r="X1055" s="22"/>
      <c r="Y1055" s="19" t="s">
        <v>52</v>
      </c>
      <c r="Z1055" s="19" t="s">
        <v>52</v>
      </c>
      <c r="AA1055" s="19" t="s">
        <v>52</v>
      </c>
      <c r="AB1055" s="28"/>
    </row>
    <row r="1056" spans="1:33" s="29" customFormat="1" ht="15" customHeight="1" x14ac:dyDescent="0.25">
      <c r="A1056" s="14">
        <v>7</v>
      </c>
      <c r="B1056" s="15">
        <v>45986</v>
      </c>
      <c r="C1056" s="15">
        <f t="shared" si="992"/>
        <v>45994</v>
      </c>
      <c r="D1056" s="14">
        <v>13862</v>
      </c>
      <c r="E1056" s="16" t="s">
        <v>310</v>
      </c>
      <c r="F1056" s="17" t="s">
        <v>311</v>
      </c>
      <c r="G1056" s="17" t="s">
        <v>132</v>
      </c>
      <c r="H1056" s="18" t="s">
        <v>133</v>
      </c>
      <c r="I1056" s="19" t="s">
        <v>198</v>
      </c>
      <c r="J1056" s="20">
        <v>45961</v>
      </c>
      <c r="K1056" s="20">
        <v>45985</v>
      </c>
      <c r="L1056" s="21">
        <v>200000</v>
      </c>
      <c r="M1056" s="22">
        <f t="shared" si="993"/>
        <v>192380</v>
      </c>
      <c r="N1056" s="23">
        <v>0</v>
      </c>
      <c r="O1056" s="23">
        <v>192380</v>
      </c>
      <c r="P1056" s="24">
        <f t="shared" si="991"/>
        <v>200000</v>
      </c>
      <c r="Q1056" s="25">
        <v>192380</v>
      </c>
      <c r="R1056" s="26">
        <v>160000</v>
      </c>
      <c r="S1056" s="91">
        <f t="shared" si="988"/>
        <v>1.25</v>
      </c>
      <c r="T1056" s="91">
        <f t="shared" si="989"/>
        <v>1.202375</v>
      </c>
      <c r="U1056" s="27" t="s">
        <v>56</v>
      </c>
      <c r="V1056" s="30" t="s">
        <v>59</v>
      </c>
      <c r="W1056" s="31">
        <v>45980</v>
      </c>
      <c r="X1056" s="22"/>
      <c r="Y1056" s="19" t="s">
        <v>52</v>
      </c>
      <c r="Z1056" s="19" t="s">
        <v>52</v>
      </c>
      <c r="AA1056" s="19" t="s">
        <v>52</v>
      </c>
      <c r="AB1056" s="28"/>
    </row>
    <row r="1057" spans="1:33" s="29" customFormat="1" ht="15" customHeight="1" x14ac:dyDescent="0.25">
      <c r="A1057" s="14">
        <v>24</v>
      </c>
      <c r="B1057" s="15">
        <v>45986</v>
      </c>
      <c r="C1057" s="15">
        <f t="shared" si="992"/>
        <v>45994</v>
      </c>
      <c r="D1057" s="14">
        <v>13834</v>
      </c>
      <c r="E1057" s="16" t="s">
        <v>289</v>
      </c>
      <c r="F1057" s="40" t="s">
        <v>290</v>
      </c>
      <c r="G1057" s="17" t="s">
        <v>75</v>
      </c>
      <c r="H1057" s="18" t="s">
        <v>133</v>
      </c>
      <c r="I1057" s="19" t="s">
        <v>198</v>
      </c>
      <c r="J1057" s="20">
        <v>45957</v>
      </c>
      <c r="K1057" s="20">
        <v>46013</v>
      </c>
      <c r="L1057" s="21">
        <v>120000</v>
      </c>
      <c r="M1057" s="22">
        <f t="shared" si="993"/>
        <v>96000</v>
      </c>
      <c r="N1057" s="23">
        <v>90000</v>
      </c>
      <c r="O1057" s="23">
        <v>6000</v>
      </c>
      <c r="P1057" s="24">
        <f t="shared" si="991"/>
        <v>30000</v>
      </c>
      <c r="Q1057" s="25">
        <v>27000</v>
      </c>
      <c r="R1057" s="26">
        <v>45000</v>
      </c>
      <c r="S1057" s="91">
        <f t="shared" si="988"/>
        <v>0.66666666666666663</v>
      </c>
      <c r="T1057" s="91">
        <f t="shared" si="989"/>
        <v>0.6</v>
      </c>
      <c r="U1057" s="27" t="s">
        <v>56</v>
      </c>
      <c r="V1057" s="30" t="s">
        <v>59</v>
      </c>
      <c r="W1057" s="31">
        <v>45997</v>
      </c>
      <c r="X1057" s="22"/>
      <c r="Y1057" s="19" t="s">
        <v>52</v>
      </c>
      <c r="Z1057" s="19" t="s">
        <v>52</v>
      </c>
      <c r="AA1057" s="19" t="s">
        <v>52</v>
      </c>
      <c r="AB1057" s="28"/>
    </row>
    <row r="1058" spans="1:33" s="29" customFormat="1" ht="15" customHeight="1" x14ac:dyDescent="0.25">
      <c r="A1058" s="14">
        <v>4</v>
      </c>
      <c r="B1058" s="15">
        <v>45986</v>
      </c>
      <c r="C1058" s="15">
        <f t="shared" si="992"/>
        <v>45994</v>
      </c>
      <c r="D1058" s="14">
        <v>13524</v>
      </c>
      <c r="E1058" s="16" t="s">
        <v>333</v>
      </c>
      <c r="F1058" s="17" t="s">
        <v>334</v>
      </c>
      <c r="G1058" s="17" t="s">
        <v>132</v>
      </c>
      <c r="H1058" s="18" t="s">
        <v>162</v>
      </c>
      <c r="I1058" s="19" t="s">
        <v>198</v>
      </c>
      <c r="J1058" s="20">
        <v>45905</v>
      </c>
      <c r="K1058" s="20">
        <v>45957</v>
      </c>
      <c r="L1058" s="21">
        <v>450000</v>
      </c>
      <c r="M1058" s="22">
        <f t="shared" si="993"/>
        <v>318210</v>
      </c>
      <c r="N1058" s="23">
        <v>216000</v>
      </c>
      <c r="O1058" s="23">
        <v>102210</v>
      </c>
      <c r="P1058" s="24">
        <f t="shared" si="991"/>
        <v>234000</v>
      </c>
      <c r="Q1058" s="25">
        <v>102210</v>
      </c>
      <c r="R1058" s="26">
        <v>324000</v>
      </c>
      <c r="S1058" s="91">
        <f t="shared" ref="S1058" si="994">IF(P1058&gt;0,P1058/$R1058,0)</f>
        <v>0.72222222222222221</v>
      </c>
      <c r="T1058" s="91">
        <f t="shared" ref="T1058" si="995">IF(Q1058&gt;0,Q1058/$R1058,0)</f>
        <v>0.31546296296296295</v>
      </c>
      <c r="U1058" s="27" t="s">
        <v>56</v>
      </c>
      <c r="V1058" s="19" t="s">
        <v>51</v>
      </c>
      <c r="W1058" s="20">
        <v>45967</v>
      </c>
      <c r="X1058" s="22"/>
      <c r="Y1058" s="19" t="s">
        <v>52</v>
      </c>
      <c r="Z1058" s="19" t="s">
        <v>52</v>
      </c>
      <c r="AA1058" s="19" t="s">
        <v>52</v>
      </c>
      <c r="AB1058" s="28"/>
    </row>
    <row r="1059" spans="1:33" ht="15" customHeight="1" x14ac:dyDescent="0.25">
      <c r="A1059" s="33" t="s">
        <v>71</v>
      </c>
      <c r="B1059" s="34"/>
      <c r="C1059" s="34"/>
      <c r="D1059" s="34"/>
      <c r="E1059" s="34"/>
      <c r="F1059" s="35"/>
      <c r="G1059" s="35"/>
      <c r="H1059" s="34"/>
      <c r="I1059" s="34"/>
      <c r="J1059" s="34"/>
      <c r="K1059" s="34"/>
      <c r="L1059" s="36"/>
      <c r="M1059" s="36"/>
      <c r="N1059" s="36"/>
      <c r="O1059" s="36"/>
      <c r="P1059" s="36"/>
      <c r="Q1059" s="36">
        <f>SUM(Q1051:Q1058)</f>
        <v>1186190</v>
      </c>
      <c r="R1059" s="36"/>
      <c r="S1059" s="92"/>
      <c r="T1059" s="93">
        <f>SUM(T1051:T1058)</f>
        <v>18.899261301529162</v>
      </c>
      <c r="U1059" s="37"/>
      <c r="V1059" s="38"/>
      <c r="W1059" s="38"/>
      <c r="X1059" s="38"/>
      <c r="Y1059" s="34"/>
      <c r="Z1059" s="34"/>
      <c r="AA1059" s="39"/>
      <c r="AB1059" s="29" t="s">
        <v>1018</v>
      </c>
      <c r="AC1059" s="81" t="s">
        <v>1026</v>
      </c>
      <c r="AD1059" s="83">
        <v>4583.33</v>
      </c>
      <c r="AF1059" s="83">
        <v>0</v>
      </c>
      <c r="AG1059" s="83">
        <f>SUM(AD1059,AF1059)</f>
        <v>4583.33</v>
      </c>
    </row>
    <row r="1060" spans="1:33" s="29" customFormat="1" ht="15" customHeight="1" x14ac:dyDescent="0.25">
      <c r="A1060" s="14">
        <v>15</v>
      </c>
      <c r="B1060" s="15">
        <v>45990</v>
      </c>
      <c r="C1060" s="15">
        <f t="shared" ref="C1060:C1065" si="996">B1060+8</f>
        <v>45998</v>
      </c>
      <c r="D1060" s="14">
        <v>13976</v>
      </c>
      <c r="E1060" s="16" t="s">
        <v>953</v>
      </c>
      <c r="F1060" s="40" t="s">
        <v>201</v>
      </c>
      <c r="G1060" s="17" t="s">
        <v>75</v>
      </c>
      <c r="H1060" s="18" t="s">
        <v>57</v>
      </c>
      <c r="I1060" s="19" t="s">
        <v>58</v>
      </c>
      <c r="J1060" s="20">
        <v>45973</v>
      </c>
      <c r="K1060" s="20">
        <v>46001</v>
      </c>
      <c r="L1060" s="21">
        <v>800000</v>
      </c>
      <c r="M1060" s="22">
        <f>SUM(N1060:O1060)</f>
        <v>300000</v>
      </c>
      <c r="N1060" s="23">
        <v>0</v>
      </c>
      <c r="O1060" s="23">
        <v>300000</v>
      </c>
      <c r="P1060" s="24">
        <f>L1060-N1060</f>
        <v>800000</v>
      </c>
      <c r="Q1060" s="25">
        <v>150000</v>
      </c>
      <c r="R1060" s="26">
        <v>150000</v>
      </c>
      <c r="S1060" s="91">
        <f t="shared" ref="S1060:S1065" si="997">IF(P1060&gt;0,P1060/$R1060,0)</f>
        <v>5.333333333333333</v>
      </c>
      <c r="T1060" s="91">
        <f t="shared" ref="T1060:T1065" si="998">IF(Q1060&gt;0,Q1060/$R1060,0)</f>
        <v>1</v>
      </c>
      <c r="U1060" s="27" t="s">
        <v>192</v>
      </c>
      <c r="V1060" s="30" t="s">
        <v>59</v>
      </c>
      <c r="W1060" s="31">
        <v>45990</v>
      </c>
      <c r="X1060" s="22"/>
      <c r="Y1060" s="19" t="s">
        <v>52</v>
      </c>
      <c r="Z1060" s="19" t="s">
        <v>52</v>
      </c>
      <c r="AA1060" s="19" t="s">
        <v>52</v>
      </c>
      <c r="AB1060" s="28"/>
    </row>
    <row r="1061" spans="1:33" s="29" customFormat="1" ht="15" customHeight="1" x14ac:dyDescent="0.25">
      <c r="A1061" s="14">
        <v>21</v>
      </c>
      <c r="B1061" s="15">
        <v>45990</v>
      </c>
      <c r="C1061" s="15">
        <f t="shared" si="996"/>
        <v>45998</v>
      </c>
      <c r="D1061" s="14">
        <v>13980</v>
      </c>
      <c r="E1061" s="16" t="s">
        <v>89</v>
      </c>
      <c r="F1061" s="40" t="s">
        <v>954</v>
      </c>
      <c r="G1061" s="17" t="s">
        <v>75</v>
      </c>
      <c r="H1061" s="18" t="s">
        <v>784</v>
      </c>
      <c r="I1061" s="19" t="s">
        <v>70</v>
      </c>
      <c r="J1061" s="20">
        <v>45973</v>
      </c>
      <c r="K1061" s="20">
        <v>46008</v>
      </c>
      <c r="L1061" s="21">
        <v>2000000</v>
      </c>
      <c r="M1061" s="22">
        <f>SUM(N1061:O1061)</f>
        <v>1800000</v>
      </c>
      <c r="N1061" s="23">
        <v>0</v>
      </c>
      <c r="O1061" s="23">
        <v>1800000</v>
      </c>
      <c r="P1061" s="24">
        <f>L1061-N1061</f>
        <v>2000000</v>
      </c>
      <c r="Q1061" s="25">
        <v>1800000</v>
      </c>
      <c r="R1061" s="26">
        <v>150000</v>
      </c>
      <c r="S1061" s="91">
        <f t="shared" si="997"/>
        <v>13.333333333333334</v>
      </c>
      <c r="T1061" s="91">
        <f t="shared" si="998"/>
        <v>12</v>
      </c>
      <c r="U1061" s="27" t="s">
        <v>192</v>
      </c>
      <c r="V1061" s="30" t="s">
        <v>59</v>
      </c>
      <c r="W1061" s="31">
        <v>45996</v>
      </c>
      <c r="X1061" s="22"/>
      <c r="Y1061" s="19" t="s">
        <v>52</v>
      </c>
      <c r="Z1061" s="19" t="s">
        <v>52</v>
      </c>
      <c r="AA1061" s="19" t="s">
        <v>52</v>
      </c>
      <c r="AB1061" s="28"/>
    </row>
    <row r="1062" spans="1:33" s="29" customFormat="1" ht="15" customHeight="1" x14ac:dyDescent="0.25">
      <c r="A1062" s="14">
        <v>50</v>
      </c>
      <c r="B1062" s="15">
        <v>45990</v>
      </c>
      <c r="C1062" s="15">
        <f>B1062+8</f>
        <v>45998</v>
      </c>
      <c r="D1062" s="14">
        <v>13977</v>
      </c>
      <c r="E1062" s="16" t="s">
        <v>761</v>
      </c>
      <c r="F1062" s="17" t="s">
        <v>467</v>
      </c>
      <c r="G1062" s="17" t="s">
        <v>102</v>
      </c>
      <c r="H1062" s="18" t="s">
        <v>57</v>
      </c>
      <c r="I1062" s="19" t="s">
        <v>58</v>
      </c>
      <c r="J1062" s="20">
        <v>45974</v>
      </c>
      <c r="K1062" s="20">
        <v>46001</v>
      </c>
      <c r="L1062" s="21">
        <v>500000</v>
      </c>
      <c r="M1062" s="22">
        <f t="shared" ref="M1062:M1065" si="999">SUM(N1062:O1062)</f>
        <v>250000</v>
      </c>
      <c r="N1062" s="23">
        <v>0</v>
      </c>
      <c r="O1062" s="23">
        <v>250000</v>
      </c>
      <c r="P1062" s="24">
        <f t="shared" ref="P1062" si="1000">L1062-N1062</f>
        <v>500000</v>
      </c>
      <c r="Q1062" s="25">
        <v>250000</v>
      </c>
      <c r="R1062" s="26">
        <v>50000</v>
      </c>
      <c r="S1062" s="91">
        <f t="shared" si="997"/>
        <v>10</v>
      </c>
      <c r="T1062" s="91">
        <f t="shared" si="998"/>
        <v>5</v>
      </c>
      <c r="U1062" s="27" t="s">
        <v>192</v>
      </c>
      <c r="V1062" s="30" t="s">
        <v>68</v>
      </c>
      <c r="W1062" s="31" t="s">
        <v>68</v>
      </c>
      <c r="X1062" s="22"/>
      <c r="Y1062" s="19" t="s">
        <v>52</v>
      </c>
      <c r="Z1062" s="19" t="s">
        <v>52</v>
      </c>
      <c r="AA1062" s="19" t="s">
        <v>52</v>
      </c>
      <c r="AB1062" s="28"/>
    </row>
    <row r="1063" spans="1:33" s="29" customFormat="1" ht="15" customHeight="1" x14ac:dyDescent="0.25">
      <c r="A1063" s="14">
        <v>14</v>
      </c>
      <c r="B1063" s="15">
        <v>45990</v>
      </c>
      <c r="C1063" s="15">
        <f>B1063+8</f>
        <v>45998</v>
      </c>
      <c r="D1063" s="14">
        <v>13734</v>
      </c>
      <c r="E1063" s="16" t="s">
        <v>199</v>
      </c>
      <c r="F1063" s="40" t="s">
        <v>200</v>
      </c>
      <c r="G1063" s="17" t="s">
        <v>75</v>
      </c>
      <c r="H1063" s="18" t="s">
        <v>133</v>
      </c>
      <c r="I1063" s="19" t="s">
        <v>198</v>
      </c>
      <c r="J1063" s="20">
        <v>45938</v>
      </c>
      <c r="K1063" s="20">
        <v>46001</v>
      </c>
      <c r="L1063" s="21">
        <v>150000</v>
      </c>
      <c r="M1063" s="22">
        <f t="shared" si="999"/>
        <v>150000</v>
      </c>
      <c r="N1063" s="23">
        <v>0</v>
      </c>
      <c r="O1063" s="23">
        <v>150000</v>
      </c>
      <c r="P1063" s="24">
        <f>L1063-N1063</f>
        <v>150000</v>
      </c>
      <c r="Q1063" s="25">
        <v>100000</v>
      </c>
      <c r="R1063" s="26">
        <v>45000</v>
      </c>
      <c r="S1063" s="91">
        <f t="shared" si="997"/>
        <v>3.3333333333333335</v>
      </c>
      <c r="T1063" s="91">
        <f t="shared" si="998"/>
        <v>2.2222222222222223</v>
      </c>
      <c r="U1063" s="27" t="s">
        <v>56</v>
      </c>
      <c r="V1063" s="19" t="s">
        <v>51</v>
      </c>
      <c r="W1063" s="20">
        <v>45955</v>
      </c>
      <c r="X1063" s="22"/>
      <c r="Y1063" s="19" t="s">
        <v>52</v>
      </c>
      <c r="Z1063" s="19" t="s">
        <v>52</v>
      </c>
      <c r="AA1063" s="19" t="s">
        <v>52</v>
      </c>
      <c r="AB1063" s="28"/>
    </row>
    <row r="1064" spans="1:33" s="29" customFormat="1" ht="15" customHeight="1" x14ac:dyDescent="0.25">
      <c r="A1064" s="14">
        <v>6</v>
      </c>
      <c r="B1064" s="15">
        <v>45990</v>
      </c>
      <c r="C1064" s="15">
        <f t="shared" si="996"/>
        <v>45998</v>
      </c>
      <c r="D1064" s="14">
        <v>13627</v>
      </c>
      <c r="E1064" s="16" t="s">
        <v>872</v>
      </c>
      <c r="F1064" s="17" t="s">
        <v>873</v>
      </c>
      <c r="G1064" s="17" t="s">
        <v>102</v>
      </c>
      <c r="H1064" s="18" t="s">
        <v>54</v>
      </c>
      <c r="I1064" s="19" t="s">
        <v>135</v>
      </c>
      <c r="J1064" s="20">
        <v>45922</v>
      </c>
      <c r="K1064" s="20">
        <v>45970</v>
      </c>
      <c r="L1064" s="21">
        <v>55000</v>
      </c>
      <c r="M1064" s="22">
        <f t="shared" si="999"/>
        <v>55000</v>
      </c>
      <c r="N1064" s="23">
        <v>0</v>
      </c>
      <c r="O1064" s="23">
        <v>55000</v>
      </c>
      <c r="P1064" s="24">
        <f>L1064-N1064</f>
        <v>55000</v>
      </c>
      <c r="Q1064" s="25">
        <v>30000</v>
      </c>
      <c r="R1064" s="26">
        <v>24000</v>
      </c>
      <c r="S1064" s="91">
        <f t="shared" si="997"/>
        <v>2.2916666666666665</v>
      </c>
      <c r="T1064" s="91">
        <f t="shared" si="998"/>
        <v>1.25</v>
      </c>
      <c r="U1064" s="27" t="s">
        <v>56</v>
      </c>
      <c r="V1064" s="30" t="s">
        <v>59</v>
      </c>
      <c r="W1064" s="31">
        <v>45980</v>
      </c>
      <c r="X1064" s="22"/>
      <c r="Y1064" s="19" t="s">
        <v>52</v>
      </c>
      <c r="Z1064" s="19" t="s">
        <v>52</v>
      </c>
      <c r="AA1064" s="19" t="s">
        <v>52</v>
      </c>
      <c r="AB1064" s="28"/>
    </row>
    <row r="1065" spans="1:33" s="29" customFormat="1" ht="15" customHeight="1" x14ac:dyDescent="0.25">
      <c r="A1065" s="14">
        <v>8</v>
      </c>
      <c r="B1065" s="15">
        <v>45990</v>
      </c>
      <c r="C1065" s="15">
        <f t="shared" si="996"/>
        <v>45998</v>
      </c>
      <c r="D1065" s="14">
        <v>13752</v>
      </c>
      <c r="E1065" s="16" t="s">
        <v>859</v>
      </c>
      <c r="F1065" s="17" t="s">
        <v>860</v>
      </c>
      <c r="G1065" s="17" t="s">
        <v>102</v>
      </c>
      <c r="H1065" s="18" t="s">
        <v>54</v>
      </c>
      <c r="I1065" s="19" t="s">
        <v>135</v>
      </c>
      <c r="J1065" s="20">
        <v>45946</v>
      </c>
      <c r="K1065" s="20">
        <v>45980</v>
      </c>
      <c r="L1065" s="21">
        <v>30000</v>
      </c>
      <c r="M1065" s="22">
        <f t="shared" si="999"/>
        <v>33000</v>
      </c>
      <c r="N1065" s="23">
        <v>10000</v>
      </c>
      <c r="O1065" s="23">
        <v>23000</v>
      </c>
      <c r="P1065" s="24">
        <f>L1065-N1065</f>
        <v>20000</v>
      </c>
      <c r="Q1065" s="25">
        <v>23000</v>
      </c>
      <c r="R1065" s="26">
        <v>24000</v>
      </c>
      <c r="S1065" s="91">
        <f t="shared" si="997"/>
        <v>0.83333333333333337</v>
      </c>
      <c r="T1065" s="91">
        <f t="shared" si="998"/>
        <v>0.95833333333333337</v>
      </c>
      <c r="U1065" s="27" t="s">
        <v>56</v>
      </c>
      <c r="V1065" s="19" t="s">
        <v>51</v>
      </c>
      <c r="W1065" s="20">
        <v>45973</v>
      </c>
      <c r="X1065" s="22"/>
      <c r="Y1065" s="19" t="s">
        <v>52</v>
      </c>
      <c r="Z1065" s="19" t="s">
        <v>52</v>
      </c>
      <c r="AA1065" s="19" t="s">
        <v>52</v>
      </c>
      <c r="AB1065" s="28"/>
    </row>
    <row r="1066" spans="1:33" ht="15" customHeight="1" x14ac:dyDescent="0.25">
      <c r="A1066" s="33" t="s">
        <v>71</v>
      </c>
      <c r="B1066" s="34"/>
      <c r="C1066" s="34"/>
      <c r="D1066" s="34"/>
      <c r="E1066" s="34"/>
      <c r="F1066" s="35"/>
      <c r="G1066" s="35"/>
      <c r="H1066" s="34"/>
      <c r="I1066" s="34"/>
      <c r="J1066" s="34"/>
      <c r="K1066" s="34"/>
      <c r="L1066" s="36"/>
      <c r="M1066" s="36"/>
      <c r="N1066" s="36"/>
      <c r="O1066" s="36"/>
      <c r="P1066" s="36"/>
      <c r="Q1066" s="36">
        <f>SUM(Q1060:Q1065)</f>
        <v>2353000</v>
      </c>
      <c r="R1066" s="36"/>
      <c r="S1066" s="92"/>
      <c r="T1066" s="93">
        <f>SUM(T1060:T1065)</f>
        <v>22.430555555555554</v>
      </c>
      <c r="U1066" s="37"/>
      <c r="V1066" s="38"/>
      <c r="W1066" s="38"/>
      <c r="X1066" s="38"/>
      <c r="Y1066" s="34"/>
      <c r="Z1066" s="34"/>
      <c r="AA1066" s="39"/>
      <c r="AB1066" s="29" t="s">
        <v>1019</v>
      </c>
      <c r="AC1066" s="81" t="s">
        <v>1027</v>
      </c>
      <c r="AD1066" s="83">
        <v>4791.67</v>
      </c>
      <c r="AF1066" s="83">
        <v>0</v>
      </c>
      <c r="AG1066" s="83">
        <f>SUM(AD1066,AF1066)</f>
        <v>4791.67</v>
      </c>
    </row>
    <row r="1067" spans="1:33" s="29" customFormat="1" ht="15" customHeight="1" x14ac:dyDescent="0.25">
      <c r="A1067" s="14">
        <v>49</v>
      </c>
      <c r="B1067" s="15">
        <v>45992</v>
      </c>
      <c r="C1067" s="15">
        <f>B1067+8</f>
        <v>46000</v>
      </c>
      <c r="D1067" s="14">
        <v>13978</v>
      </c>
      <c r="E1067" s="16" t="s">
        <v>737</v>
      </c>
      <c r="F1067" s="17" t="s">
        <v>952</v>
      </c>
      <c r="G1067" s="17" t="s">
        <v>102</v>
      </c>
      <c r="H1067" s="18" t="s">
        <v>57</v>
      </c>
      <c r="I1067" s="19" t="s">
        <v>58</v>
      </c>
      <c r="J1067" s="20">
        <v>45973</v>
      </c>
      <c r="K1067" s="20">
        <v>46001</v>
      </c>
      <c r="L1067" s="21">
        <v>2000000</v>
      </c>
      <c r="M1067" s="22">
        <f>SUM(N1067:O1067)</f>
        <v>966000</v>
      </c>
      <c r="N1067" s="23">
        <v>462000</v>
      </c>
      <c r="O1067" s="23">
        <v>504000</v>
      </c>
      <c r="P1067" s="24">
        <f>L1067-N1067</f>
        <v>1538000</v>
      </c>
      <c r="Q1067" s="25">
        <v>504000</v>
      </c>
      <c r="R1067" s="26">
        <v>42000</v>
      </c>
      <c r="S1067" s="91">
        <f t="shared" ref="S1067:S1070" si="1001">IF(P1067&gt;0,P1067/$R1067,0)</f>
        <v>36.61904761904762</v>
      </c>
      <c r="T1067" s="91">
        <f t="shared" ref="T1067:T1070" si="1002">IF(Q1067&gt;0,Q1067/$R1067,0)</f>
        <v>12</v>
      </c>
      <c r="U1067" s="27" t="s">
        <v>192</v>
      </c>
      <c r="V1067" s="30" t="s">
        <v>68</v>
      </c>
      <c r="W1067" s="31" t="s">
        <v>68</v>
      </c>
      <c r="X1067" s="22"/>
      <c r="Y1067" s="19" t="s">
        <v>52</v>
      </c>
      <c r="Z1067" s="19" t="s">
        <v>52</v>
      </c>
      <c r="AA1067" s="19" t="s">
        <v>52</v>
      </c>
      <c r="AB1067" s="28"/>
    </row>
    <row r="1068" spans="1:33" s="29" customFormat="1" ht="15" customHeight="1" x14ac:dyDescent="0.25">
      <c r="A1068" s="14">
        <v>47</v>
      </c>
      <c r="B1068" s="15">
        <v>45992</v>
      </c>
      <c r="C1068" s="15">
        <f>B1068+8</f>
        <v>46000</v>
      </c>
      <c r="D1068" s="14">
        <v>13955</v>
      </c>
      <c r="E1068" s="16" t="s">
        <v>753</v>
      </c>
      <c r="F1068" s="17" t="s">
        <v>754</v>
      </c>
      <c r="G1068" s="17" t="s">
        <v>102</v>
      </c>
      <c r="H1068" s="18" t="s">
        <v>62</v>
      </c>
      <c r="I1068" s="19" t="s">
        <v>63</v>
      </c>
      <c r="J1068" s="20">
        <v>45972</v>
      </c>
      <c r="K1068" s="20">
        <v>45995</v>
      </c>
      <c r="L1068" s="21">
        <v>300000</v>
      </c>
      <c r="M1068" s="22">
        <f>SUM(N1068:O1068)</f>
        <v>200000</v>
      </c>
      <c r="N1068" s="23">
        <v>0</v>
      </c>
      <c r="O1068" s="23">
        <v>200000</v>
      </c>
      <c r="P1068" s="24">
        <f>L1068-N1068</f>
        <v>300000</v>
      </c>
      <c r="Q1068" s="25">
        <v>200000</v>
      </c>
      <c r="R1068" s="26">
        <v>100000</v>
      </c>
      <c r="S1068" s="91">
        <f t="shared" si="1001"/>
        <v>3</v>
      </c>
      <c r="T1068" s="91">
        <f t="shared" si="1002"/>
        <v>2</v>
      </c>
      <c r="U1068" s="27" t="s">
        <v>192</v>
      </c>
      <c r="V1068" s="30" t="s">
        <v>68</v>
      </c>
      <c r="W1068" s="31" t="s">
        <v>68</v>
      </c>
      <c r="X1068" s="22"/>
      <c r="Y1068" s="19" t="s">
        <v>52</v>
      </c>
      <c r="Z1068" s="19" t="s">
        <v>52</v>
      </c>
      <c r="AA1068" s="19" t="s">
        <v>52</v>
      </c>
      <c r="AB1068" s="28"/>
    </row>
    <row r="1069" spans="1:33" s="29" customFormat="1" ht="15" customHeight="1" x14ac:dyDescent="0.25">
      <c r="A1069" s="14">
        <v>6</v>
      </c>
      <c r="B1069" s="15">
        <v>45992</v>
      </c>
      <c r="C1069" s="15">
        <f>B1069+8</f>
        <v>46000</v>
      </c>
      <c r="D1069" s="14">
        <v>13739</v>
      </c>
      <c r="E1069" s="16" t="s">
        <v>163</v>
      </c>
      <c r="F1069" s="17" t="s">
        <v>164</v>
      </c>
      <c r="G1069" s="17" t="s">
        <v>132</v>
      </c>
      <c r="H1069" s="18" t="s">
        <v>775</v>
      </c>
      <c r="I1069" s="19" t="s">
        <v>135</v>
      </c>
      <c r="J1069" s="20">
        <v>45938</v>
      </c>
      <c r="K1069" s="20">
        <v>45982</v>
      </c>
      <c r="L1069" s="21">
        <v>30000</v>
      </c>
      <c r="M1069" s="22">
        <f>SUM(N1069:O1069)</f>
        <v>30000</v>
      </c>
      <c r="N1069" s="23">
        <v>0</v>
      </c>
      <c r="O1069" s="23">
        <v>30000</v>
      </c>
      <c r="P1069" s="24">
        <f>L1069-N1069</f>
        <v>30000</v>
      </c>
      <c r="Q1069" s="25">
        <v>38860</v>
      </c>
      <c r="R1069" s="26">
        <v>69948</v>
      </c>
      <c r="S1069" s="91">
        <f t="shared" si="1001"/>
        <v>0.42889003259564246</v>
      </c>
      <c r="T1069" s="91">
        <f t="shared" si="1002"/>
        <v>0.55555555555555558</v>
      </c>
      <c r="U1069" s="27" t="s">
        <v>56</v>
      </c>
      <c r="V1069" s="19" t="s">
        <v>51</v>
      </c>
      <c r="W1069" s="20">
        <v>45969</v>
      </c>
      <c r="X1069" s="22"/>
      <c r="Y1069" s="19" t="s">
        <v>52</v>
      </c>
      <c r="Z1069" s="19" t="s">
        <v>52</v>
      </c>
      <c r="AA1069" s="19" t="s">
        <v>52</v>
      </c>
      <c r="AB1069" s="28"/>
    </row>
    <row r="1070" spans="1:33" s="29" customFormat="1" ht="15" customHeight="1" x14ac:dyDescent="0.25">
      <c r="A1070" s="14">
        <v>22</v>
      </c>
      <c r="B1070" s="15">
        <v>45992</v>
      </c>
      <c r="C1070" s="15">
        <f t="shared" ref="C1070" si="1003">B1070+8</f>
        <v>46000</v>
      </c>
      <c r="D1070" s="14">
        <v>13998</v>
      </c>
      <c r="E1070" s="16" t="s">
        <v>380</v>
      </c>
      <c r="F1070" s="40" t="s">
        <v>381</v>
      </c>
      <c r="G1070" s="17" t="s">
        <v>75</v>
      </c>
      <c r="H1070" s="18" t="s">
        <v>78</v>
      </c>
      <c r="I1070" s="19" t="s">
        <v>79</v>
      </c>
      <c r="J1070" s="20">
        <v>45978</v>
      </c>
      <c r="K1070" s="20">
        <v>46009</v>
      </c>
      <c r="L1070" s="21">
        <v>2000000</v>
      </c>
      <c r="M1070" s="22">
        <f t="shared" ref="M1070" si="1004">SUM(N1070:O1070)</f>
        <v>840000</v>
      </c>
      <c r="N1070" s="23">
        <v>0</v>
      </c>
      <c r="O1070" s="23">
        <v>840000</v>
      </c>
      <c r="P1070" s="24">
        <f t="shared" ref="P1070" si="1005">L1070-N1070</f>
        <v>2000000</v>
      </c>
      <c r="Q1070" s="25">
        <v>840000</v>
      </c>
      <c r="R1070" s="26">
        <v>105000</v>
      </c>
      <c r="S1070" s="91">
        <f t="shared" si="1001"/>
        <v>19.047619047619047</v>
      </c>
      <c r="T1070" s="91">
        <f t="shared" si="1002"/>
        <v>8</v>
      </c>
      <c r="U1070" s="27" t="s">
        <v>56</v>
      </c>
      <c r="V1070" s="30" t="s">
        <v>59</v>
      </c>
      <c r="W1070" s="31">
        <v>45996</v>
      </c>
      <c r="X1070" s="22"/>
      <c r="Y1070" s="19" t="s">
        <v>52</v>
      </c>
      <c r="Z1070" s="19" t="s">
        <v>52</v>
      </c>
      <c r="AA1070" s="19" t="s">
        <v>52</v>
      </c>
      <c r="AB1070" s="28"/>
    </row>
    <row r="1071" spans="1:33" ht="15" customHeight="1" x14ac:dyDescent="0.25">
      <c r="A1071" s="33" t="s">
        <v>71</v>
      </c>
      <c r="B1071" s="34"/>
      <c r="C1071" s="34"/>
      <c r="D1071" s="34"/>
      <c r="E1071" s="34"/>
      <c r="F1071" s="35"/>
      <c r="G1071" s="35"/>
      <c r="H1071" s="34"/>
      <c r="I1071" s="34"/>
      <c r="J1071" s="34"/>
      <c r="K1071" s="34"/>
      <c r="L1071" s="36"/>
      <c r="M1071" s="36"/>
      <c r="N1071" s="36"/>
      <c r="O1071" s="36"/>
      <c r="P1071" s="36"/>
      <c r="Q1071" s="36">
        <f>SUM(Q1067:Q1070)</f>
        <v>1582860</v>
      </c>
      <c r="R1071" s="36"/>
      <c r="S1071" s="92"/>
      <c r="T1071" s="93">
        <f>SUM(T1067:T1070)</f>
        <v>22.555555555555557</v>
      </c>
      <c r="U1071" s="37"/>
      <c r="V1071" s="38"/>
      <c r="W1071" s="38"/>
      <c r="X1071" s="38"/>
      <c r="Y1071" s="34"/>
      <c r="Z1071" s="34"/>
      <c r="AA1071" s="39"/>
      <c r="AB1071" s="29" t="s">
        <v>1020</v>
      </c>
      <c r="AC1071" s="81">
        <v>14258</v>
      </c>
      <c r="AD1071" s="83">
        <v>4791.67</v>
      </c>
      <c r="AF1071" s="83">
        <v>0</v>
      </c>
      <c r="AG1071" s="83">
        <f>SUM(AD1071,AF1071)</f>
        <v>4791.67</v>
      </c>
    </row>
    <row r="1072" spans="1:33" s="29" customFormat="1" ht="15" customHeight="1" x14ac:dyDescent="0.25">
      <c r="A1072" s="14">
        <v>51</v>
      </c>
      <c r="B1072" s="15">
        <v>45993</v>
      </c>
      <c r="C1072" s="15">
        <f>B1072+8</f>
        <v>46001</v>
      </c>
      <c r="D1072" s="14">
        <v>13915</v>
      </c>
      <c r="E1072" s="16" t="s">
        <v>297</v>
      </c>
      <c r="F1072" s="17" t="s">
        <v>298</v>
      </c>
      <c r="G1072" s="17" t="s">
        <v>102</v>
      </c>
      <c r="H1072" s="18" t="s">
        <v>57</v>
      </c>
      <c r="I1072" s="19" t="s">
        <v>94</v>
      </c>
      <c r="J1072" s="20">
        <v>45971</v>
      </c>
      <c r="K1072" s="20">
        <v>46020</v>
      </c>
      <c r="L1072" s="21">
        <v>500000</v>
      </c>
      <c r="M1072" s="22">
        <f>SUM(N1072:O1072)</f>
        <v>330000</v>
      </c>
      <c r="N1072" s="23">
        <v>90000</v>
      </c>
      <c r="O1072" s="23">
        <v>240000</v>
      </c>
      <c r="P1072" s="24">
        <f>L1072-N1072</f>
        <v>410000</v>
      </c>
      <c r="Q1072" s="25">
        <v>240000</v>
      </c>
      <c r="R1072" s="26">
        <v>30000</v>
      </c>
      <c r="S1072" s="91">
        <f t="shared" ref="S1072:S1076" si="1006">IF(P1072&gt;0,P1072/$R1072,0)</f>
        <v>13.666666666666666</v>
      </c>
      <c r="T1072" s="91">
        <f t="shared" ref="T1072:T1076" si="1007">IF(Q1072&gt;0,Q1072/$R1072,0)</f>
        <v>8</v>
      </c>
      <c r="U1072" s="27" t="s">
        <v>192</v>
      </c>
      <c r="V1072" s="30" t="s">
        <v>59</v>
      </c>
      <c r="W1072" s="31">
        <v>45985</v>
      </c>
      <c r="X1072" s="22"/>
      <c r="Y1072" s="19" t="s">
        <v>52</v>
      </c>
      <c r="Z1072" s="19" t="s">
        <v>52</v>
      </c>
      <c r="AA1072" s="19" t="s">
        <v>52</v>
      </c>
      <c r="AB1072" s="28"/>
    </row>
    <row r="1073" spans="1:33" s="29" customFormat="1" ht="15" customHeight="1" x14ac:dyDescent="0.25">
      <c r="A1073" s="14">
        <v>13</v>
      </c>
      <c r="B1073" s="15">
        <v>45993</v>
      </c>
      <c r="C1073" s="15">
        <f>B1073+8</f>
        <v>46001</v>
      </c>
      <c r="D1073" s="14">
        <v>13949</v>
      </c>
      <c r="E1073" s="16" t="s">
        <v>396</v>
      </c>
      <c r="F1073" s="40" t="s">
        <v>397</v>
      </c>
      <c r="G1073" s="17" t="s">
        <v>75</v>
      </c>
      <c r="H1073" s="18" t="s">
        <v>57</v>
      </c>
      <c r="I1073" s="19" t="s">
        <v>94</v>
      </c>
      <c r="J1073" s="20">
        <v>45972</v>
      </c>
      <c r="K1073" s="20">
        <v>45999</v>
      </c>
      <c r="L1073" s="21">
        <v>1000000</v>
      </c>
      <c r="M1073" s="22">
        <f>SUM(N1073:O1073)</f>
        <v>750000</v>
      </c>
      <c r="N1073" s="23">
        <v>0</v>
      </c>
      <c r="O1073" s="23">
        <v>750000</v>
      </c>
      <c r="P1073" s="24">
        <f>L1073-N1073</f>
        <v>1000000</v>
      </c>
      <c r="Q1073" s="25">
        <v>480000</v>
      </c>
      <c r="R1073" s="26">
        <v>150000</v>
      </c>
      <c r="S1073" s="91">
        <f t="shared" si="1006"/>
        <v>6.666666666666667</v>
      </c>
      <c r="T1073" s="91">
        <f t="shared" si="1007"/>
        <v>3.2</v>
      </c>
      <c r="U1073" s="27" t="s">
        <v>192</v>
      </c>
      <c r="V1073" s="30" t="s">
        <v>59</v>
      </c>
      <c r="W1073" s="31">
        <v>45990</v>
      </c>
      <c r="X1073" s="22"/>
      <c r="Y1073" s="19" t="s">
        <v>52</v>
      </c>
      <c r="Z1073" s="19" t="s">
        <v>52</v>
      </c>
      <c r="AA1073" s="19" t="s">
        <v>52</v>
      </c>
      <c r="AB1073" s="28"/>
    </row>
    <row r="1074" spans="1:33" s="29" customFormat="1" ht="15" customHeight="1" x14ac:dyDescent="0.25">
      <c r="A1074" s="14">
        <v>50</v>
      </c>
      <c r="B1074" s="15">
        <v>45993</v>
      </c>
      <c r="C1074" s="15">
        <f>B1074+8</f>
        <v>46001</v>
      </c>
      <c r="D1074" s="14">
        <v>13977</v>
      </c>
      <c r="E1074" s="16" t="s">
        <v>761</v>
      </c>
      <c r="F1074" s="17" t="s">
        <v>467</v>
      </c>
      <c r="G1074" s="17" t="s">
        <v>102</v>
      </c>
      <c r="H1074" s="18" t="s">
        <v>57</v>
      </c>
      <c r="I1074" s="19" t="s">
        <v>58</v>
      </c>
      <c r="J1074" s="20">
        <v>45974</v>
      </c>
      <c r="K1074" s="20">
        <v>46001</v>
      </c>
      <c r="L1074" s="21">
        <v>500000</v>
      </c>
      <c r="M1074" s="22">
        <f t="shared" ref="M1074" si="1008">SUM(N1074:O1074)</f>
        <v>200000</v>
      </c>
      <c r="N1074" s="23">
        <v>0</v>
      </c>
      <c r="O1074" s="23">
        <v>200000</v>
      </c>
      <c r="P1074" s="24">
        <f t="shared" ref="P1074" si="1009">L1074-N1074</f>
        <v>500000</v>
      </c>
      <c r="Q1074" s="25">
        <v>200000</v>
      </c>
      <c r="R1074" s="26">
        <v>50000</v>
      </c>
      <c r="S1074" s="91">
        <f t="shared" si="1006"/>
        <v>10</v>
      </c>
      <c r="T1074" s="91">
        <f t="shared" si="1007"/>
        <v>4</v>
      </c>
      <c r="U1074" s="27" t="s">
        <v>192</v>
      </c>
      <c r="V1074" s="30" t="s">
        <v>68</v>
      </c>
      <c r="W1074" s="31" t="s">
        <v>68</v>
      </c>
      <c r="X1074" s="22"/>
      <c r="Y1074" s="19" t="s">
        <v>52</v>
      </c>
      <c r="Z1074" s="19" t="s">
        <v>52</v>
      </c>
      <c r="AA1074" s="19" t="s">
        <v>52</v>
      </c>
      <c r="AB1074" s="28"/>
    </row>
    <row r="1075" spans="1:33" s="29" customFormat="1" ht="15" customHeight="1" x14ac:dyDescent="0.25">
      <c r="A1075" s="14">
        <v>10</v>
      </c>
      <c r="B1075" s="15">
        <v>45993</v>
      </c>
      <c r="C1075" s="15">
        <f t="shared" ref="C1075:C1076" si="1010">B1075+8</f>
        <v>46001</v>
      </c>
      <c r="D1075" s="14">
        <v>13843</v>
      </c>
      <c r="E1075" s="16" t="s">
        <v>940</v>
      </c>
      <c r="F1075" s="17" t="s">
        <v>941</v>
      </c>
      <c r="G1075" s="17" t="s">
        <v>102</v>
      </c>
      <c r="H1075" s="18" t="s">
        <v>542</v>
      </c>
      <c r="I1075" s="19" t="s">
        <v>70</v>
      </c>
      <c r="J1075" s="20">
        <v>45960</v>
      </c>
      <c r="K1075" s="20">
        <v>45985</v>
      </c>
      <c r="L1075" s="21">
        <v>50000</v>
      </c>
      <c r="M1075" s="22">
        <f t="shared" ref="M1075:M1076" si="1011">SUM(N1075:O1075)</f>
        <v>32000</v>
      </c>
      <c r="N1075" s="23">
        <v>0</v>
      </c>
      <c r="O1075" s="23">
        <v>32000</v>
      </c>
      <c r="P1075" s="24">
        <f t="shared" ref="P1075:P1076" si="1012">L1075-N1075</f>
        <v>50000</v>
      </c>
      <c r="Q1075" s="25">
        <v>32000</v>
      </c>
      <c r="R1075" s="26">
        <v>15000</v>
      </c>
      <c r="S1075" s="91">
        <f t="shared" si="1006"/>
        <v>3.3333333333333335</v>
      </c>
      <c r="T1075" s="91">
        <f t="shared" si="1007"/>
        <v>2.1333333333333333</v>
      </c>
      <c r="U1075" s="27" t="s">
        <v>254</v>
      </c>
      <c r="V1075" s="30" t="s">
        <v>59</v>
      </c>
      <c r="W1075" s="31">
        <v>45980</v>
      </c>
      <c r="X1075" s="22"/>
      <c r="Y1075" s="19" t="s">
        <v>52</v>
      </c>
      <c r="Z1075" s="19" t="s">
        <v>52</v>
      </c>
      <c r="AA1075" s="19" t="s">
        <v>52</v>
      </c>
      <c r="AB1075" s="28"/>
    </row>
    <row r="1076" spans="1:33" s="29" customFormat="1" ht="15" customHeight="1" x14ac:dyDescent="0.25">
      <c r="A1076" s="14">
        <v>3</v>
      </c>
      <c r="B1076" s="15">
        <v>45993</v>
      </c>
      <c r="C1076" s="15">
        <f t="shared" si="1010"/>
        <v>46001</v>
      </c>
      <c r="D1076" s="14">
        <v>14012</v>
      </c>
      <c r="E1076" s="16" t="s">
        <v>349</v>
      </c>
      <c r="F1076" s="40" t="s">
        <v>350</v>
      </c>
      <c r="G1076" s="17" t="s">
        <v>75</v>
      </c>
      <c r="H1076" s="18" t="s">
        <v>78</v>
      </c>
      <c r="I1076" s="19" t="s">
        <v>79</v>
      </c>
      <c r="J1076" s="20">
        <v>45974</v>
      </c>
      <c r="K1076" s="20" t="s">
        <v>65</v>
      </c>
      <c r="L1076" s="21">
        <v>1000000</v>
      </c>
      <c r="M1076" s="22">
        <f t="shared" si="1011"/>
        <v>150000</v>
      </c>
      <c r="N1076" s="23">
        <v>0</v>
      </c>
      <c r="O1076" s="23">
        <v>150000</v>
      </c>
      <c r="P1076" s="24">
        <f t="shared" si="1012"/>
        <v>1000000</v>
      </c>
      <c r="Q1076" s="25">
        <v>300000</v>
      </c>
      <c r="R1076" s="26">
        <v>210000</v>
      </c>
      <c r="S1076" s="91">
        <f t="shared" si="1006"/>
        <v>4.7619047619047619</v>
      </c>
      <c r="T1076" s="91">
        <f t="shared" si="1007"/>
        <v>1.4285714285714286</v>
      </c>
      <c r="U1076" s="27" t="s">
        <v>56</v>
      </c>
      <c r="V1076" s="30" t="s">
        <v>59</v>
      </c>
      <c r="W1076" s="31">
        <v>45981</v>
      </c>
      <c r="X1076" s="22"/>
      <c r="Y1076" s="19" t="s">
        <v>52</v>
      </c>
      <c r="Z1076" s="19" t="s">
        <v>52</v>
      </c>
      <c r="AA1076" s="19" t="s">
        <v>52</v>
      </c>
      <c r="AB1076" s="28"/>
    </row>
    <row r="1077" spans="1:33" ht="15" customHeight="1" x14ac:dyDescent="0.25">
      <c r="A1077" s="33" t="s">
        <v>71</v>
      </c>
      <c r="B1077" s="34"/>
      <c r="C1077" s="34"/>
      <c r="D1077" s="34"/>
      <c r="E1077" s="34"/>
      <c r="F1077" s="35"/>
      <c r="G1077" s="35"/>
      <c r="H1077" s="34"/>
      <c r="I1077" s="34"/>
      <c r="J1077" s="34"/>
      <c r="K1077" s="34"/>
      <c r="L1077" s="36"/>
      <c r="M1077" s="36"/>
      <c r="N1077" s="36"/>
      <c r="O1077" s="36"/>
      <c r="P1077" s="36"/>
      <c r="Q1077" s="36">
        <f>SUM(Q1072:Q1076)</f>
        <v>1252000</v>
      </c>
      <c r="R1077" s="36"/>
      <c r="S1077" s="92"/>
      <c r="T1077" s="93">
        <f>SUM(T1072:T1076)</f>
        <v>18.761904761904759</v>
      </c>
      <c r="U1077" s="37"/>
      <c r="V1077" s="38"/>
      <c r="W1077" s="38"/>
      <c r="X1077" s="38"/>
      <c r="Y1077" s="34"/>
      <c r="Z1077" s="34"/>
      <c r="AA1077" s="39"/>
      <c r="AB1077" s="29" t="s">
        <v>1021</v>
      </c>
      <c r="AC1077" s="81" t="s">
        <v>1097</v>
      </c>
      <c r="AD1077" s="83">
        <v>4166.66</v>
      </c>
      <c r="AF1077" s="83">
        <v>0</v>
      </c>
      <c r="AG1077" s="83">
        <f>SUM(AD1077,AF1077)</f>
        <v>4166.66</v>
      </c>
    </row>
    <row r="1078" spans="1:33" s="29" customFormat="1" ht="15" customHeight="1" x14ac:dyDescent="0.25">
      <c r="A1078" s="14">
        <v>43</v>
      </c>
      <c r="B1078" s="15">
        <v>45995</v>
      </c>
      <c r="C1078" s="15">
        <f>B1078+8</f>
        <v>46003</v>
      </c>
      <c r="D1078" s="14">
        <v>13978</v>
      </c>
      <c r="E1078" s="16" t="s">
        <v>737</v>
      </c>
      <c r="F1078" s="17" t="s">
        <v>952</v>
      </c>
      <c r="G1078" s="17" t="s">
        <v>102</v>
      </c>
      <c r="H1078" s="18" t="s">
        <v>57</v>
      </c>
      <c r="I1078" s="19" t="s">
        <v>58</v>
      </c>
      <c r="J1078" s="20">
        <v>45973</v>
      </c>
      <c r="K1078" s="20">
        <v>46001</v>
      </c>
      <c r="L1078" s="21">
        <v>2000000</v>
      </c>
      <c r="M1078" s="22">
        <f>SUM(N1078:O1078)</f>
        <v>840000</v>
      </c>
      <c r="N1078" s="23">
        <v>462000</v>
      </c>
      <c r="O1078" s="23">
        <v>378000</v>
      </c>
      <c r="P1078" s="24">
        <f>L1078-N1078</f>
        <v>1538000</v>
      </c>
      <c r="Q1078" s="25">
        <v>378000</v>
      </c>
      <c r="R1078" s="26">
        <v>42000</v>
      </c>
      <c r="S1078" s="91">
        <f t="shared" ref="S1078:S1084" si="1013">IF(P1078&gt;0,P1078/$R1078,0)</f>
        <v>36.61904761904762</v>
      </c>
      <c r="T1078" s="91">
        <f t="shared" ref="T1078:T1084" si="1014">IF(Q1078&gt;0,Q1078/$R1078,0)</f>
        <v>9</v>
      </c>
      <c r="U1078" s="27" t="s">
        <v>192</v>
      </c>
      <c r="V1078" s="30" t="s">
        <v>68</v>
      </c>
      <c r="W1078" s="31" t="s">
        <v>68</v>
      </c>
      <c r="X1078" s="22"/>
      <c r="Y1078" s="19" t="s">
        <v>52</v>
      </c>
      <c r="Z1078" s="19" t="s">
        <v>52</v>
      </c>
      <c r="AA1078" s="19" t="s">
        <v>52</v>
      </c>
      <c r="AB1078" s="28"/>
    </row>
    <row r="1079" spans="1:33" s="29" customFormat="1" ht="15" customHeight="1" x14ac:dyDescent="0.25">
      <c r="A1079" s="14">
        <v>9</v>
      </c>
      <c r="B1079" s="15">
        <v>45995</v>
      </c>
      <c r="C1079" s="15">
        <f>B1079+8</f>
        <v>46003</v>
      </c>
      <c r="D1079" s="14">
        <v>13976</v>
      </c>
      <c r="E1079" s="16" t="s">
        <v>953</v>
      </c>
      <c r="F1079" s="40" t="s">
        <v>201</v>
      </c>
      <c r="G1079" s="17" t="s">
        <v>75</v>
      </c>
      <c r="H1079" s="18" t="s">
        <v>57</v>
      </c>
      <c r="I1079" s="19" t="s">
        <v>58</v>
      </c>
      <c r="J1079" s="20">
        <v>45973</v>
      </c>
      <c r="K1079" s="20">
        <v>46001</v>
      </c>
      <c r="L1079" s="21">
        <v>800000</v>
      </c>
      <c r="M1079" s="22">
        <f>SUM(N1079:O1079)</f>
        <v>450000</v>
      </c>
      <c r="N1079" s="23">
        <v>150000</v>
      </c>
      <c r="O1079" s="23">
        <v>300000</v>
      </c>
      <c r="P1079" s="24">
        <f>L1079-N1079</f>
        <v>650000</v>
      </c>
      <c r="Q1079" s="25">
        <v>300000</v>
      </c>
      <c r="R1079" s="26">
        <v>150000</v>
      </c>
      <c r="S1079" s="91">
        <f t="shared" si="1013"/>
        <v>4.333333333333333</v>
      </c>
      <c r="T1079" s="91">
        <f t="shared" si="1014"/>
        <v>2</v>
      </c>
      <c r="U1079" s="27" t="s">
        <v>192</v>
      </c>
      <c r="V1079" s="19" t="s">
        <v>51</v>
      </c>
      <c r="W1079" s="20">
        <v>45986</v>
      </c>
      <c r="X1079" s="22"/>
      <c r="Y1079" s="19" t="s">
        <v>52</v>
      </c>
      <c r="Z1079" s="19" t="s">
        <v>52</v>
      </c>
      <c r="AA1079" s="19" t="s">
        <v>52</v>
      </c>
      <c r="AB1079" s="28"/>
    </row>
    <row r="1080" spans="1:33" s="29" customFormat="1" ht="15" customHeight="1" x14ac:dyDescent="0.25">
      <c r="A1080" s="14">
        <v>14</v>
      </c>
      <c r="B1080" s="15">
        <v>45995</v>
      </c>
      <c r="C1080" s="15">
        <f>B1080+8</f>
        <v>46003</v>
      </c>
      <c r="D1080" s="14">
        <v>13980</v>
      </c>
      <c r="E1080" s="16" t="s">
        <v>89</v>
      </c>
      <c r="F1080" s="40" t="s">
        <v>954</v>
      </c>
      <c r="G1080" s="17" t="s">
        <v>75</v>
      </c>
      <c r="H1080" s="18" t="s">
        <v>784</v>
      </c>
      <c r="I1080" s="19" t="s">
        <v>70</v>
      </c>
      <c r="J1080" s="20">
        <v>45973</v>
      </c>
      <c r="K1080" s="20">
        <v>46008</v>
      </c>
      <c r="L1080" s="21">
        <v>2000000</v>
      </c>
      <c r="M1080" s="22">
        <f>SUM(N1080:O1080)</f>
        <v>2100000</v>
      </c>
      <c r="N1080" s="23">
        <v>1800000</v>
      </c>
      <c r="O1080" s="23">
        <v>300000</v>
      </c>
      <c r="P1080" s="24">
        <f>L1080-N1080</f>
        <v>200000</v>
      </c>
      <c r="Q1080" s="25">
        <v>300000</v>
      </c>
      <c r="R1080" s="26">
        <v>150000</v>
      </c>
      <c r="S1080" s="91">
        <f t="shared" si="1013"/>
        <v>1.3333333333333333</v>
      </c>
      <c r="T1080" s="91">
        <f t="shared" si="1014"/>
        <v>2</v>
      </c>
      <c r="U1080" s="27" t="s">
        <v>192</v>
      </c>
      <c r="V1080" s="30" t="s">
        <v>59</v>
      </c>
      <c r="W1080" s="31">
        <v>45996</v>
      </c>
      <c r="X1080" s="22"/>
      <c r="Y1080" s="19" t="s">
        <v>52</v>
      </c>
      <c r="Z1080" s="19" t="s">
        <v>52</v>
      </c>
      <c r="AA1080" s="19" t="s">
        <v>52</v>
      </c>
      <c r="AB1080" s="28"/>
    </row>
    <row r="1081" spans="1:33" s="29" customFormat="1" ht="15" customHeight="1" x14ac:dyDescent="0.25">
      <c r="A1081" s="14">
        <v>44</v>
      </c>
      <c r="B1081" s="15">
        <v>45995</v>
      </c>
      <c r="C1081" s="15">
        <f>B1081+8</f>
        <v>46003</v>
      </c>
      <c r="D1081" s="14">
        <v>13977</v>
      </c>
      <c r="E1081" s="16" t="s">
        <v>761</v>
      </c>
      <c r="F1081" s="17" t="s">
        <v>467</v>
      </c>
      <c r="G1081" s="17" t="s">
        <v>102</v>
      </c>
      <c r="H1081" s="18" t="s">
        <v>57</v>
      </c>
      <c r="I1081" s="19" t="s">
        <v>58</v>
      </c>
      <c r="J1081" s="20">
        <v>45974</v>
      </c>
      <c r="K1081" s="20">
        <v>46001</v>
      </c>
      <c r="L1081" s="21">
        <v>500000</v>
      </c>
      <c r="M1081" s="22">
        <f t="shared" ref="M1081:M1084" si="1015">SUM(N1081:O1081)</f>
        <v>100000</v>
      </c>
      <c r="N1081" s="23">
        <v>0</v>
      </c>
      <c r="O1081" s="23">
        <v>100000</v>
      </c>
      <c r="P1081" s="24">
        <f>L1081-N1081</f>
        <v>500000</v>
      </c>
      <c r="Q1081" s="25">
        <v>100000</v>
      </c>
      <c r="R1081" s="26">
        <v>50000</v>
      </c>
      <c r="S1081" s="91">
        <f t="shared" si="1013"/>
        <v>10</v>
      </c>
      <c r="T1081" s="91">
        <f t="shared" si="1014"/>
        <v>2</v>
      </c>
      <c r="U1081" s="27" t="s">
        <v>192</v>
      </c>
      <c r="V1081" s="30" t="s">
        <v>68</v>
      </c>
      <c r="W1081" s="31" t="s">
        <v>68</v>
      </c>
      <c r="X1081" s="22"/>
      <c r="Y1081" s="19" t="s">
        <v>52</v>
      </c>
      <c r="Z1081" s="19" t="s">
        <v>52</v>
      </c>
      <c r="AA1081" s="19" t="s">
        <v>52</v>
      </c>
      <c r="AB1081" s="28"/>
    </row>
    <row r="1082" spans="1:33" s="29" customFormat="1" ht="15" customHeight="1" x14ac:dyDescent="0.25">
      <c r="A1082" s="14">
        <v>4</v>
      </c>
      <c r="B1082" s="15">
        <v>45995</v>
      </c>
      <c r="C1082" s="15">
        <f>B1082+8</f>
        <v>46003</v>
      </c>
      <c r="D1082" s="14">
        <v>13984</v>
      </c>
      <c r="E1082" s="16" t="s">
        <v>403</v>
      </c>
      <c r="F1082" s="17" t="s">
        <v>708</v>
      </c>
      <c r="G1082" s="17" t="s">
        <v>47</v>
      </c>
      <c r="H1082" s="18" t="s">
        <v>784</v>
      </c>
      <c r="I1082" s="19" t="s">
        <v>70</v>
      </c>
      <c r="J1082" s="20">
        <v>45978</v>
      </c>
      <c r="K1082" s="20">
        <v>46008</v>
      </c>
      <c r="L1082" s="21">
        <v>2000000</v>
      </c>
      <c r="M1082" s="22">
        <f t="shared" si="1015"/>
        <v>250000</v>
      </c>
      <c r="N1082" s="23">
        <v>0</v>
      </c>
      <c r="O1082" s="23">
        <v>250000</v>
      </c>
      <c r="P1082" s="24">
        <f t="shared" ref="P1082:P1083" si="1016">L1082-N1082</f>
        <v>2000000</v>
      </c>
      <c r="Q1082" s="25">
        <v>250000</v>
      </c>
      <c r="R1082" s="26">
        <v>50000</v>
      </c>
      <c r="S1082" s="91">
        <f t="shared" si="1013"/>
        <v>40</v>
      </c>
      <c r="T1082" s="91">
        <f t="shared" si="1014"/>
        <v>5</v>
      </c>
      <c r="U1082" s="27" t="s">
        <v>192</v>
      </c>
      <c r="V1082" s="30" t="s">
        <v>59</v>
      </c>
      <c r="W1082" s="31">
        <v>45992</v>
      </c>
      <c r="X1082" s="22"/>
      <c r="Y1082" s="19" t="s">
        <v>52</v>
      </c>
      <c r="Z1082" s="19" t="s">
        <v>52</v>
      </c>
      <c r="AA1082" s="19" t="s">
        <v>52</v>
      </c>
      <c r="AB1082" s="42"/>
    </row>
    <row r="1083" spans="1:33" s="29" customFormat="1" ht="15" customHeight="1" x14ac:dyDescent="0.25">
      <c r="A1083" s="14">
        <v>7</v>
      </c>
      <c r="B1083" s="15">
        <v>45995</v>
      </c>
      <c r="C1083" s="15">
        <f t="shared" ref="C1083" si="1017">B1083+8</f>
        <v>46003</v>
      </c>
      <c r="D1083" s="14">
        <v>13843</v>
      </c>
      <c r="E1083" s="16" t="s">
        <v>940</v>
      </c>
      <c r="F1083" s="17" t="s">
        <v>941</v>
      </c>
      <c r="G1083" s="17" t="s">
        <v>102</v>
      </c>
      <c r="H1083" s="18" t="s">
        <v>542</v>
      </c>
      <c r="I1083" s="19" t="s">
        <v>70</v>
      </c>
      <c r="J1083" s="20">
        <v>45960</v>
      </c>
      <c r="K1083" s="20">
        <v>45985</v>
      </c>
      <c r="L1083" s="21">
        <v>50000</v>
      </c>
      <c r="M1083" s="22">
        <f t="shared" si="1015"/>
        <v>44000</v>
      </c>
      <c r="N1083" s="23">
        <v>32000</v>
      </c>
      <c r="O1083" s="23">
        <v>12000</v>
      </c>
      <c r="P1083" s="24">
        <f t="shared" si="1016"/>
        <v>18000</v>
      </c>
      <c r="Q1083" s="25">
        <v>12000</v>
      </c>
      <c r="R1083" s="26">
        <v>15000</v>
      </c>
      <c r="S1083" s="91">
        <f t="shared" si="1013"/>
        <v>1.2</v>
      </c>
      <c r="T1083" s="91">
        <f t="shared" si="1014"/>
        <v>0.8</v>
      </c>
      <c r="U1083" s="27" t="s">
        <v>254</v>
      </c>
      <c r="V1083" s="19" t="s">
        <v>51</v>
      </c>
      <c r="W1083" s="20">
        <v>45985</v>
      </c>
      <c r="X1083" s="22"/>
      <c r="Y1083" s="19" t="s">
        <v>52</v>
      </c>
      <c r="Z1083" s="19" t="s">
        <v>52</v>
      </c>
      <c r="AA1083" s="19" t="s">
        <v>52</v>
      </c>
      <c r="AB1083" s="28"/>
    </row>
    <row r="1084" spans="1:33" s="29" customFormat="1" ht="15" customHeight="1" x14ac:dyDescent="0.25">
      <c r="A1084" s="14">
        <v>1</v>
      </c>
      <c r="B1084" s="15">
        <v>45995</v>
      </c>
      <c r="C1084" s="15">
        <f t="shared" ref="C1084" si="1018">B1084+8</f>
        <v>46003</v>
      </c>
      <c r="D1084" s="14">
        <v>13724</v>
      </c>
      <c r="E1084" s="16" t="s">
        <v>158</v>
      </c>
      <c r="F1084" s="17" t="s">
        <v>159</v>
      </c>
      <c r="G1084" s="17" t="s">
        <v>132</v>
      </c>
      <c r="H1084" s="18" t="s">
        <v>775</v>
      </c>
      <c r="I1084" s="19" t="s">
        <v>135</v>
      </c>
      <c r="J1084" s="20">
        <v>45938</v>
      </c>
      <c r="K1084" s="20">
        <v>45980</v>
      </c>
      <c r="L1084" s="21">
        <v>300000</v>
      </c>
      <c r="M1084" s="22">
        <f t="shared" si="1015"/>
        <v>310353</v>
      </c>
      <c r="N1084" s="23">
        <v>100143</v>
      </c>
      <c r="O1084" s="23">
        <v>210210</v>
      </c>
      <c r="P1084" s="24">
        <f>L1084-N1084</f>
        <v>199857</v>
      </c>
      <c r="Q1084" s="25">
        <v>210210</v>
      </c>
      <c r="R1084" s="26">
        <v>57330</v>
      </c>
      <c r="S1084" s="91">
        <f t="shared" si="1013"/>
        <v>3.4860805860805861</v>
      </c>
      <c r="T1084" s="91">
        <f t="shared" si="1014"/>
        <v>3.6666666666666665</v>
      </c>
      <c r="U1084" s="27" t="s">
        <v>56</v>
      </c>
      <c r="V1084" s="19" t="s">
        <v>51</v>
      </c>
      <c r="W1084" s="20">
        <v>45967</v>
      </c>
      <c r="X1084" s="22"/>
      <c r="Y1084" s="19" t="s">
        <v>52</v>
      </c>
      <c r="Z1084" s="19" t="s">
        <v>52</v>
      </c>
      <c r="AA1084" s="19" t="s">
        <v>52</v>
      </c>
      <c r="AB1084" s="28"/>
    </row>
    <row r="1085" spans="1:33" ht="15" customHeight="1" x14ac:dyDescent="0.25">
      <c r="A1085" s="33" t="s">
        <v>71</v>
      </c>
      <c r="B1085" s="34"/>
      <c r="C1085" s="34"/>
      <c r="D1085" s="34"/>
      <c r="E1085" s="34"/>
      <c r="F1085" s="35"/>
      <c r="G1085" s="35"/>
      <c r="H1085" s="34"/>
      <c r="I1085" s="34"/>
      <c r="J1085" s="34"/>
      <c r="K1085" s="34"/>
      <c r="L1085" s="36"/>
      <c r="M1085" s="36"/>
      <c r="N1085" s="36"/>
      <c r="O1085" s="36"/>
      <c r="P1085" s="36"/>
      <c r="Q1085" s="36">
        <f>SUM(Q1078:Q1084)</f>
        <v>1550210</v>
      </c>
      <c r="R1085" s="36"/>
      <c r="S1085" s="92"/>
      <c r="T1085" s="93">
        <f>SUM(T1078:T1084)</f>
        <v>24.466666666666669</v>
      </c>
      <c r="U1085" s="37"/>
      <c r="V1085" s="38"/>
      <c r="W1085" s="38"/>
      <c r="X1085" s="38"/>
      <c r="Y1085" s="34"/>
      <c r="Z1085" s="34"/>
      <c r="AA1085" s="39"/>
      <c r="AB1085" s="29" t="s">
        <v>1022</v>
      </c>
      <c r="AC1085" s="81" t="s">
        <v>1036</v>
      </c>
      <c r="AD1085" s="83">
        <v>5000</v>
      </c>
      <c r="AF1085" s="83">
        <v>0</v>
      </c>
      <c r="AG1085" s="83">
        <f>SUM(AD1085,AF1085)</f>
        <v>5000</v>
      </c>
    </row>
    <row r="1086" spans="1:33" s="29" customFormat="1" ht="15" customHeight="1" x14ac:dyDescent="0.25">
      <c r="A1086" s="14">
        <v>4</v>
      </c>
      <c r="B1086" s="15">
        <v>45997</v>
      </c>
      <c r="C1086" s="15">
        <f t="shared" ref="C1086" si="1019">B1086+8</f>
        <v>46005</v>
      </c>
      <c r="D1086" s="14">
        <v>13966</v>
      </c>
      <c r="E1086" s="16" t="s">
        <v>236</v>
      </c>
      <c r="F1086" s="40" t="s">
        <v>237</v>
      </c>
      <c r="G1086" s="17" t="s">
        <v>75</v>
      </c>
      <c r="H1086" s="18" t="s">
        <v>62</v>
      </c>
      <c r="I1086" s="19" t="s">
        <v>63</v>
      </c>
      <c r="J1086" s="20">
        <v>45972</v>
      </c>
      <c r="K1086" s="20">
        <v>45995</v>
      </c>
      <c r="L1086" s="21">
        <v>300000</v>
      </c>
      <c r="M1086" s="22">
        <f>SUM(N1086:O1086)</f>
        <v>150000</v>
      </c>
      <c r="N1086" s="23">
        <v>0</v>
      </c>
      <c r="O1086" s="23">
        <v>150000</v>
      </c>
      <c r="P1086" s="24">
        <f>L1086-N1086</f>
        <v>300000</v>
      </c>
      <c r="Q1086" s="25">
        <v>150000</v>
      </c>
      <c r="R1086" s="26">
        <v>150000</v>
      </c>
      <c r="S1086" s="91">
        <f t="shared" ref="S1086:S1092" si="1020">IF(P1086&gt;0,P1086/$R1086,0)</f>
        <v>2</v>
      </c>
      <c r="T1086" s="91">
        <f t="shared" ref="T1086:T1092" si="1021">IF(Q1086&gt;0,Q1086/$R1086,0)</f>
        <v>1</v>
      </c>
      <c r="U1086" s="27" t="s">
        <v>192</v>
      </c>
      <c r="V1086" s="30" t="s">
        <v>59</v>
      </c>
      <c r="W1086" s="31">
        <v>45995</v>
      </c>
      <c r="X1086" s="22"/>
      <c r="Y1086" s="19" t="s">
        <v>52</v>
      </c>
      <c r="Z1086" s="19" t="s">
        <v>52</v>
      </c>
      <c r="AA1086" s="19" t="s">
        <v>52</v>
      </c>
      <c r="AB1086" s="28"/>
    </row>
    <row r="1087" spans="1:33" s="29" customFormat="1" ht="15" customHeight="1" x14ac:dyDescent="0.25">
      <c r="A1087" s="14">
        <v>5</v>
      </c>
      <c r="B1087" s="15">
        <v>45997</v>
      </c>
      <c r="C1087" s="15">
        <f>B1087+8</f>
        <v>46005</v>
      </c>
      <c r="D1087" s="14">
        <v>13984</v>
      </c>
      <c r="E1087" s="16" t="s">
        <v>403</v>
      </c>
      <c r="F1087" s="17" t="s">
        <v>708</v>
      </c>
      <c r="G1087" s="17" t="s">
        <v>47</v>
      </c>
      <c r="H1087" s="18" t="s">
        <v>784</v>
      </c>
      <c r="I1087" s="19" t="s">
        <v>70</v>
      </c>
      <c r="J1087" s="20">
        <v>45978</v>
      </c>
      <c r="K1087" s="20">
        <v>46008</v>
      </c>
      <c r="L1087" s="21">
        <v>2000000</v>
      </c>
      <c r="M1087" s="22">
        <f t="shared" ref="M1087" si="1022">SUM(N1087:O1087)</f>
        <v>850000</v>
      </c>
      <c r="N1087" s="23">
        <v>250000</v>
      </c>
      <c r="O1087" s="23">
        <v>600000</v>
      </c>
      <c r="P1087" s="24">
        <f t="shared" ref="P1087" si="1023">L1087-N1087</f>
        <v>1750000</v>
      </c>
      <c r="Q1087" s="25">
        <v>600000</v>
      </c>
      <c r="R1087" s="26">
        <v>50000</v>
      </c>
      <c r="S1087" s="91">
        <f t="shared" si="1020"/>
        <v>35</v>
      </c>
      <c r="T1087" s="91">
        <f t="shared" si="1021"/>
        <v>12</v>
      </c>
      <c r="U1087" s="27" t="s">
        <v>192</v>
      </c>
      <c r="V1087" s="19" t="s">
        <v>51</v>
      </c>
      <c r="W1087" s="20">
        <v>45991</v>
      </c>
      <c r="X1087" s="22"/>
      <c r="Y1087" s="19" t="s">
        <v>52</v>
      </c>
      <c r="Z1087" s="19" t="s">
        <v>52</v>
      </c>
      <c r="AA1087" s="19" t="s">
        <v>52</v>
      </c>
      <c r="AB1087" s="42"/>
    </row>
    <row r="1088" spans="1:33" s="29" customFormat="1" ht="15" customHeight="1" x14ac:dyDescent="0.25">
      <c r="A1088" s="14">
        <v>5</v>
      </c>
      <c r="B1088" s="15">
        <v>45997</v>
      </c>
      <c r="C1088" s="15">
        <f>B1088+8</f>
        <v>46005</v>
      </c>
      <c r="D1088" s="14">
        <v>13627</v>
      </c>
      <c r="E1088" s="16" t="s">
        <v>872</v>
      </c>
      <c r="F1088" s="17" t="s">
        <v>873</v>
      </c>
      <c r="G1088" s="17" t="s">
        <v>102</v>
      </c>
      <c r="H1088" s="18" t="s">
        <v>54</v>
      </c>
      <c r="I1088" s="19" t="s">
        <v>135</v>
      </c>
      <c r="J1088" s="20">
        <v>45922</v>
      </c>
      <c r="K1088" s="20">
        <v>45970</v>
      </c>
      <c r="L1088" s="21">
        <v>55000</v>
      </c>
      <c r="M1088" s="22">
        <f>SUM(N1088:O1088)</f>
        <v>37000</v>
      </c>
      <c r="N1088" s="23">
        <v>30000</v>
      </c>
      <c r="O1088" s="23">
        <v>7000</v>
      </c>
      <c r="P1088" s="24">
        <f>L1088-N1088</f>
        <v>25000</v>
      </c>
      <c r="Q1088" s="25">
        <v>7000</v>
      </c>
      <c r="R1088" s="26">
        <v>24000</v>
      </c>
      <c r="S1088" s="91">
        <f t="shared" si="1020"/>
        <v>1.0416666666666667</v>
      </c>
      <c r="T1088" s="91">
        <f t="shared" si="1021"/>
        <v>0.29166666666666669</v>
      </c>
      <c r="U1088" s="27" t="s">
        <v>56</v>
      </c>
      <c r="V1088" s="19" t="s">
        <v>51</v>
      </c>
      <c r="W1088" s="20">
        <v>45985</v>
      </c>
      <c r="X1088" s="22"/>
      <c r="Y1088" s="19" t="s">
        <v>52</v>
      </c>
      <c r="Z1088" s="19" t="s">
        <v>52</v>
      </c>
      <c r="AA1088" s="19" t="s">
        <v>52</v>
      </c>
      <c r="AB1088" s="28"/>
    </row>
    <row r="1089" spans="1:33" s="29" customFormat="1" ht="15" customHeight="1" x14ac:dyDescent="0.25">
      <c r="A1089" s="14">
        <v>6</v>
      </c>
      <c r="B1089" s="15">
        <v>45997</v>
      </c>
      <c r="C1089" s="15">
        <f>B1089+8</f>
        <v>46005</v>
      </c>
      <c r="D1089" s="14">
        <v>13924</v>
      </c>
      <c r="E1089" s="16" t="s">
        <v>337</v>
      </c>
      <c r="F1089" s="17" t="s">
        <v>338</v>
      </c>
      <c r="G1089" s="17" t="s">
        <v>132</v>
      </c>
      <c r="H1089" s="18" t="s">
        <v>54</v>
      </c>
      <c r="I1089" s="19" t="s">
        <v>135</v>
      </c>
      <c r="J1089" s="20">
        <v>45973</v>
      </c>
      <c r="K1089" s="20">
        <v>46014</v>
      </c>
      <c r="L1089" s="21">
        <v>25000</v>
      </c>
      <c r="M1089" s="22">
        <f>SUM(N1089:O1089)</f>
        <v>31850</v>
      </c>
      <c r="N1089" s="23">
        <v>0</v>
      </c>
      <c r="O1089" s="23">
        <v>31850</v>
      </c>
      <c r="P1089" s="24">
        <f>L1089-N1089</f>
        <v>25000</v>
      </c>
      <c r="Q1089" s="25">
        <v>31850</v>
      </c>
      <c r="R1089" s="26">
        <v>57276</v>
      </c>
      <c r="S1089" s="91">
        <f t="shared" si="1020"/>
        <v>0.43648299462252949</v>
      </c>
      <c r="T1089" s="91">
        <f t="shared" si="1021"/>
        <v>0.55607933514910257</v>
      </c>
      <c r="U1089" s="27" t="s">
        <v>56</v>
      </c>
      <c r="V1089" s="19" t="s">
        <v>51</v>
      </c>
      <c r="W1089" s="20">
        <v>45985</v>
      </c>
      <c r="X1089" s="22"/>
      <c r="Y1089" s="19" t="s">
        <v>52</v>
      </c>
      <c r="Z1089" s="19" t="s">
        <v>52</v>
      </c>
      <c r="AA1089" s="19" t="s">
        <v>52</v>
      </c>
      <c r="AB1089" s="28"/>
    </row>
    <row r="1090" spans="1:33" s="29" customFormat="1" ht="15" customHeight="1" x14ac:dyDescent="0.25">
      <c r="A1090" s="14">
        <v>2</v>
      </c>
      <c r="B1090" s="15">
        <v>45997</v>
      </c>
      <c r="C1090" s="15">
        <f t="shared" ref="C1090" si="1024">B1090+8</f>
        <v>46005</v>
      </c>
      <c r="D1090" s="14">
        <v>14012</v>
      </c>
      <c r="E1090" s="16" t="s">
        <v>349</v>
      </c>
      <c r="F1090" s="40" t="s">
        <v>350</v>
      </c>
      <c r="G1090" s="17" t="s">
        <v>75</v>
      </c>
      <c r="H1090" s="18" t="s">
        <v>78</v>
      </c>
      <c r="I1090" s="19" t="s">
        <v>79</v>
      </c>
      <c r="J1090" s="20">
        <v>45974</v>
      </c>
      <c r="K1090" s="20" t="s">
        <v>65</v>
      </c>
      <c r="L1090" s="21">
        <v>1000000</v>
      </c>
      <c r="M1090" s="22">
        <f>SUM(N1090:O1090)</f>
        <v>355000</v>
      </c>
      <c r="N1090" s="23">
        <v>300000</v>
      </c>
      <c r="O1090" s="23">
        <v>55000</v>
      </c>
      <c r="P1090" s="24">
        <f>L1090-N1090</f>
        <v>700000</v>
      </c>
      <c r="Q1090" s="25">
        <v>150000</v>
      </c>
      <c r="R1090" s="26">
        <v>210000</v>
      </c>
      <c r="S1090" s="91">
        <f t="shared" si="1020"/>
        <v>3.3333333333333335</v>
      </c>
      <c r="T1090" s="91">
        <f t="shared" si="1021"/>
        <v>0.7142857142857143</v>
      </c>
      <c r="U1090" s="27" t="s">
        <v>56</v>
      </c>
      <c r="V1090" s="19" t="s">
        <v>51</v>
      </c>
      <c r="W1090" s="20">
        <v>45985</v>
      </c>
      <c r="X1090" s="22"/>
      <c r="Y1090" s="19" t="s">
        <v>52</v>
      </c>
      <c r="Z1090" s="19" t="s">
        <v>52</v>
      </c>
      <c r="AA1090" s="19" t="s">
        <v>52</v>
      </c>
      <c r="AB1090" s="28"/>
    </row>
    <row r="1091" spans="1:33" s="29" customFormat="1" ht="15" customHeight="1" x14ac:dyDescent="0.25">
      <c r="A1091" s="14">
        <v>7</v>
      </c>
      <c r="B1091" s="15">
        <v>45997</v>
      </c>
      <c r="C1091" s="15">
        <f t="shared" ref="C1091" si="1025">B1091+8</f>
        <v>46005</v>
      </c>
      <c r="D1091" s="14">
        <v>13923</v>
      </c>
      <c r="E1091" s="16" t="s">
        <v>150</v>
      </c>
      <c r="F1091" s="17" t="s">
        <v>151</v>
      </c>
      <c r="G1091" s="17" t="s">
        <v>132</v>
      </c>
      <c r="H1091" s="18" t="s">
        <v>54</v>
      </c>
      <c r="I1091" s="19" t="s">
        <v>135</v>
      </c>
      <c r="J1091" s="20">
        <v>45973</v>
      </c>
      <c r="K1091" s="20">
        <v>46014</v>
      </c>
      <c r="L1091" s="21">
        <v>110000</v>
      </c>
      <c r="M1091" s="22">
        <f>SUM(N1091:O1091)</f>
        <v>79630</v>
      </c>
      <c r="N1091" s="23">
        <v>0</v>
      </c>
      <c r="O1091" s="23">
        <v>79630</v>
      </c>
      <c r="P1091" s="24">
        <f>L1091-N1091</f>
        <v>110000</v>
      </c>
      <c r="Q1091" s="25">
        <v>79630</v>
      </c>
      <c r="R1091" s="26">
        <v>57330</v>
      </c>
      <c r="S1091" s="91">
        <f t="shared" si="1020"/>
        <v>1.9187162044304902</v>
      </c>
      <c r="T1091" s="91">
        <f t="shared" si="1021"/>
        <v>1.3889761032618175</v>
      </c>
      <c r="U1091" s="27" t="s">
        <v>56</v>
      </c>
      <c r="V1091" s="30" t="s">
        <v>59</v>
      </c>
      <c r="W1091" s="31">
        <v>45997</v>
      </c>
      <c r="X1091" s="22"/>
      <c r="Y1091" s="19" t="s">
        <v>52</v>
      </c>
      <c r="Z1091" s="19" t="s">
        <v>52</v>
      </c>
      <c r="AA1091" s="19" t="s">
        <v>52</v>
      </c>
      <c r="AB1091" s="28"/>
    </row>
    <row r="1092" spans="1:33" s="29" customFormat="1" ht="15" customHeight="1" x14ac:dyDescent="0.25">
      <c r="A1092" s="14">
        <v>9</v>
      </c>
      <c r="B1092" s="15">
        <v>45997</v>
      </c>
      <c r="C1092" s="15">
        <f>B1092+8</f>
        <v>46005</v>
      </c>
      <c r="D1092" s="14">
        <v>13986</v>
      </c>
      <c r="E1092" s="16" t="s">
        <v>305</v>
      </c>
      <c r="F1092" s="17" t="s">
        <v>306</v>
      </c>
      <c r="G1092" s="17" t="s">
        <v>132</v>
      </c>
      <c r="H1092" s="18" t="s">
        <v>775</v>
      </c>
      <c r="I1092" s="19" t="s">
        <v>135</v>
      </c>
      <c r="J1092" s="20">
        <v>45975</v>
      </c>
      <c r="K1092" s="20">
        <v>46016</v>
      </c>
      <c r="L1092" s="21">
        <v>30000</v>
      </c>
      <c r="M1092" s="22">
        <f>SUM(N1092:O1092)</f>
        <v>33368</v>
      </c>
      <c r="N1092" s="23">
        <v>0</v>
      </c>
      <c r="O1092" s="23">
        <v>33368</v>
      </c>
      <c r="P1092" s="24">
        <f>L1092-N1092</f>
        <v>30000</v>
      </c>
      <c r="Q1092" s="25">
        <v>33368</v>
      </c>
      <c r="R1092" s="26">
        <v>75078</v>
      </c>
      <c r="S1092" s="91">
        <f t="shared" si="1020"/>
        <v>0.39958443219052187</v>
      </c>
      <c r="T1092" s="91">
        <f t="shared" si="1021"/>
        <v>0.44444444444444442</v>
      </c>
      <c r="U1092" s="27" t="s">
        <v>56</v>
      </c>
      <c r="V1092" s="30" t="s">
        <v>59</v>
      </c>
      <c r="W1092" s="31">
        <v>45997</v>
      </c>
      <c r="X1092" s="22"/>
      <c r="Y1092" s="19" t="s">
        <v>52</v>
      </c>
      <c r="Z1092" s="19" t="s">
        <v>52</v>
      </c>
      <c r="AA1092" s="19" t="s">
        <v>52</v>
      </c>
      <c r="AB1092" s="28"/>
    </row>
    <row r="1093" spans="1:33" ht="15" customHeight="1" x14ac:dyDescent="0.25">
      <c r="A1093" s="33" t="s">
        <v>71</v>
      </c>
      <c r="B1093" s="34"/>
      <c r="C1093" s="34"/>
      <c r="D1093" s="34"/>
      <c r="E1093" s="34"/>
      <c r="F1093" s="35"/>
      <c r="G1093" s="35"/>
      <c r="H1093" s="34"/>
      <c r="I1093" s="34"/>
      <c r="J1093" s="34"/>
      <c r="K1093" s="34"/>
      <c r="L1093" s="36"/>
      <c r="M1093" s="36"/>
      <c r="N1093" s="36"/>
      <c r="O1093" s="36"/>
      <c r="P1093" s="36"/>
      <c r="Q1093" s="36">
        <f>SUM(Q1086:Q1092)</f>
        <v>1051848</v>
      </c>
      <c r="R1093" s="36"/>
      <c r="S1093" s="92"/>
      <c r="T1093" s="93">
        <f>SUM(T1086:T1092)</f>
        <v>16.395452263807744</v>
      </c>
      <c r="U1093" s="37"/>
      <c r="V1093" s="38"/>
      <c r="W1093" s="38"/>
      <c r="X1093" s="38"/>
      <c r="Y1093" s="34"/>
      <c r="Z1093" s="34"/>
      <c r="AA1093" s="39"/>
      <c r="AB1093" s="29" t="s">
        <v>1030</v>
      </c>
      <c r="AC1093" s="81" t="s">
        <v>1035</v>
      </c>
      <c r="AD1093" s="83">
        <v>3958.34</v>
      </c>
      <c r="AF1093" s="83">
        <v>0</v>
      </c>
      <c r="AG1093" s="83">
        <f>SUM(AD1093,AF1093)</f>
        <v>3958.34</v>
      </c>
    </row>
    <row r="1094" spans="1:33" s="29" customFormat="1" ht="15" customHeight="1" x14ac:dyDescent="0.25">
      <c r="A1094" s="14">
        <v>10</v>
      </c>
      <c r="B1094" s="15">
        <v>46001</v>
      </c>
      <c r="C1094" s="15">
        <f>B1094+8</f>
        <v>46009</v>
      </c>
      <c r="D1094" s="14">
        <v>13983</v>
      </c>
      <c r="E1094" s="16" t="s">
        <v>206</v>
      </c>
      <c r="F1094" s="40" t="s">
        <v>207</v>
      </c>
      <c r="G1094" s="17" t="s">
        <v>75</v>
      </c>
      <c r="H1094" s="18" t="s">
        <v>542</v>
      </c>
      <c r="I1094" s="19" t="s">
        <v>49</v>
      </c>
      <c r="J1094" s="20">
        <v>45975</v>
      </c>
      <c r="K1094" s="20">
        <v>46003</v>
      </c>
      <c r="L1094" s="21">
        <v>600000</v>
      </c>
      <c r="M1094" s="22">
        <f>SUM(N1094:O1094)</f>
        <v>150000</v>
      </c>
      <c r="N1094" s="23">
        <v>0</v>
      </c>
      <c r="O1094" s="23">
        <v>150000</v>
      </c>
      <c r="P1094" s="24">
        <f>L1094-N1094</f>
        <v>600000</v>
      </c>
      <c r="Q1094" s="25">
        <v>150000</v>
      </c>
      <c r="R1094" s="26">
        <v>150000</v>
      </c>
      <c r="S1094" s="91">
        <f t="shared" ref="S1094:S1099" si="1026">IF(P1094&gt;0,P1094/$R1094,0)</f>
        <v>4</v>
      </c>
      <c r="T1094" s="91">
        <f t="shared" ref="T1094:T1099" si="1027">IF(Q1094&gt;0,Q1094/$R1094,0)</f>
        <v>1</v>
      </c>
      <c r="U1094" s="27" t="s">
        <v>192</v>
      </c>
      <c r="V1094" s="30" t="s">
        <v>59</v>
      </c>
      <c r="W1094" s="31">
        <v>45996</v>
      </c>
      <c r="X1094" s="22"/>
      <c r="Y1094" s="19" t="s">
        <v>52</v>
      </c>
      <c r="Z1094" s="19" t="s">
        <v>52</v>
      </c>
      <c r="AA1094" s="19" t="s">
        <v>52</v>
      </c>
      <c r="AB1094" s="28"/>
    </row>
    <row r="1095" spans="1:33" s="29" customFormat="1" ht="15" customHeight="1" x14ac:dyDescent="0.25">
      <c r="A1095" s="14">
        <v>3</v>
      </c>
      <c r="B1095" s="15">
        <v>46001</v>
      </c>
      <c r="C1095" s="15">
        <f>B1095+8</f>
        <v>46009</v>
      </c>
      <c r="D1095" s="14">
        <v>13443</v>
      </c>
      <c r="E1095" s="16" t="s">
        <v>428</v>
      </c>
      <c r="F1095" s="17" t="s">
        <v>429</v>
      </c>
      <c r="G1095" s="17" t="s">
        <v>47</v>
      </c>
      <c r="H1095" s="18" t="s">
        <v>542</v>
      </c>
      <c r="I1095" s="19" t="s">
        <v>70</v>
      </c>
      <c r="J1095" s="20">
        <v>45887</v>
      </c>
      <c r="K1095" s="20">
        <v>45968</v>
      </c>
      <c r="L1095" s="21">
        <v>1250000</v>
      </c>
      <c r="M1095" s="22">
        <f t="shared" ref="M1095" si="1028">SUM(N1095:O1095)</f>
        <v>1000000</v>
      </c>
      <c r="N1095" s="23">
        <v>0</v>
      </c>
      <c r="O1095" s="23">
        <v>1000000</v>
      </c>
      <c r="P1095" s="24">
        <f>L1095-N1095</f>
        <v>1250000</v>
      </c>
      <c r="Q1095" s="25">
        <v>1000000</v>
      </c>
      <c r="R1095" s="26">
        <v>50000</v>
      </c>
      <c r="S1095" s="91">
        <f t="shared" si="1026"/>
        <v>25</v>
      </c>
      <c r="T1095" s="91">
        <f t="shared" si="1027"/>
        <v>20</v>
      </c>
      <c r="U1095" s="27" t="s">
        <v>254</v>
      </c>
      <c r="V1095" s="19" t="s">
        <v>51</v>
      </c>
      <c r="W1095" s="20">
        <v>45959</v>
      </c>
      <c r="X1095" s="22"/>
      <c r="Y1095" s="19" t="s">
        <v>52</v>
      </c>
      <c r="Z1095" s="19" t="s">
        <v>52</v>
      </c>
      <c r="AA1095" s="19" t="s">
        <v>52</v>
      </c>
      <c r="AB1095" s="42"/>
    </row>
    <row r="1096" spans="1:33" s="29" customFormat="1" ht="15" customHeight="1" x14ac:dyDescent="0.25">
      <c r="A1096" s="14">
        <v>3</v>
      </c>
      <c r="B1096" s="15">
        <v>46001</v>
      </c>
      <c r="C1096" s="15">
        <f>B1096+8</f>
        <v>46009</v>
      </c>
      <c r="D1096" s="14">
        <v>13560</v>
      </c>
      <c r="E1096" s="16" t="s">
        <v>815</v>
      </c>
      <c r="F1096" s="17" t="s">
        <v>816</v>
      </c>
      <c r="G1096" s="17" t="s">
        <v>102</v>
      </c>
      <c r="H1096" s="18" t="s">
        <v>54</v>
      </c>
      <c r="I1096" s="19" t="s">
        <v>135</v>
      </c>
      <c r="J1096" s="20">
        <v>45917</v>
      </c>
      <c r="K1096" s="20">
        <v>45947</v>
      </c>
      <c r="L1096" s="21">
        <v>30000</v>
      </c>
      <c r="M1096" s="22">
        <f>SUM(N1096:O1096)</f>
        <v>35000</v>
      </c>
      <c r="N1096" s="23">
        <v>0</v>
      </c>
      <c r="O1096" s="23">
        <v>35000</v>
      </c>
      <c r="P1096" s="24">
        <f>L1096-N1096</f>
        <v>30000</v>
      </c>
      <c r="Q1096" s="25">
        <v>35000</v>
      </c>
      <c r="R1096" s="26">
        <v>24000</v>
      </c>
      <c r="S1096" s="91">
        <f t="shared" si="1026"/>
        <v>1.25</v>
      </c>
      <c r="T1096" s="91">
        <f t="shared" si="1027"/>
        <v>1.4583333333333333</v>
      </c>
      <c r="U1096" s="27" t="s">
        <v>56</v>
      </c>
      <c r="V1096" s="19" t="s">
        <v>51</v>
      </c>
      <c r="W1096" s="20">
        <v>45961</v>
      </c>
      <c r="X1096" s="22"/>
      <c r="Y1096" s="19" t="s">
        <v>52</v>
      </c>
      <c r="Z1096" s="19" t="s">
        <v>52</v>
      </c>
      <c r="AA1096" s="19" t="s">
        <v>52</v>
      </c>
      <c r="AB1096" s="28"/>
    </row>
    <row r="1097" spans="1:33" s="29" customFormat="1" ht="15" customHeight="1" x14ac:dyDescent="0.25">
      <c r="A1097" s="14">
        <v>7</v>
      </c>
      <c r="B1097" s="15">
        <v>46001</v>
      </c>
      <c r="C1097" s="15">
        <f>B1097+8</f>
        <v>46009</v>
      </c>
      <c r="D1097" s="14">
        <v>13923</v>
      </c>
      <c r="E1097" s="16" t="s">
        <v>150</v>
      </c>
      <c r="F1097" s="17" t="s">
        <v>151</v>
      </c>
      <c r="G1097" s="17" t="s">
        <v>132</v>
      </c>
      <c r="H1097" s="18" t="s">
        <v>54</v>
      </c>
      <c r="I1097" s="19" t="s">
        <v>135</v>
      </c>
      <c r="J1097" s="20">
        <v>45973</v>
      </c>
      <c r="K1097" s="20">
        <v>46014</v>
      </c>
      <c r="L1097" s="21">
        <v>110000</v>
      </c>
      <c r="M1097" s="22">
        <f>SUM(N1097:O1097)</f>
        <v>43470</v>
      </c>
      <c r="N1097" s="23">
        <v>0</v>
      </c>
      <c r="O1097" s="23">
        <v>43470</v>
      </c>
      <c r="P1097" s="24">
        <f>L1097-N1097</f>
        <v>110000</v>
      </c>
      <c r="Q1097" s="25">
        <v>43470</v>
      </c>
      <c r="R1097" s="26">
        <v>57330</v>
      </c>
      <c r="S1097" s="91">
        <f t="shared" si="1026"/>
        <v>1.9187162044304902</v>
      </c>
      <c r="T1097" s="91">
        <f t="shared" si="1027"/>
        <v>0.75824175824175821</v>
      </c>
      <c r="U1097" s="27" t="s">
        <v>56</v>
      </c>
      <c r="V1097" s="30" t="s">
        <v>59</v>
      </c>
      <c r="W1097" s="31">
        <v>45997</v>
      </c>
      <c r="X1097" s="22"/>
      <c r="Y1097" s="19" t="s">
        <v>52</v>
      </c>
      <c r="Z1097" s="19" t="s">
        <v>52</v>
      </c>
      <c r="AA1097" s="19" t="s">
        <v>52</v>
      </c>
      <c r="AB1097" s="28"/>
    </row>
    <row r="1098" spans="1:33" s="29" customFormat="1" ht="15" customHeight="1" x14ac:dyDescent="0.25">
      <c r="A1098" s="14">
        <v>4</v>
      </c>
      <c r="B1098" s="15">
        <v>46001</v>
      </c>
      <c r="C1098" s="15">
        <f>B1098+8</f>
        <v>46009</v>
      </c>
      <c r="D1098" s="14">
        <v>13992</v>
      </c>
      <c r="E1098" s="16" t="s">
        <v>220</v>
      </c>
      <c r="F1098" s="17" t="s">
        <v>221</v>
      </c>
      <c r="G1098" s="17" t="s">
        <v>132</v>
      </c>
      <c r="H1098" s="18" t="s">
        <v>775</v>
      </c>
      <c r="I1098" s="19" t="s">
        <v>135</v>
      </c>
      <c r="J1098" s="20">
        <v>45975</v>
      </c>
      <c r="K1098" s="20">
        <v>46007</v>
      </c>
      <c r="L1098" s="21">
        <v>185000</v>
      </c>
      <c r="M1098" s="22">
        <f>SUM(N1098:O1098)</f>
        <v>260000</v>
      </c>
      <c r="N1098" s="23">
        <v>0</v>
      </c>
      <c r="O1098" s="23">
        <v>260000</v>
      </c>
      <c r="P1098" s="24">
        <f>L1098-N1098</f>
        <v>185000</v>
      </c>
      <c r="Q1098" s="25">
        <v>143000</v>
      </c>
      <c r="R1098" s="26">
        <v>117000</v>
      </c>
      <c r="S1098" s="91">
        <f t="shared" si="1026"/>
        <v>1.5811965811965811</v>
      </c>
      <c r="T1098" s="91">
        <f t="shared" si="1027"/>
        <v>1.2222222222222223</v>
      </c>
      <c r="U1098" s="27" t="s">
        <v>56</v>
      </c>
      <c r="V1098" s="30" t="s">
        <v>59</v>
      </c>
      <c r="W1098" s="31">
        <v>45997</v>
      </c>
      <c r="X1098" s="22"/>
      <c r="Y1098" s="19" t="s">
        <v>52</v>
      </c>
      <c r="Z1098" s="19" t="s">
        <v>52</v>
      </c>
      <c r="AA1098" s="19" t="s">
        <v>52</v>
      </c>
      <c r="AB1098" s="28"/>
    </row>
    <row r="1099" spans="1:33" s="29" customFormat="1" ht="15" customHeight="1" x14ac:dyDescent="0.25">
      <c r="A1099" s="14">
        <v>6</v>
      </c>
      <c r="B1099" s="15">
        <v>46001</v>
      </c>
      <c r="C1099" s="15">
        <f t="shared" ref="C1099" si="1029">B1099+8</f>
        <v>46009</v>
      </c>
      <c r="D1099" s="14">
        <v>14062</v>
      </c>
      <c r="E1099" s="16" t="s">
        <v>422</v>
      </c>
      <c r="F1099" s="40" t="s">
        <v>476</v>
      </c>
      <c r="G1099" s="17" t="s">
        <v>75</v>
      </c>
      <c r="H1099" s="18" t="s">
        <v>78</v>
      </c>
      <c r="I1099" s="19" t="s">
        <v>79</v>
      </c>
      <c r="J1099" s="20">
        <v>45980</v>
      </c>
      <c r="K1099" s="20" t="s">
        <v>65</v>
      </c>
      <c r="L1099" s="21">
        <v>550000</v>
      </c>
      <c r="M1099" s="22">
        <f t="shared" ref="M1099:M1100" si="1030">SUM(N1099:O1099)</f>
        <v>210000</v>
      </c>
      <c r="N1099" s="23">
        <v>0</v>
      </c>
      <c r="O1099" s="23">
        <v>210000</v>
      </c>
      <c r="P1099" s="24">
        <f t="shared" ref="P1099" si="1031">L1099-N1099</f>
        <v>550000</v>
      </c>
      <c r="Q1099" s="25">
        <v>150000</v>
      </c>
      <c r="R1099" s="26">
        <v>210000</v>
      </c>
      <c r="S1099" s="91">
        <f t="shared" si="1026"/>
        <v>2.6190476190476191</v>
      </c>
      <c r="T1099" s="91">
        <f t="shared" si="1027"/>
        <v>0.7142857142857143</v>
      </c>
      <c r="U1099" s="27" t="s">
        <v>56</v>
      </c>
      <c r="V1099" s="30" t="s">
        <v>59</v>
      </c>
      <c r="W1099" s="31">
        <v>45996</v>
      </c>
      <c r="X1099" s="22"/>
      <c r="Y1099" s="19" t="s">
        <v>52</v>
      </c>
      <c r="Z1099" s="19" t="s">
        <v>52</v>
      </c>
      <c r="AA1099" s="19" t="s">
        <v>52</v>
      </c>
      <c r="AB1099" s="28"/>
    </row>
    <row r="1100" spans="1:33" s="29" customFormat="1" ht="15" customHeight="1" x14ac:dyDescent="0.25">
      <c r="A1100" s="14">
        <v>1</v>
      </c>
      <c r="B1100" s="15">
        <v>46001</v>
      </c>
      <c r="C1100" s="15">
        <f t="shared" ref="C1100" si="1032">B1100+8</f>
        <v>46009</v>
      </c>
      <c r="D1100" s="14">
        <v>13724</v>
      </c>
      <c r="E1100" s="16" t="s">
        <v>158</v>
      </c>
      <c r="F1100" s="17" t="s">
        <v>159</v>
      </c>
      <c r="G1100" s="17" t="s">
        <v>132</v>
      </c>
      <c r="H1100" s="18" t="s">
        <v>775</v>
      </c>
      <c r="I1100" s="19" t="s">
        <v>135</v>
      </c>
      <c r="J1100" s="20">
        <v>45938</v>
      </c>
      <c r="K1100" s="20">
        <v>45980</v>
      </c>
      <c r="L1100" s="21">
        <v>300000</v>
      </c>
      <c r="M1100" s="22">
        <f t="shared" si="1030"/>
        <v>342200</v>
      </c>
      <c r="N1100" s="23">
        <v>310350</v>
      </c>
      <c r="O1100" s="23">
        <v>31850</v>
      </c>
      <c r="P1100" s="24">
        <f>L1100-N1100</f>
        <v>-10350</v>
      </c>
      <c r="Q1100" s="25">
        <v>31850</v>
      </c>
      <c r="R1100" s="26">
        <v>57330</v>
      </c>
      <c r="S1100" s="91">
        <f t="shared" ref="S1100" si="1033">IF(P1100&gt;0,P1100/$R1100,0)</f>
        <v>0</v>
      </c>
      <c r="T1100" s="91">
        <f t="shared" ref="T1100" si="1034">IF(Q1100&gt;0,Q1100/$R1100,0)</f>
        <v>0.55555555555555558</v>
      </c>
      <c r="U1100" s="27" t="s">
        <v>56</v>
      </c>
      <c r="V1100" s="19" t="s">
        <v>51</v>
      </c>
      <c r="W1100" s="20">
        <v>45967</v>
      </c>
      <c r="X1100" s="22"/>
      <c r="Y1100" s="19" t="s">
        <v>52</v>
      </c>
      <c r="Z1100" s="19" t="s">
        <v>52</v>
      </c>
      <c r="AA1100" s="19" t="s">
        <v>52</v>
      </c>
      <c r="AB1100" s="28"/>
    </row>
    <row r="1101" spans="1:33" ht="15" customHeight="1" x14ac:dyDescent="0.25">
      <c r="A1101" s="33" t="s">
        <v>71</v>
      </c>
      <c r="B1101" s="34"/>
      <c r="C1101" s="34"/>
      <c r="D1101" s="34"/>
      <c r="E1101" s="34"/>
      <c r="F1101" s="35"/>
      <c r="G1101" s="35"/>
      <c r="H1101" s="34"/>
      <c r="I1101" s="34"/>
      <c r="J1101" s="34"/>
      <c r="K1101" s="34"/>
      <c r="L1101" s="36"/>
      <c r="M1101" s="36"/>
      <c r="N1101" s="36"/>
      <c r="O1101" s="36"/>
      <c r="P1101" s="36"/>
      <c r="Q1101" s="36">
        <f>SUM(Q1094:Q1100)</f>
        <v>1553320</v>
      </c>
      <c r="R1101" s="36"/>
      <c r="S1101" s="92"/>
      <c r="T1101" s="93">
        <f>SUM(T1094:T1100)</f>
        <v>25.708638583638585</v>
      </c>
      <c r="U1101" s="37"/>
      <c r="V1101" s="38"/>
      <c r="W1101" s="38"/>
      <c r="X1101" s="38"/>
      <c r="Y1101" s="34"/>
      <c r="Z1101" s="34"/>
      <c r="AA1101" s="39"/>
      <c r="AB1101" s="29" t="s">
        <v>1031</v>
      </c>
      <c r="AC1101" s="81" t="s">
        <v>1038</v>
      </c>
      <c r="AD1101" s="83">
        <v>5000</v>
      </c>
      <c r="AF1101" s="83">
        <v>0</v>
      </c>
      <c r="AG1101" s="83">
        <f>SUM(AD1101,AF1101)</f>
        <v>5000</v>
      </c>
    </row>
    <row r="1102" spans="1:33" s="29" customFormat="1" ht="15" customHeight="1" x14ac:dyDescent="0.25">
      <c r="A1102" s="14">
        <v>5</v>
      </c>
      <c r="B1102" s="15">
        <v>46001</v>
      </c>
      <c r="C1102" s="15">
        <f>B1102+8</f>
        <v>46009</v>
      </c>
      <c r="D1102" s="14">
        <v>13984</v>
      </c>
      <c r="E1102" s="16" t="s">
        <v>403</v>
      </c>
      <c r="F1102" s="17" t="s">
        <v>708</v>
      </c>
      <c r="G1102" s="17" t="s">
        <v>47</v>
      </c>
      <c r="H1102" s="18" t="s">
        <v>784</v>
      </c>
      <c r="I1102" s="19" t="s">
        <v>70</v>
      </c>
      <c r="J1102" s="20">
        <v>45978</v>
      </c>
      <c r="K1102" s="20">
        <v>46008</v>
      </c>
      <c r="L1102" s="21">
        <v>2000000</v>
      </c>
      <c r="M1102" s="22">
        <f t="shared" ref="M1102" si="1035">SUM(N1102:O1102)</f>
        <v>1450000</v>
      </c>
      <c r="N1102" s="23">
        <v>250000</v>
      </c>
      <c r="O1102" s="23">
        <v>1200000</v>
      </c>
      <c r="P1102" s="24">
        <f t="shared" ref="P1102" si="1036">L1102-N1102</f>
        <v>1750000</v>
      </c>
      <c r="Q1102" s="25">
        <v>1200000</v>
      </c>
      <c r="R1102" s="26">
        <v>50000</v>
      </c>
      <c r="S1102" s="91">
        <f t="shared" ref="S1102:S1103" si="1037">IF(P1102&gt;0,P1102/$R1102,0)</f>
        <v>35</v>
      </c>
      <c r="T1102" s="91">
        <f t="shared" ref="T1102:T1103" si="1038">IF(Q1102&gt;0,Q1102/$R1102,0)</f>
        <v>24</v>
      </c>
      <c r="U1102" s="27" t="s">
        <v>192</v>
      </c>
      <c r="V1102" s="19" t="s">
        <v>51</v>
      </c>
      <c r="W1102" s="20">
        <v>45991</v>
      </c>
      <c r="X1102" s="22"/>
      <c r="Y1102" s="19" t="s">
        <v>52</v>
      </c>
      <c r="Z1102" s="19" t="s">
        <v>52</v>
      </c>
      <c r="AA1102" s="19" t="s">
        <v>52</v>
      </c>
      <c r="AB1102" s="42"/>
    </row>
    <row r="1103" spans="1:33" s="29" customFormat="1" ht="15" customHeight="1" x14ac:dyDescent="0.25">
      <c r="A1103" s="14">
        <v>1</v>
      </c>
      <c r="B1103" s="15">
        <v>46001</v>
      </c>
      <c r="C1103" s="15">
        <f>B1103+8</f>
        <v>46009</v>
      </c>
      <c r="D1103" s="14">
        <v>14090</v>
      </c>
      <c r="E1103" s="16" t="s">
        <v>806</v>
      </c>
      <c r="F1103" s="40" t="s">
        <v>790</v>
      </c>
      <c r="G1103" s="17" t="s">
        <v>75</v>
      </c>
      <c r="H1103" s="18" t="s">
        <v>542</v>
      </c>
      <c r="I1103" s="19" t="s">
        <v>49</v>
      </c>
      <c r="J1103" s="20">
        <v>45985</v>
      </c>
      <c r="K1103" s="20">
        <v>45993</v>
      </c>
      <c r="L1103" s="21">
        <v>84000</v>
      </c>
      <c r="M1103" s="22">
        <f>SUM(N1103:O1103)</f>
        <v>69000</v>
      </c>
      <c r="N1103" s="23">
        <v>0</v>
      </c>
      <c r="O1103" s="23">
        <v>69000</v>
      </c>
      <c r="P1103" s="24">
        <f>L1103-N1103</f>
        <v>84000</v>
      </c>
      <c r="Q1103" s="25">
        <v>69000</v>
      </c>
      <c r="R1103" s="26">
        <v>150000</v>
      </c>
      <c r="S1103" s="91">
        <f t="shared" si="1037"/>
        <v>0.56000000000000005</v>
      </c>
      <c r="T1103" s="91">
        <f t="shared" si="1038"/>
        <v>0.46</v>
      </c>
      <c r="U1103" s="27" t="s">
        <v>192</v>
      </c>
      <c r="V1103" s="19" t="s">
        <v>51</v>
      </c>
      <c r="W1103" s="20">
        <v>45992</v>
      </c>
      <c r="X1103" s="22"/>
      <c r="Y1103" s="19" t="s">
        <v>52</v>
      </c>
      <c r="Z1103" s="19" t="s">
        <v>52</v>
      </c>
      <c r="AA1103" s="19" t="s">
        <v>52</v>
      </c>
      <c r="AB1103" s="28"/>
    </row>
    <row r="1104" spans="1:33" ht="15" customHeight="1" x14ac:dyDescent="0.25">
      <c r="A1104" s="33" t="s">
        <v>71</v>
      </c>
      <c r="B1104" s="34"/>
      <c r="C1104" s="34"/>
      <c r="D1104" s="34"/>
      <c r="E1104" s="34"/>
      <c r="F1104" s="35"/>
      <c r="G1104" s="35"/>
      <c r="H1104" s="34"/>
      <c r="I1104" s="34"/>
      <c r="J1104" s="34"/>
      <c r="K1104" s="34"/>
      <c r="L1104" s="36"/>
      <c r="M1104" s="36"/>
      <c r="N1104" s="36"/>
      <c r="O1104" s="36"/>
      <c r="P1104" s="36"/>
      <c r="Q1104" s="36">
        <f>SUM(Q1102:Q1103)</f>
        <v>1269000</v>
      </c>
      <c r="R1104" s="36"/>
      <c r="S1104" s="92"/>
      <c r="T1104" s="93">
        <f>SUM(T1102:T1103)</f>
        <v>24.46</v>
      </c>
      <c r="U1104" s="37"/>
      <c r="V1104" s="38"/>
      <c r="W1104" s="38"/>
      <c r="X1104" s="38"/>
      <c r="Y1104" s="34"/>
      <c r="Z1104" s="34"/>
      <c r="AA1104" s="39"/>
      <c r="AB1104" s="29" t="s">
        <v>1032</v>
      </c>
      <c r="AC1104" s="81" t="s">
        <v>1039</v>
      </c>
      <c r="AD1104" s="83">
        <v>5000</v>
      </c>
      <c r="AF1104" s="83">
        <v>0</v>
      </c>
      <c r="AG1104" s="83">
        <f>SUM(AD1104,AF1104)</f>
        <v>5000</v>
      </c>
    </row>
    <row r="1105" spans="1:33" s="29" customFormat="1" ht="15" customHeight="1" x14ac:dyDescent="0.25">
      <c r="A1105" s="14">
        <v>3</v>
      </c>
      <c r="B1105" s="15">
        <v>46004</v>
      </c>
      <c r="C1105" s="15">
        <f>B1105+8</f>
        <v>46012</v>
      </c>
      <c r="D1105" s="14">
        <v>13955</v>
      </c>
      <c r="E1105" s="16" t="s">
        <v>753</v>
      </c>
      <c r="F1105" s="17" t="s">
        <v>754</v>
      </c>
      <c r="G1105" s="17" t="s">
        <v>102</v>
      </c>
      <c r="H1105" s="18" t="s">
        <v>62</v>
      </c>
      <c r="I1105" s="19" t="s">
        <v>63</v>
      </c>
      <c r="J1105" s="20">
        <v>45972</v>
      </c>
      <c r="K1105" s="20">
        <v>45995</v>
      </c>
      <c r="L1105" s="21">
        <v>300000</v>
      </c>
      <c r="M1105" s="22">
        <f>SUM(N1105:O1105)</f>
        <v>294000</v>
      </c>
      <c r="N1105" s="23">
        <v>200000</v>
      </c>
      <c r="O1105" s="23">
        <v>94000</v>
      </c>
      <c r="P1105" s="24">
        <f>L1105-N1105</f>
        <v>100000</v>
      </c>
      <c r="Q1105" s="25">
        <v>94000</v>
      </c>
      <c r="R1105" s="26">
        <v>100000</v>
      </c>
      <c r="S1105" s="91">
        <f t="shared" ref="S1105:S1108" si="1039">IF(P1105&gt;0,P1105/$R1105,0)</f>
        <v>1</v>
      </c>
      <c r="T1105" s="91">
        <f t="shared" ref="T1105:T1108" si="1040">IF(Q1105&gt;0,Q1105/$R1105,0)</f>
        <v>0.94</v>
      </c>
      <c r="U1105" s="27" t="s">
        <v>192</v>
      </c>
      <c r="V1105" s="19" t="s">
        <v>51</v>
      </c>
      <c r="W1105" s="20">
        <v>45991</v>
      </c>
      <c r="X1105" s="22"/>
      <c r="Y1105" s="19" t="s">
        <v>52</v>
      </c>
      <c r="Z1105" s="19" t="s">
        <v>52</v>
      </c>
      <c r="AA1105" s="19" t="s">
        <v>52</v>
      </c>
      <c r="AB1105" s="28"/>
    </row>
    <row r="1106" spans="1:33" s="29" customFormat="1" ht="15" customHeight="1" x14ac:dyDescent="0.25">
      <c r="A1106" s="14">
        <v>8</v>
      </c>
      <c r="B1106" s="15">
        <v>46004</v>
      </c>
      <c r="C1106" s="15">
        <f>B1106+8</f>
        <v>46012</v>
      </c>
      <c r="D1106" s="14">
        <v>13950</v>
      </c>
      <c r="E1106" s="16" t="s">
        <v>398</v>
      </c>
      <c r="F1106" s="40" t="s">
        <v>399</v>
      </c>
      <c r="G1106" s="17" t="s">
        <v>75</v>
      </c>
      <c r="H1106" s="18" t="s">
        <v>57</v>
      </c>
      <c r="I1106" s="19" t="s">
        <v>94</v>
      </c>
      <c r="J1106" s="20">
        <v>45972</v>
      </c>
      <c r="K1106" s="20">
        <v>45999</v>
      </c>
      <c r="L1106" s="21">
        <v>1000000</v>
      </c>
      <c r="M1106" s="22">
        <f>SUM(N1106:O1106)</f>
        <v>360000</v>
      </c>
      <c r="N1106" s="23">
        <v>0</v>
      </c>
      <c r="O1106" s="23">
        <v>360000</v>
      </c>
      <c r="P1106" s="24">
        <f>L1106-N1106</f>
        <v>1000000</v>
      </c>
      <c r="Q1106" s="25">
        <v>240000</v>
      </c>
      <c r="R1106" s="26">
        <v>150000</v>
      </c>
      <c r="S1106" s="91">
        <f t="shared" si="1039"/>
        <v>6.666666666666667</v>
      </c>
      <c r="T1106" s="91">
        <f t="shared" si="1040"/>
        <v>1.6</v>
      </c>
      <c r="U1106" s="27" t="s">
        <v>192</v>
      </c>
      <c r="V1106" s="30" t="s">
        <v>59</v>
      </c>
      <c r="W1106" s="31">
        <v>46002</v>
      </c>
      <c r="X1106" s="22"/>
      <c r="Y1106" s="19" t="s">
        <v>52</v>
      </c>
      <c r="Z1106" s="19" t="s">
        <v>52</v>
      </c>
      <c r="AA1106" s="19" t="s">
        <v>52</v>
      </c>
      <c r="AB1106" s="28"/>
    </row>
    <row r="1107" spans="1:33" s="29" customFormat="1" ht="15" customHeight="1" x14ac:dyDescent="0.25">
      <c r="A1107" s="14">
        <v>1</v>
      </c>
      <c r="B1107" s="15">
        <v>46004</v>
      </c>
      <c r="C1107" s="15">
        <f>B1107+8</f>
        <v>46012</v>
      </c>
      <c r="D1107" s="14">
        <v>13613</v>
      </c>
      <c r="E1107" s="16" t="s">
        <v>847</v>
      </c>
      <c r="F1107" s="17" t="s">
        <v>848</v>
      </c>
      <c r="G1107" s="17" t="s">
        <v>102</v>
      </c>
      <c r="H1107" s="18" t="s">
        <v>775</v>
      </c>
      <c r="I1107" s="19" t="s">
        <v>135</v>
      </c>
      <c r="J1107" s="20">
        <v>45919</v>
      </c>
      <c r="K1107" s="20">
        <v>45947</v>
      </c>
      <c r="L1107" s="21">
        <v>35000</v>
      </c>
      <c r="M1107" s="22">
        <f>SUM(N1107:O1107)</f>
        <v>42000</v>
      </c>
      <c r="N1107" s="23">
        <v>0</v>
      </c>
      <c r="O1107" s="23">
        <v>42000</v>
      </c>
      <c r="P1107" s="24">
        <f>L1107-N1107</f>
        <v>35000</v>
      </c>
      <c r="Q1107" s="25">
        <v>42000</v>
      </c>
      <c r="R1107" s="26">
        <v>24000</v>
      </c>
      <c r="S1107" s="91">
        <f t="shared" si="1039"/>
        <v>1.4583333333333333</v>
      </c>
      <c r="T1107" s="91">
        <f t="shared" si="1040"/>
        <v>1.75</v>
      </c>
      <c r="U1107" s="27" t="s">
        <v>56</v>
      </c>
      <c r="V1107" s="19" t="s">
        <v>51</v>
      </c>
      <c r="W1107" s="20">
        <v>45997</v>
      </c>
      <c r="X1107" s="22"/>
      <c r="Y1107" s="19" t="s">
        <v>52</v>
      </c>
      <c r="Z1107" s="19" t="s">
        <v>52</v>
      </c>
      <c r="AA1107" s="19" t="s">
        <v>52</v>
      </c>
      <c r="AB1107" s="28"/>
    </row>
    <row r="1108" spans="1:33" s="29" customFormat="1" ht="15" customHeight="1" x14ac:dyDescent="0.25">
      <c r="A1108" s="14">
        <v>3</v>
      </c>
      <c r="B1108" s="15">
        <v>46004</v>
      </c>
      <c r="C1108" s="15">
        <f>B1108+8</f>
        <v>46012</v>
      </c>
      <c r="D1108" s="14">
        <v>14012</v>
      </c>
      <c r="E1108" s="16" t="s">
        <v>349</v>
      </c>
      <c r="F1108" s="40" t="s">
        <v>350</v>
      </c>
      <c r="G1108" s="17" t="s">
        <v>75</v>
      </c>
      <c r="H1108" s="18" t="s">
        <v>78</v>
      </c>
      <c r="I1108" s="19" t="s">
        <v>79</v>
      </c>
      <c r="J1108" s="20">
        <v>45974</v>
      </c>
      <c r="K1108" s="20" t="s">
        <v>65</v>
      </c>
      <c r="L1108" s="21">
        <v>1000000</v>
      </c>
      <c r="M1108" s="22">
        <f t="shared" ref="M1108" si="1041">SUM(N1108:O1108)</f>
        <v>805000</v>
      </c>
      <c r="N1108" s="23">
        <v>450000</v>
      </c>
      <c r="O1108" s="23">
        <v>355000</v>
      </c>
      <c r="P1108" s="24">
        <f t="shared" ref="P1108" si="1042">L1108-N1108</f>
        <v>550000</v>
      </c>
      <c r="Q1108" s="25">
        <v>355000</v>
      </c>
      <c r="R1108" s="26">
        <v>150000</v>
      </c>
      <c r="S1108" s="91">
        <f t="shared" si="1039"/>
        <v>3.6666666666666665</v>
      </c>
      <c r="T1108" s="91">
        <f t="shared" si="1040"/>
        <v>2.3666666666666667</v>
      </c>
      <c r="U1108" s="27" t="s">
        <v>56</v>
      </c>
      <c r="V1108" s="19" t="s">
        <v>51</v>
      </c>
      <c r="W1108" s="20">
        <v>45985</v>
      </c>
      <c r="X1108" s="22"/>
      <c r="Y1108" s="19" t="s">
        <v>52</v>
      </c>
      <c r="Z1108" s="19" t="s">
        <v>52</v>
      </c>
      <c r="AA1108" s="19" t="s">
        <v>52</v>
      </c>
      <c r="AB1108" s="28"/>
    </row>
    <row r="1109" spans="1:33" ht="15" customHeight="1" x14ac:dyDescent="0.25">
      <c r="A1109" s="33" t="s">
        <v>71</v>
      </c>
      <c r="B1109" s="34"/>
      <c r="C1109" s="34"/>
      <c r="D1109" s="34"/>
      <c r="E1109" s="34"/>
      <c r="F1109" s="35"/>
      <c r="G1109" s="35"/>
      <c r="H1109" s="34"/>
      <c r="I1109" s="34"/>
      <c r="J1109" s="34"/>
      <c r="K1109" s="34"/>
      <c r="L1109" s="36"/>
      <c r="M1109" s="36"/>
      <c r="N1109" s="36"/>
      <c r="O1109" s="36"/>
      <c r="P1109" s="36"/>
      <c r="Q1109" s="36">
        <f>SUM(Q1105:Q1108)</f>
        <v>731000</v>
      </c>
      <c r="R1109" s="36"/>
      <c r="S1109" s="92"/>
      <c r="T1109" s="93">
        <f>SUM(T1105:T1108)</f>
        <v>6.6566666666666663</v>
      </c>
      <c r="U1109" s="37"/>
      <c r="V1109" s="38"/>
      <c r="W1109" s="38"/>
      <c r="X1109" s="38"/>
      <c r="Y1109" s="34"/>
      <c r="Z1109" s="34"/>
      <c r="AA1109" s="39"/>
      <c r="AB1109" s="29" t="s">
        <v>1037</v>
      </c>
      <c r="AC1109" s="81" t="s">
        <v>1041</v>
      </c>
      <c r="AD1109" s="83">
        <v>1666.67</v>
      </c>
      <c r="AF1109" s="83">
        <v>0</v>
      </c>
      <c r="AG1109" s="83">
        <f>SUM(AD1109,AF1109)</f>
        <v>1666.67</v>
      </c>
    </row>
    <row r="1110" spans="1:33" s="29" customFormat="1" ht="15" customHeight="1" x14ac:dyDescent="0.25">
      <c r="A1110" s="14">
        <v>37</v>
      </c>
      <c r="B1110" s="15">
        <v>46009</v>
      </c>
      <c r="C1110" s="15">
        <f>B1110+8</f>
        <v>46017</v>
      </c>
      <c r="D1110" s="14">
        <v>13914</v>
      </c>
      <c r="E1110" s="16" t="s">
        <v>312</v>
      </c>
      <c r="F1110" s="17" t="s">
        <v>313</v>
      </c>
      <c r="G1110" s="17" t="s">
        <v>102</v>
      </c>
      <c r="H1110" s="18" t="s">
        <v>57</v>
      </c>
      <c r="I1110" s="19" t="s">
        <v>94</v>
      </c>
      <c r="J1110" s="20">
        <v>45968</v>
      </c>
      <c r="K1110" s="20">
        <v>45996</v>
      </c>
      <c r="L1110" s="21">
        <v>30000</v>
      </c>
      <c r="M1110" s="22">
        <f>SUM(N1110:O1110)</f>
        <v>30000</v>
      </c>
      <c r="N1110" s="23">
        <v>0</v>
      </c>
      <c r="O1110" s="23">
        <v>30000</v>
      </c>
      <c r="P1110" s="24">
        <f>L1110-N1110</f>
        <v>30000</v>
      </c>
      <c r="Q1110" s="25">
        <v>30000</v>
      </c>
      <c r="R1110" s="26">
        <v>50000</v>
      </c>
      <c r="S1110" s="91">
        <f t="shared" ref="S1110" si="1043">IF(P1110&gt;0,P1110/$R1110,0)</f>
        <v>0.6</v>
      </c>
      <c r="T1110" s="91">
        <f t="shared" ref="T1110" si="1044">IF(Q1110&gt;0,Q1110/$R1110,0)</f>
        <v>0.6</v>
      </c>
      <c r="U1110" s="27" t="s">
        <v>192</v>
      </c>
      <c r="V1110" s="30" t="s">
        <v>59</v>
      </c>
      <c r="W1110" s="31">
        <v>46002</v>
      </c>
      <c r="X1110" s="22"/>
      <c r="Y1110" s="19" t="s">
        <v>52</v>
      </c>
      <c r="Z1110" s="19" t="s">
        <v>52</v>
      </c>
      <c r="AA1110" s="19" t="s">
        <v>52</v>
      </c>
      <c r="AB1110" s="28"/>
    </row>
    <row r="1111" spans="1:33" s="29" customFormat="1" ht="15" customHeight="1" x14ac:dyDescent="0.25">
      <c r="A1111" s="14">
        <v>2</v>
      </c>
      <c r="B1111" s="15">
        <v>46009</v>
      </c>
      <c r="C1111" s="15">
        <f>B1111+8</f>
        <v>46017</v>
      </c>
      <c r="D1111" s="14">
        <v>13976</v>
      </c>
      <c r="E1111" s="16" t="s">
        <v>953</v>
      </c>
      <c r="F1111" s="40" t="s">
        <v>201</v>
      </c>
      <c r="G1111" s="17" t="s">
        <v>75</v>
      </c>
      <c r="H1111" s="18" t="s">
        <v>57</v>
      </c>
      <c r="I1111" s="19" t="s">
        <v>58</v>
      </c>
      <c r="J1111" s="20">
        <v>45973</v>
      </c>
      <c r="K1111" s="20">
        <v>46001</v>
      </c>
      <c r="L1111" s="21">
        <v>800000</v>
      </c>
      <c r="M1111" s="22">
        <f>SUM(N1111:O1111)</f>
        <v>846000</v>
      </c>
      <c r="N1111" s="23">
        <v>450000</v>
      </c>
      <c r="O1111" s="23">
        <v>396000</v>
      </c>
      <c r="P1111" s="24">
        <f>L1111-N1111</f>
        <v>350000</v>
      </c>
      <c r="Q1111" s="25">
        <v>396000</v>
      </c>
      <c r="R1111" s="26">
        <v>150000</v>
      </c>
      <c r="S1111" s="91">
        <f t="shared" ref="S1111:S1120" si="1045">IF(P1111&gt;0,P1111/$R1111,0)</f>
        <v>2.3333333333333335</v>
      </c>
      <c r="T1111" s="91">
        <f t="shared" ref="T1111:T1120" si="1046">IF(Q1111&gt;0,Q1111/$R1111,0)</f>
        <v>2.64</v>
      </c>
      <c r="U1111" s="27" t="s">
        <v>192</v>
      </c>
      <c r="V1111" s="19" t="s">
        <v>51</v>
      </c>
      <c r="W1111" s="20">
        <v>45986</v>
      </c>
      <c r="X1111" s="22"/>
      <c r="Y1111" s="19" t="s">
        <v>52</v>
      </c>
      <c r="Z1111" s="19" t="s">
        <v>52</v>
      </c>
      <c r="AA1111" s="19" t="s">
        <v>52</v>
      </c>
      <c r="AB1111" s="28"/>
    </row>
    <row r="1112" spans="1:33" s="29" customFormat="1" ht="15" customHeight="1" x14ac:dyDescent="0.25">
      <c r="A1112" s="14">
        <v>9</v>
      </c>
      <c r="B1112" s="15">
        <v>46009</v>
      </c>
      <c r="C1112" s="15">
        <f t="shared" ref="C1112" si="1047">B1112+8</f>
        <v>46017</v>
      </c>
      <c r="D1112" s="14">
        <v>13949</v>
      </c>
      <c r="E1112" s="16" t="s">
        <v>396</v>
      </c>
      <c r="F1112" s="40" t="s">
        <v>397</v>
      </c>
      <c r="G1112" s="17" t="s">
        <v>75</v>
      </c>
      <c r="H1112" s="18" t="s">
        <v>57</v>
      </c>
      <c r="I1112" s="19" t="s">
        <v>94</v>
      </c>
      <c r="J1112" s="20">
        <v>45972</v>
      </c>
      <c r="K1112" s="20">
        <v>45999</v>
      </c>
      <c r="L1112" s="21">
        <v>1000000</v>
      </c>
      <c r="M1112" s="22">
        <f t="shared" ref="M1112" si="1048">SUM(N1112:O1112)</f>
        <v>1128000</v>
      </c>
      <c r="N1112" s="23">
        <v>480000</v>
      </c>
      <c r="O1112" s="23">
        <v>648000</v>
      </c>
      <c r="P1112" s="24">
        <f t="shared" ref="P1112" si="1049">L1112-N1112</f>
        <v>520000</v>
      </c>
      <c r="Q1112" s="25">
        <v>504000</v>
      </c>
      <c r="R1112" s="26">
        <v>150000</v>
      </c>
      <c r="S1112" s="91">
        <f t="shared" si="1045"/>
        <v>3.4666666666666668</v>
      </c>
      <c r="T1112" s="91">
        <f t="shared" si="1046"/>
        <v>3.36</v>
      </c>
      <c r="U1112" s="27" t="s">
        <v>192</v>
      </c>
      <c r="V1112" s="19" t="s">
        <v>51</v>
      </c>
      <c r="W1112" s="20">
        <v>45986</v>
      </c>
      <c r="X1112" s="22"/>
      <c r="Y1112" s="19" t="s">
        <v>52</v>
      </c>
      <c r="Z1112" s="19" t="s">
        <v>52</v>
      </c>
      <c r="AA1112" s="19" t="s">
        <v>52</v>
      </c>
      <c r="AB1112" s="28"/>
    </row>
    <row r="1113" spans="1:33" s="29" customFormat="1" ht="15" customHeight="1" x14ac:dyDescent="0.25">
      <c r="A1113" s="14">
        <v>8</v>
      </c>
      <c r="B1113" s="15">
        <v>46009</v>
      </c>
      <c r="C1113" s="15">
        <f>B1113+8</f>
        <v>46017</v>
      </c>
      <c r="D1113" s="14">
        <v>13950</v>
      </c>
      <c r="E1113" s="16" t="s">
        <v>398</v>
      </c>
      <c r="F1113" s="40" t="s">
        <v>399</v>
      </c>
      <c r="G1113" s="17" t="s">
        <v>75</v>
      </c>
      <c r="H1113" s="18" t="s">
        <v>57</v>
      </c>
      <c r="I1113" s="19" t="s">
        <v>94</v>
      </c>
      <c r="J1113" s="20">
        <v>45972</v>
      </c>
      <c r="K1113" s="20">
        <v>45999</v>
      </c>
      <c r="L1113" s="21">
        <v>1000000</v>
      </c>
      <c r="M1113" s="22">
        <f t="shared" ref="M1113:M1118" si="1050">SUM(N1113:O1113)</f>
        <v>720000</v>
      </c>
      <c r="N1113" s="23">
        <v>240000</v>
      </c>
      <c r="O1113" s="23">
        <v>480000</v>
      </c>
      <c r="P1113" s="24">
        <f t="shared" ref="P1113:P1118" si="1051">L1113-N1113</f>
        <v>760000</v>
      </c>
      <c r="Q1113" s="25">
        <v>288000</v>
      </c>
      <c r="R1113" s="26">
        <v>150000</v>
      </c>
      <c r="S1113" s="91">
        <f t="shared" si="1045"/>
        <v>5.0666666666666664</v>
      </c>
      <c r="T1113" s="91">
        <f t="shared" si="1046"/>
        <v>1.92</v>
      </c>
      <c r="U1113" s="27" t="s">
        <v>192</v>
      </c>
      <c r="V1113" s="30" t="s">
        <v>59</v>
      </c>
      <c r="W1113" s="31">
        <v>46002</v>
      </c>
      <c r="X1113" s="22"/>
      <c r="Y1113" s="19" t="s">
        <v>52</v>
      </c>
      <c r="Z1113" s="19" t="s">
        <v>52</v>
      </c>
      <c r="AA1113" s="19" t="s">
        <v>52</v>
      </c>
      <c r="AB1113" s="28"/>
    </row>
    <row r="1114" spans="1:33" s="29" customFormat="1" ht="15" customHeight="1" x14ac:dyDescent="0.25">
      <c r="A1114" s="14">
        <v>18</v>
      </c>
      <c r="B1114" s="15">
        <v>46009</v>
      </c>
      <c r="C1114" s="15">
        <f t="shared" ref="C1114" si="1052">B1114+8</f>
        <v>46017</v>
      </c>
      <c r="D1114" s="14">
        <v>14134</v>
      </c>
      <c r="E1114" s="16" t="s">
        <v>303</v>
      </c>
      <c r="F1114" s="40" t="s">
        <v>304</v>
      </c>
      <c r="G1114" s="17" t="s">
        <v>75</v>
      </c>
      <c r="H1114" s="18" t="s">
        <v>57</v>
      </c>
      <c r="I1114" s="19" t="s">
        <v>64</v>
      </c>
      <c r="J1114" s="20">
        <v>45995</v>
      </c>
      <c r="K1114" s="20">
        <v>46022</v>
      </c>
      <c r="L1114" s="21">
        <v>500000</v>
      </c>
      <c r="M1114" s="22">
        <f t="shared" si="1050"/>
        <v>300000</v>
      </c>
      <c r="N1114" s="23">
        <v>0</v>
      </c>
      <c r="O1114" s="23">
        <v>300000</v>
      </c>
      <c r="P1114" s="24">
        <f t="shared" si="1051"/>
        <v>500000</v>
      </c>
      <c r="Q1114" s="25">
        <v>250000</v>
      </c>
      <c r="R1114" s="26">
        <v>48000</v>
      </c>
      <c r="S1114" s="91">
        <f t="shared" si="1045"/>
        <v>10.416666666666666</v>
      </c>
      <c r="T1114" s="91">
        <f t="shared" si="1046"/>
        <v>5.208333333333333</v>
      </c>
      <c r="U1114" s="27" t="s">
        <v>192</v>
      </c>
      <c r="V1114" s="30" t="s">
        <v>59</v>
      </c>
      <c r="W1114" s="31">
        <v>46011</v>
      </c>
      <c r="X1114" s="22"/>
      <c r="Y1114" s="19" t="s">
        <v>52</v>
      </c>
      <c r="Z1114" s="19" t="s">
        <v>52</v>
      </c>
      <c r="AA1114" s="19" t="s">
        <v>52</v>
      </c>
      <c r="AB1114" s="28"/>
    </row>
    <row r="1115" spans="1:33" s="29" customFormat="1" ht="15" customHeight="1" x14ac:dyDescent="0.25">
      <c r="A1115" s="14">
        <v>87</v>
      </c>
      <c r="B1115" s="15">
        <v>46009</v>
      </c>
      <c r="C1115" s="15">
        <f>B1115+8</f>
        <v>46017</v>
      </c>
      <c r="D1115" s="14">
        <v>13577</v>
      </c>
      <c r="E1115" s="16" t="s">
        <v>626</v>
      </c>
      <c r="F1115" s="17" t="s">
        <v>627</v>
      </c>
      <c r="G1115" s="17" t="s">
        <v>102</v>
      </c>
      <c r="H1115" s="18" t="s">
        <v>57</v>
      </c>
      <c r="I1115" s="19" t="s">
        <v>94</v>
      </c>
      <c r="J1115" s="20">
        <v>45910</v>
      </c>
      <c r="K1115" s="20">
        <v>45945</v>
      </c>
      <c r="L1115" s="21">
        <v>150000</v>
      </c>
      <c r="M1115" s="22">
        <f t="shared" si="1050"/>
        <v>156000</v>
      </c>
      <c r="N1115" s="23">
        <v>122000</v>
      </c>
      <c r="O1115" s="23">
        <v>34000</v>
      </c>
      <c r="P1115" s="24">
        <f t="shared" si="1051"/>
        <v>28000</v>
      </c>
      <c r="Q1115" s="25">
        <v>34000</v>
      </c>
      <c r="R1115" s="26">
        <v>50000</v>
      </c>
      <c r="S1115" s="91">
        <f t="shared" si="1045"/>
        <v>0.56000000000000005</v>
      </c>
      <c r="T1115" s="91">
        <f t="shared" si="1046"/>
        <v>0.68</v>
      </c>
      <c r="U1115" s="27" t="s">
        <v>192</v>
      </c>
      <c r="V1115" s="19" t="s">
        <v>51</v>
      </c>
      <c r="W1115" s="20">
        <v>45925</v>
      </c>
      <c r="X1115" s="22"/>
      <c r="Y1115" s="19" t="s">
        <v>52</v>
      </c>
      <c r="Z1115" s="19" t="s">
        <v>52</v>
      </c>
      <c r="AA1115" s="19" t="s">
        <v>52</v>
      </c>
      <c r="AB1115" s="28"/>
    </row>
    <row r="1116" spans="1:33" s="29" customFormat="1" ht="15" customHeight="1" x14ac:dyDescent="0.25">
      <c r="A1116" s="14">
        <v>9</v>
      </c>
      <c r="B1116" s="15">
        <v>46009</v>
      </c>
      <c r="C1116" s="15">
        <f>B1116+8</f>
        <v>46017</v>
      </c>
      <c r="D1116" s="14">
        <v>13618</v>
      </c>
      <c r="E1116" s="16" t="s">
        <v>709</v>
      </c>
      <c r="F1116" s="17" t="s">
        <v>710</v>
      </c>
      <c r="G1116" s="17" t="s">
        <v>47</v>
      </c>
      <c r="H1116" s="18" t="s">
        <v>542</v>
      </c>
      <c r="I1116" s="19" t="s">
        <v>49</v>
      </c>
      <c r="J1116" s="20">
        <v>45917</v>
      </c>
      <c r="K1116" s="20">
        <v>45944</v>
      </c>
      <c r="L1116" s="21">
        <v>50000</v>
      </c>
      <c r="M1116" s="22">
        <f t="shared" si="1050"/>
        <v>50000</v>
      </c>
      <c r="N1116" s="23">
        <v>0</v>
      </c>
      <c r="O1116" s="23">
        <v>50000</v>
      </c>
      <c r="P1116" s="24">
        <f t="shared" si="1051"/>
        <v>50000</v>
      </c>
      <c r="Q1116" s="25">
        <v>50000</v>
      </c>
      <c r="R1116" s="26">
        <v>72000</v>
      </c>
      <c r="S1116" s="91">
        <f t="shared" si="1045"/>
        <v>0.69444444444444442</v>
      </c>
      <c r="T1116" s="91">
        <f t="shared" si="1046"/>
        <v>0.69444444444444442</v>
      </c>
      <c r="U1116" s="27" t="s">
        <v>192</v>
      </c>
      <c r="V1116" s="19" t="s">
        <v>51</v>
      </c>
      <c r="W1116" s="20">
        <v>45929</v>
      </c>
      <c r="X1116" s="22"/>
      <c r="Y1116" s="19" t="s">
        <v>52</v>
      </c>
      <c r="Z1116" s="19" t="s">
        <v>52</v>
      </c>
      <c r="AA1116" s="19" t="s">
        <v>52</v>
      </c>
      <c r="AB1116" s="42"/>
    </row>
    <row r="1117" spans="1:33" s="29" customFormat="1" ht="15" customHeight="1" x14ac:dyDescent="0.25">
      <c r="A1117" s="14">
        <v>60</v>
      </c>
      <c r="B1117" s="15">
        <v>46009</v>
      </c>
      <c r="C1117" s="15">
        <f>B1117+8</f>
        <v>46017</v>
      </c>
      <c r="D1117" s="14">
        <v>13259</v>
      </c>
      <c r="E1117" s="16" t="s">
        <v>721</v>
      </c>
      <c r="F1117" s="17" t="s">
        <v>124</v>
      </c>
      <c r="G1117" s="17" t="s">
        <v>102</v>
      </c>
      <c r="H1117" s="18" t="s">
        <v>57</v>
      </c>
      <c r="I1117" s="19" t="s">
        <v>58</v>
      </c>
      <c r="J1117" s="20">
        <v>45849</v>
      </c>
      <c r="K1117" s="20">
        <v>45876</v>
      </c>
      <c r="L1117" s="21">
        <v>400000</v>
      </c>
      <c r="M1117" s="22">
        <f t="shared" si="1050"/>
        <v>462000</v>
      </c>
      <c r="N1117" s="23">
        <v>408000</v>
      </c>
      <c r="O1117" s="23">
        <v>54000</v>
      </c>
      <c r="P1117" s="24">
        <f t="shared" si="1051"/>
        <v>-8000</v>
      </c>
      <c r="Q1117" s="25">
        <v>54000</v>
      </c>
      <c r="R1117" s="26">
        <v>36000</v>
      </c>
      <c r="S1117" s="91">
        <f t="shared" si="1045"/>
        <v>0</v>
      </c>
      <c r="T1117" s="91">
        <f t="shared" si="1046"/>
        <v>1.5</v>
      </c>
      <c r="U1117" s="27" t="s">
        <v>192</v>
      </c>
      <c r="V1117" s="19" t="s">
        <v>51</v>
      </c>
      <c r="W1117" s="20">
        <v>45868</v>
      </c>
      <c r="X1117" s="22"/>
      <c r="Y1117" s="19" t="s">
        <v>52</v>
      </c>
      <c r="Z1117" s="19" t="s">
        <v>52</v>
      </c>
      <c r="AA1117" s="19" t="s">
        <v>52</v>
      </c>
      <c r="AB1117" s="28"/>
    </row>
    <row r="1118" spans="1:33" s="29" customFormat="1" ht="15" customHeight="1" x14ac:dyDescent="0.25">
      <c r="A1118" s="14">
        <v>9</v>
      </c>
      <c r="B1118" s="15">
        <v>46009</v>
      </c>
      <c r="C1118" s="15">
        <f>B1118+8</f>
        <v>46017</v>
      </c>
      <c r="D1118" s="14">
        <v>13949</v>
      </c>
      <c r="E1118" s="16" t="s">
        <v>396</v>
      </c>
      <c r="F1118" s="40" t="s">
        <v>397</v>
      </c>
      <c r="G1118" s="17" t="s">
        <v>75</v>
      </c>
      <c r="H1118" s="18" t="s">
        <v>57</v>
      </c>
      <c r="I1118" s="19" t="s">
        <v>94</v>
      </c>
      <c r="J1118" s="20">
        <v>45972</v>
      </c>
      <c r="K1118" s="20">
        <v>45999</v>
      </c>
      <c r="L1118" s="21">
        <v>1000000</v>
      </c>
      <c r="M1118" s="22">
        <f t="shared" si="1050"/>
        <v>1128000</v>
      </c>
      <c r="N1118" s="23">
        <v>480000</v>
      </c>
      <c r="O1118" s="23">
        <v>648000</v>
      </c>
      <c r="P1118" s="24">
        <f t="shared" si="1051"/>
        <v>520000</v>
      </c>
      <c r="Q1118" s="25">
        <v>144000</v>
      </c>
      <c r="R1118" s="26">
        <v>150000</v>
      </c>
      <c r="S1118" s="91">
        <f t="shared" si="1045"/>
        <v>3.4666666666666668</v>
      </c>
      <c r="T1118" s="91">
        <f t="shared" si="1046"/>
        <v>0.96</v>
      </c>
      <c r="U1118" s="27" t="s">
        <v>56</v>
      </c>
      <c r="V1118" s="19" t="s">
        <v>51</v>
      </c>
      <c r="W1118" s="20">
        <v>45986</v>
      </c>
      <c r="X1118" s="22"/>
      <c r="Y1118" s="19" t="s">
        <v>52</v>
      </c>
      <c r="Z1118" s="19" t="s">
        <v>52</v>
      </c>
      <c r="AA1118" s="19" t="s">
        <v>52</v>
      </c>
      <c r="AB1118" s="28"/>
    </row>
    <row r="1119" spans="1:33" s="29" customFormat="1" ht="15" customHeight="1" x14ac:dyDescent="0.25">
      <c r="A1119" s="14">
        <v>8</v>
      </c>
      <c r="B1119" s="15">
        <v>46009</v>
      </c>
      <c r="C1119" s="15">
        <f t="shared" ref="C1119" si="1053">B1119+8</f>
        <v>46017</v>
      </c>
      <c r="D1119" s="14">
        <v>13950</v>
      </c>
      <c r="E1119" s="16" t="s">
        <v>398</v>
      </c>
      <c r="F1119" s="40" t="s">
        <v>399</v>
      </c>
      <c r="G1119" s="17" t="s">
        <v>75</v>
      </c>
      <c r="H1119" s="18" t="s">
        <v>57</v>
      </c>
      <c r="I1119" s="19" t="s">
        <v>94</v>
      </c>
      <c r="J1119" s="20">
        <v>45972</v>
      </c>
      <c r="K1119" s="20">
        <v>45999</v>
      </c>
      <c r="L1119" s="21">
        <v>1000000</v>
      </c>
      <c r="M1119" s="22">
        <f t="shared" ref="M1119" si="1054">SUM(N1119:O1119)</f>
        <v>528000</v>
      </c>
      <c r="N1119" s="23">
        <v>240000</v>
      </c>
      <c r="O1119" s="23">
        <v>288000</v>
      </c>
      <c r="P1119" s="24">
        <f t="shared" ref="P1119" si="1055">L1119-N1119</f>
        <v>760000</v>
      </c>
      <c r="Q1119" s="25">
        <v>288000</v>
      </c>
      <c r="R1119" s="26">
        <v>150000</v>
      </c>
      <c r="S1119" s="91">
        <f t="shared" si="1045"/>
        <v>5.0666666666666664</v>
      </c>
      <c r="T1119" s="91">
        <f t="shared" si="1046"/>
        <v>1.92</v>
      </c>
      <c r="U1119" s="27" t="s">
        <v>56</v>
      </c>
      <c r="V1119" s="19" t="s">
        <v>51</v>
      </c>
      <c r="W1119" s="20">
        <v>45999</v>
      </c>
      <c r="X1119" s="22"/>
      <c r="Y1119" s="19" t="s">
        <v>52</v>
      </c>
      <c r="Z1119" s="19" t="s">
        <v>52</v>
      </c>
      <c r="AA1119" s="19" t="s">
        <v>52</v>
      </c>
      <c r="AB1119" s="28"/>
    </row>
    <row r="1120" spans="1:33" s="29" customFormat="1" ht="15" customHeight="1" x14ac:dyDescent="0.25">
      <c r="A1120" s="14">
        <v>16</v>
      </c>
      <c r="B1120" s="15">
        <v>46009</v>
      </c>
      <c r="C1120" s="15">
        <f>B1120+8</f>
        <v>46017</v>
      </c>
      <c r="D1120" s="14">
        <v>14005</v>
      </c>
      <c r="E1120" s="16" t="s">
        <v>353</v>
      </c>
      <c r="F1120" s="40" t="s">
        <v>354</v>
      </c>
      <c r="G1120" s="17" t="s">
        <v>75</v>
      </c>
      <c r="H1120" s="18" t="s">
        <v>78</v>
      </c>
      <c r="I1120" s="19" t="s">
        <v>79</v>
      </c>
      <c r="J1120" s="20">
        <v>45979</v>
      </c>
      <c r="K1120" s="20">
        <v>46014</v>
      </c>
      <c r="L1120" s="21">
        <v>1880000</v>
      </c>
      <c r="M1120" s="22">
        <f t="shared" ref="M1120" si="1056">SUM(N1120:O1120)</f>
        <v>120000</v>
      </c>
      <c r="N1120" s="23">
        <v>0</v>
      </c>
      <c r="O1120" s="23">
        <v>120000</v>
      </c>
      <c r="P1120" s="24">
        <f>L1120-N1120</f>
        <v>1880000</v>
      </c>
      <c r="Q1120" s="25">
        <v>120000</v>
      </c>
      <c r="R1120" s="26">
        <v>84000</v>
      </c>
      <c r="S1120" s="91">
        <f t="shared" si="1045"/>
        <v>22.38095238095238</v>
      </c>
      <c r="T1120" s="91">
        <f t="shared" si="1046"/>
        <v>1.4285714285714286</v>
      </c>
      <c r="U1120" s="27" t="s">
        <v>56</v>
      </c>
      <c r="V1120" s="30" t="s">
        <v>59</v>
      </c>
      <c r="W1120" s="31">
        <v>46006</v>
      </c>
      <c r="X1120" s="22"/>
      <c r="Y1120" s="19" t="s">
        <v>52</v>
      </c>
      <c r="Z1120" s="19" t="s">
        <v>52</v>
      </c>
      <c r="AA1120" s="19" t="s">
        <v>52</v>
      </c>
      <c r="AB1120" s="28"/>
    </row>
    <row r="1121" spans="1:33" ht="15" customHeight="1" x14ac:dyDescent="0.25">
      <c r="A1121" s="33" t="s">
        <v>71</v>
      </c>
      <c r="B1121" s="34"/>
      <c r="C1121" s="34"/>
      <c r="D1121" s="34"/>
      <c r="E1121" s="34"/>
      <c r="F1121" s="35"/>
      <c r="G1121" s="35"/>
      <c r="H1121" s="34"/>
      <c r="I1121" s="34"/>
      <c r="J1121" s="34"/>
      <c r="K1121" s="34"/>
      <c r="L1121" s="36"/>
      <c r="M1121" s="36"/>
      <c r="N1121" s="36"/>
      <c r="O1121" s="36"/>
      <c r="P1121" s="36"/>
      <c r="Q1121" s="36">
        <f>SUM(Q1110:Q1120)</f>
        <v>2158000</v>
      </c>
      <c r="R1121" s="36"/>
      <c r="S1121" s="92"/>
      <c r="T1121" s="93">
        <f>SUM(T1110:T1120)</f>
        <v>20.911349206349204</v>
      </c>
      <c r="U1121" s="37"/>
      <c r="V1121" s="38"/>
      <c r="W1121" s="38"/>
      <c r="X1121" s="38"/>
      <c r="Y1121" s="34"/>
      <c r="Z1121" s="34"/>
      <c r="AA1121" s="39"/>
      <c r="AB1121" s="29" t="s">
        <v>1040</v>
      </c>
      <c r="AC1121" s="81" t="s">
        <v>1044</v>
      </c>
      <c r="AD1121" s="83">
        <v>5000</v>
      </c>
      <c r="AF1121" s="83">
        <v>0</v>
      </c>
      <c r="AG1121" s="83">
        <f>SUM(AD1121,AF1121)</f>
        <v>5000</v>
      </c>
    </row>
    <row r="1122" spans="1:33" s="29" customFormat="1" ht="15" customHeight="1" x14ac:dyDescent="0.25">
      <c r="A1122" s="14">
        <v>4</v>
      </c>
      <c r="B1122" s="15">
        <v>46014</v>
      </c>
      <c r="C1122" s="15">
        <f t="shared" ref="C1122" si="1057">B1122+8</f>
        <v>46022</v>
      </c>
      <c r="D1122" s="14">
        <v>13443</v>
      </c>
      <c r="E1122" s="16" t="s">
        <v>428</v>
      </c>
      <c r="F1122" s="17" t="s">
        <v>429</v>
      </c>
      <c r="G1122" s="17" t="s">
        <v>47</v>
      </c>
      <c r="H1122" s="18" t="s">
        <v>542</v>
      </c>
      <c r="I1122" s="19" t="s">
        <v>70</v>
      </c>
      <c r="J1122" s="20">
        <v>45887</v>
      </c>
      <c r="K1122" s="20">
        <v>45968</v>
      </c>
      <c r="L1122" s="21">
        <v>1250000</v>
      </c>
      <c r="M1122" s="22">
        <f t="shared" ref="M1122:M1124" si="1058">SUM(N1122:O1122)</f>
        <v>1360000</v>
      </c>
      <c r="N1122" s="23">
        <v>1000000</v>
      </c>
      <c r="O1122" s="23">
        <v>360000</v>
      </c>
      <c r="P1122" s="24">
        <f t="shared" ref="P1122" si="1059">L1122-N1122</f>
        <v>250000</v>
      </c>
      <c r="Q1122" s="25">
        <v>360000</v>
      </c>
      <c r="R1122" s="26">
        <v>50000</v>
      </c>
      <c r="S1122" s="91">
        <f t="shared" ref="S1122:S1124" si="1060">IF(P1122&gt;0,P1122/$R1122,0)</f>
        <v>5</v>
      </c>
      <c r="T1122" s="91">
        <f t="shared" ref="T1122:T1124" si="1061">IF(Q1122&gt;0,Q1122/$R1122,0)</f>
        <v>7.2</v>
      </c>
      <c r="U1122" s="27" t="s">
        <v>254</v>
      </c>
      <c r="V1122" s="19" t="s">
        <v>51</v>
      </c>
      <c r="W1122" s="20">
        <v>45959</v>
      </c>
      <c r="X1122" s="22"/>
      <c r="Y1122" s="19" t="s">
        <v>52</v>
      </c>
      <c r="Z1122" s="19" t="s">
        <v>52</v>
      </c>
      <c r="AA1122" s="19" t="s">
        <v>52</v>
      </c>
      <c r="AB1122" s="42"/>
    </row>
    <row r="1123" spans="1:33" s="29" customFormat="1" ht="15" customHeight="1" x14ac:dyDescent="0.25">
      <c r="A1123" s="14">
        <v>85</v>
      </c>
      <c r="B1123" s="15">
        <v>46014</v>
      </c>
      <c r="C1123" s="15">
        <f>B1123+8</f>
        <v>46022</v>
      </c>
      <c r="D1123" s="14">
        <v>13938</v>
      </c>
      <c r="E1123" s="16" t="s">
        <v>130</v>
      </c>
      <c r="F1123" s="17" t="s">
        <v>250</v>
      </c>
      <c r="G1123" s="17" t="s">
        <v>102</v>
      </c>
      <c r="H1123" s="18" t="s">
        <v>542</v>
      </c>
      <c r="I1123" s="19" t="s">
        <v>70</v>
      </c>
      <c r="J1123" s="20">
        <v>45973</v>
      </c>
      <c r="K1123" s="20">
        <v>46050</v>
      </c>
      <c r="L1123" s="21">
        <v>375000</v>
      </c>
      <c r="M1123" s="22">
        <f t="shared" si="1058"/>
        <v>396000</v>
      </c>
      <c r="N1123" s="23">
        <v>0</v>
      </c>
      <c r="O1123" s="23">
        <v>396000</v>
      </c>
      <c r="P1123" s="24">
        <f>L1123-N1123</f>
        <v>375000</v>
      </c>
      <c r="Q1123" s="25">
        <v>375000</v>
      </c>
      <c r="R1123" s="26">
        <v>50000</v>
      </c>
      <c r="S1123" s="91">
        <f t="shared" si="1060"/>
        <v>7.5</v>
      </c>
      <c r="T1123" s="91">
        <f t="shared" si="1061"/>
        <v>7.5</v>
      </c>
      <c r="U1123" s="27" t="s">
        <v>254</v>
      </c>
      <c r="V1123" s="19" t="s">
        <v>51</v>
      </c>
      <c r="W1123" s="20">
        <v>45996</v>
      </c>
      <c r="X1123" s="22"/>
      <c r="Y1123" s="19" t="s">
        <v>52</v>
      </c>
      <c r="Z1123" s="19" t="s">
        <v>52</v>
      </c>
      <c r="AA1123" s="19" t="s">
        <v>52</v>
      </c>
      <c r="AB1123" s="28"/>
    </row>
    <row r="1124" spans="1:33" s="29" customFormat="1" ht="15" customHeight="1" x14ac:dyDescent="0.25">
      <c r="A1124" s="14">
        <v>16</v>
      </c>
      <c r="B1124" s="15">
        <v>46014</v>
      </c>
      <c r="C1124" s="15">
        <f>B1124+8</f>
        <v>46022</v>
      </c>
      <c r="D1124" s="14">
        <v>14005</v>
      </c>
      <c r="E1124" s="16" t="s">
        <v>353</v>
      </c>
      <c r="F1124" s="40" t="s">
        <v>354</v>
      </c>
      <c r="G1124" s="17" t="s">
        <v>75</v>
      </c>
      <c r="H1124" s="18" t="s">
        <v>78</v>
      </c>
      <c r="I1124" s="19" t="s">
        <v>79</v>
      </c>
      <c r="J1124" s="20">
        <v>45979</v>
      </c>
      <c r="K1124" s="20">
        <v>46014</v>
      </c>
      <c r="L1124" s="21">
        <v>1880000</v>
      </c>
      <c r="M1124" s="22">
        <f t="shared" si="1058"/>
        <v>600000</v>
      </c>
      <c r="N1124" s="23">
        <v>120000</v>
      </c>
      <c r="O1124" s="23">
        <v>480000</v>
      </c>
      <c r="P1124" s="24">
        <f>L1124-N1124</f>
        <v>1760000</v>
      </c>
      <c r="Q1124" s="25">
        <v>480000</v>
      </c>
      <c r="R1124" s="26">
        <v>84000</v>
      </c>
      <c r="S1124" s="91">
        <f t="shared" si="1060"/>
        <v>20.952380952380953</v>
      </c>
      <c r="T1124" s="91">
        <f t="shared" si="1061"/>
        <v>5.7142857142857144</v>
      </c>
      <c r="U1124" s="27" t="s">
        <v>56</v>
      </c>
      <c r="V1124" s="30" t="s">
        <v>59</v>
      </c>
      <c r="W1124" s="31">
        <v>46006</v>
      </c>
      <c r="X1124" s="22"/>
      <c r="Y1124" s="19" t="s">
        <v>52</v>
      </c>
      <c r="Z1124" s="19" t="s">
        <v>52</v>
      </c>
      <c r="AA1124" s="19" t="s">
        <v>52</v>
      </c>
      <c r="AB1124" s="28"/>
    </row>
    <row r="1125" spans="1:33" ht="15" customHeight="1" x14ac:dyDescent="0.25">
      <c r="A1125" s="33" t="s">
        <v>71</v>
      </c>
      <c r="B1125" s="34"/>
      <c r="C1125" s="34"/>
      <c r="D1125" s="34"/>
      <c r="E1125" s="34"/>
      <c r="F1125" s="35"/>
      <c r="G1125" s="35"/>
      <c r="H1125" s="34"/>
      <c r="I1125" s="34"/>
      <c r="J1125" s="34"/>
      <c r="K1125" s="34"/>
      <c r="L1125" s="36"/>
      <c r="M1125" s="36"/>
      <c r="N1125" s="36"/>
      <c r="O1125" s="36"/>
      <c r="P1125" s="36"/>
      <c r="Q1125" s="36">
        <f>SUM(Q1122:Q1124)</f>
        <v>1215000</v>
      </c>
      <c r="R1125" s="36"/>
      <c r="S1125" s="92"/>
      <c r="T1125" s="93">
        <f>SUM(T1122:T1124)</f>
        <v>20.414285714285715</v>
      </c>
      <c r="U1125" s="37"/>
      <c r="V1125" s="38"/>
      <c r="W1125" s="38"/>
      <c r="X1125" s="38"/>
      <c r="Y1125" s="34"/>
      <c r="Z1125" s="34"/>
      <c r="AA1125" s="39"/>
      <c r="AB1125" s="29" t="s">
        <v>1045</v>
      </c>
      <c r="AC1125" s="81" t="s">
        <v>1068</v>
      </c>
      <c r="AD1125" s="83">
        <v>4583.33</v>
      </c>
      <c r="AF1125" s="83">
        <v>0</v>
      </c>
      <c r="AG1125" s="83">
        <f>SUM(AD1125,AF1125)</f>
        <v>4583.33</v>
      </c>
    </row>
    <row r="1126" spans="1:33" s="29" customFormat="1" ht="15" customHeight="1" x14ac:dyDescent="0.25">
      <c r="A1126" s="14">
        <v>1</v>
      </c>
      <c r="B1126" s="15">
        <v>46017</v>
      </c>
      <c r="C1126" s="15">
        <f>B1126+8</f>
        <v>46025</v>
      </c>
      <c r="D1126" s="14">
        <v>13902</v>
      </c>
      <c r="E1126" s="16" t="s">
        <v>944</v>
      </c>
      <c r="F1126" s="17" t="s">
        <v>710</v>
      </c>
      <c r="G1126" s="17" t="s">
        <v>47</v>
      </c>
      <c r="H1126" s="18" t="s">
        <v>542</v>
      </c>
      <c r="I1126" s="19" t="s">
        <v>49</v>
      </c>
      <c r="J1126" s="20">
        <v>45966</v>
      </c>
      <c r="K1126" s="20">
        <v>45992</v>
      </c>
      <c r="L1126" s="21">
        <v>50000</v>
      </c>
      <c r="M1126" s="22">
        <f>SUM(N1126:O1126)</f>
        <v>48000</v>
      </c>
      <c r="N1126" s="23">
        <v>0</v>
      </c>
      <c r="O1126" s="23">
        <v>48000</v>
      </c>
      <c r="P1126" s="24">
        <f>L1126-N1126</f>
        <v>50000</v>
      </c>
      <c r="Q1126" s="25">
        <v>48000</v>
      </c>
      <c r="R1126" s="26">
        <v>72000</v>
      </c>
      <c r="S1126" s="91">
        <f t="shared" ref="S1126:S1133" si="1062">IF(P1126&gt;0,P1126/$R1126,0)</f>
        <v>0.69444444444444442</v>
      </c>
      <c r="T1126" s="91">
        <f t="shared" ref="T1126:T1133" si="1063">IF(Q1126&gt;0,Q1126/$R1126,0)</f>
        <v>0.66666666666666663</v>
      </c>
      <c r="U1126" s="27" t="s">
        <v>192</v>
      </c>
      <c r="V1126" s="19" t="s">
        <v>51</v>
      </c>
      <c r="W1126" s="20">
        <v>45983</v>
      </c>
      <c r="X1126" s="22"/>
      <c r="Y1126" s="19" t="s">
        <v>52</v>
      </c>
      <c r="Z1126" s="19" t="s">
        <v>52</v>
      </c>
      <c r="AA1126" s="19" t="s">
        <v>52</v>
      </c>
      <c r="AB1126" s="42"/>
    </row>
    <row r="1127" spans="1:33" s="29" customFormat="1" ht="15" customHeight="1" x14ac:dyDescent="0.25">
      <c r="A1127" s="14">
        <v>37</v>
      </c>
      <c r="B1127" s="15">
        <v>46017</v>
      </c>
      <c r="C1127" s="15">
        <f>B1127+8</f>
        <v>46025</v>
      </c>
      <c r="D1127" s="14">
        <v>13978</v>
      </c>
      <c r="E1127" s="16" t="s">
        <v>737</v>
      </c>
      <c r="F1127" s="17" t="s">
        <v>952</v>
      </c>
      <c r="G1127" s="17" t="s">
        <v>102</v>
      </c>
      <c r="H1127" s="18" t="s">
        <v>57</v>
      </c>
      <c r="I1127" s="19" t="s">
        <v>58</v>
      </c>
      <c r="J1127" s="20">
        <v>45973</v>
      </c>
      <c r="K1127" s="20">
        <v>46001</v>
      </c>
      <c r="L1127" s="21">
        <v>2000000</v>
      </c>
      <c r="M1127" s="22">
        <f t="shared" ref="M1127" si="1064">SUM(N1127:O1127)</f>
        <v>1991000</v>
      </c>
      <c r="N1127" s="23">
        <v>1344000</v>
      </c>
      <c r="O1127" s="23">
        <v>647000</v>
      </c>
      <c r="P1127" s="24">
        <f>L1127-N1127</f>
        <v>656000</v>
      </c>
      <c r="Q1127" s="25">
        <v>647000</v>
      </c>
      <c r="R1127" s="26">
        <v>42000</v>
      </c>
      <c r="S1127" s="91">
        <f t="shared" si="1062"/>
        <v>15.619047619047619</v>
      </c>
      <c r="T1127" s="91">
        <f t="shared" si="1063"/>
        <v>15.404761904761905</v>
      </c>
      <c r="U1127" s="27" t="s">
        <v>192</v>
      </c>
      <c r="V1127" s="19" t="s">
        <v>51</v>
      </c>
      <c r="W1127" s="20">
        <v>45991</v>
      </c>
      <c r="X1127" s="22"/>
      <c r="Y1127" s="19" t="s">
        <v>52</v>
      </c>
      <c r="Z1127" s="19" t="s">
        <v>52</v>
      </c>
      <c r="AA1127" s="19" t="s">
        <v>52</v>
      </c>
      <c r="AB1127" s="28"/>
    </row>
    <row r="1128" spans="1:33" s="29" customFormat="1" ht="15" customHeight="1" x14ac:dyDescent="0.25">
      <c r="A1128" s="14">
        <v>1</v>
      </c>
      <c r="B1128" s="15">
        <v>46017</v>
      </c>
      <c r="C1128" s="15">
        <f>B1128+8</f>
        <v>46025</v>
      </c>
      <c r="D1128" s="14">
        <v>13966</v>
      </c>
      <c r="E1128" s="16" t="s">
        <v>236</v>
      </c>
      <c r="F1128" s="40" t="s">
        <v>237</v>
      </c>
      <c r="G1128" s="17" t="s">
        <v>75</v>
      </c>
      <c r="H1128" s="18" t="s">
        <v>62</v>
      </c>
      <c r="I1128" s="19" t="s">
        <v>63</v>
      </c>
      <c r="J1128" s="20">
        <v>45972</v>
      </c>
      <c r="K1128" s="20">
        <v>45995</v>
      </c>
      <c r="L1128" s="21">
        <v>300000</v>
      </c>
      <c r="M1128" s="22">
        <f>SUM(N1128:O1128)</f>
        <v>246000</v>
      </c>
      <c r="N1128" s="23">
        <v>150000</v>
      </c>
      <c r="O1128" s="23">
        <v>96000</v>
      </c>
      <c r="P1128" s="24">
        <f>L1128-N1128</f>
        <v>150000</v>
      </c>
      <c r="Q1128" s="25">
        <v>96000</v>
      </c>
      <c r="R1128" s="26">
        <v>150000</v>
      </c>
      <c r="S1128" s="91">
        <f t="shared" si="1062"/>
        <v>1</v>
      </c>
      <c r="T1128" s="91">
        <f t="shared" si="1063"/>
        <v>0.64</v>
      </c>
      <c r="U1128" s="27" t="s">
        <v>192</v>
      </c>
      <c r="V1128" s="19" t="s">
        <v>51</v>
      </c>
      <c r="W1128" s="20">
        <v>45999</v>
      </c>
      <c r="X1128" s="22"/>
      <c r="Y1128" s="19" t="s">
        <v>52</v>
      </c>
      <c r="Z1128" s="19" t="s">
        <v>52</v>
      </c>
      <c r="AA1128" s="19" t="s">
        <v>52</v>
      </c>
      <c r="AB1128" s="28"/>
    </row>
    <row r="1129" spans="1:33" s="29" customFormat="1" ht="15" customHeight="1" x14ac:dyDescent="0.25">
      <c r="A1129" s="14">
        <v>8</v>
      </c>
      <c r="B1129" s="15">
        <v>46017</v>
      </c>
      <c r="C1129" s="15">
        <f t="shared" ref="C1129" si="1065">B1129+8</f>
        <v>46025</v>
      </c>
      <c r="D1129" s="14">
        <v>13983</v>
      </c>
      <c r="E1129" s="16" t="s">
        <v>206</v>
      </c>
      <c r="F1129" s="40" t="s">
        <v>207</v>
      </c>
      <c r="G1129" s="17" t="s">
        <v>75</v>
      </c>
      <c r="H1129" s="18" t="s">
        <v>542</v>
      </c>
      <c r="I1129" s="19" t="s">
        <v>49</v>
      </c>
      <c r="J1129" s="20">
        <v>45975</v>
      </c>
      <c r="K1129" s="20">
        <v>46003</v>
      </c>
      <c r="L1129" s="21">
        <v>600000</v>
      </c>
      <c r="M1129" s="22">
        <f t="shared" ref="M1129" si="1066">SUM(N1129:O1129)</f>
        <v>450000</v>
      </c>
      <c r="N1129" s="23">
        <v>150000</v>
      </c>
      <c r="O1129" s="23">
        <v>300000</v>
      </c>
      <c r="P1129" s="24">
        <f t="shared" ref="P1129" si="1067">L1129-N1129</f>
        <v>450000</v>
      </c>
      <c r="Q1129" s="25">
        <v>300000</v>
      </c>
      <c r="R1129" s="26">
        <v>150000</v>
      </c>
      <c r="S1129" s="91">
        <f t="shared" si="1062"/>
        <v>3</v>
      </c>
      <c r="T1129" s="91">
        <f t="shared" si="1063"/>
        <v>2</v>
      </c>
      <c r="U1129" s="27" t="s">
        <v>192</v>
      </c>
      <c r="V1129" s="19" t="s">
        <v>51</v>
      </c>
      <c r="W1129" s="20">
        <v>45996</v>
      </c>
      <c r="X1129" s="22"/>
      <c r="Y1129" s="19" t="s">
        <v>52</v>
      </c>
      <c r="Z1129" s="19" t="s">
        <v>52</v>
      </c>
      <c r="AA1129" s="19" t="s">
        <v>52</v>
      </c>
      <c r="AB1129" s="28"/>
    </row>
    <row r="1130" spans="1:33" s="29" customFormat="1" ht="15" customHeight="1" x14ac:dyDescent="0.25">
      <c r="A1130" s="14">
        <v>39</v>
      </c>
      <c r="B1130" s="15">
        <v>46017</v>
      </c>
      <c r="C1130" s="15">
        <f t="shared" ref="C1130" si="1068">B1130+8</f>
        <v>46025</v>
      </c>
      <c r="D1130" s="14">
        <v>14078</v>
      </c>
      <c r="E1130" s="16" t="s">
        <v>674</v>
      </c>
      <c r="F1130" s="17" t="s">
        <v>675</v>
      </c>
      <c r="G1130" s="17" t="s">
        <v>102</v>
      </c>
      <c r="H1130" s="18" t="s">
        <v>542</v>
      </c>
      <c r="I1130" s="19" t="s">
        <v>104</v>
      </c>
      <c r="J1130" s="20">
        <v>45982</v>
      </c>
      <c r="K1130" s="20">
        <v>46020</v>
      </c>
      <c r="L1130" s="21">
        <v>200000</v>
      </c>
      <c r="M1130" s="22">
        <f t="shared" ref="M1130" si="1069">SUM(N1130:O1130)</f>
        <v>200000</v>
      </c>
      <c r="N1130" s="23">
        <v>0</v>
      </c>
      <c r="O1130" s="23">
        <v>200000</v>
      </c>
      <c r="P1130" s="24">
        <f>L1130-N1130</f>
        <v>200000</v>
      </c>
      <c r="Q1130" s="25">
        <v>200000</v>
      </c>
      <c r="R1130" s="26">
        <v>70000</v>
      </c>
      <c r="S1130" s="91">
        <f t="shared" si="1062"/>
        <v>2.8571428571428572</v>
      </c>
      <c r="T1130" s="91">
        <f t="shared" si="1063"/>
        <v>2.8571428571428572</v>
      </c>
      <c r="U1130" s="27" t="s">
        <v>192</v>
      </c>
      <c r="V1130" s="30" t="s">
        <v>68</v>
      </c>
      <c r="W1130" s="31" t="s">
        <v>68</v>
      </c>
      <c r="X1130" s="22"/>
      <c r="Y1130" s="19" t="s">
        <v>52</v>
      </c>
      <c r="Z1130" s="19" t="s">
        <v>52</v>
      </c>
      <c r="AA1130" s="19" t="s">
        <v>52</v>
      </c>
      <c r="AB1130" s="28"/>
    </row>
    <row r="1131" spans="1:33" s="29" customFormat="1" ht="15" customHeight="1" x14ac:dyDescent="0.25">
      <c r="A1131" s="14">
        <v>2</v>
      </c>
      <c r="B1131" s="15">
        <v>46017</v>
      </c>
      <c r="C1131" s="15">
        <f>B1131+8</f>
        <v>46025</v>
      </c>
      <c r="D1131" s="14">
        <v>14105</v>
      </c>
      <c r="E1131" s="16" t="s">
        <v>214</v>
      </c>
      <c r="F1131" s="17" t="s">
        <v>215</v>
      </c>
      <c r="G1131" s="17" t="s">
        <v>47</v>
      </c>
      <c r="H1131" s="18" t="s">
        <v>542</v>
      </c>
      <c r="I1131" s="19" t="s">
        <v>104</v>
      </c>
      <c r="J1131" s="20">
        <v>45993</v>
      </c>
      <c r="K1131" s="20">
        <v>46003</v>
      </c>
      <c r="L1131" s="21">
        <v>50000</v>
      </c>
      <c r="M1131" s="22">
        <f t="shared" ref="M1131" si="1070">SUM(N1131:O1131)</f>
        <v>52000</v>
      </c>
      <c r="N1131" s="23">
        <v>0</v>
      </c>
      <c r="O1131" s="23">
        <v>52000</v>
      </c>
      <c r="P1131" s="24">
        <f>L1131-N1131</f>
        <v>50000</v>
      </c>
      <c r="Q1131" s="25">
        <v>50000</v>
      </c>
      <c r="R1131" s="26">
        <v>50000</v>
      </c>
      <c r="S1131" s="91">
        <f t="shared" si="1062"/>
        <v>1</v>
      </c>
      <c r="T1131" s="91">
        <f t="shared" si="1063"/>
        <v>1</v>
      </c>
      <c r="U1131" s="27" t="s">
        <v>192</v>
      </c>
      <c r="V1131" s="30" t="s">
        <v>59</v>
      </c>
      <c r="W1131" s="31">
        <v>46007</v>
      </c>
      <c r="X1131" s="22"/>
      <c r="Y1131" s="19" t="s">
        <v>52</v>
      </c>
      <c r="Z1131" s="19" t="s">
        <v>52</v>
      </c>
      <c r="AA1131" s="19" t="s">
        <v>52</v>
      </c>
      <c r="AB1131" s="42"/>
    </row>
    <row r="1132" spans="1:33" s="29" customFormat="1" ht="15" customHeight="1" x14ac:dyDescent="0.25">
      <c r="A1132" s="14">
        <v>5</v>
      </c>
      <c r="B1132" s="15">
        <v>46017</v>
      </c>
      <c r="C1132" s="15">
        <f t="shared" ref="C1132" si="1071">B1132+8</f>
        <v>46025</v>
      </c>
      <c r="D1132" s="14">
        <v>14134</v>
      </c>
      <c r="E1132" s="16" t="s">
        <v>303</v>
      </c>
      <c r="F1132" s="40" t="s">
        <v>304</v>
      </c>
      <c r="G1132" s="17" t="s">
        <v>75</v>
      </c>
      <c r="H1132" s="18" t="s">
        <v>57</v>
      </c>
      <c r="I1132" s="19" t="s">
        <v>64</v>
      </c>
      <c r="J1132" s="20">
        <v>45995</v>
      </c>
      <c r="K1132" s="20">
        <v>46022</v>
      </c>
      <c r="L1132" s="21">
        <v>500000</v>
      </c>
      <c r="M1132" s="22">
        <f t="shared" ref="M1132" si="1072">SUM(N1132:O1132)</f>
        <v>350000</v>
      </c>
      <c r="N1132" s="23">
        <v>300000</v>
      </c>
      <c r="O1132" s="23">
        <v>50000</v>
      </c>
      <c r="P1132" s="24">
        <f t="shared" ref="P1132" si="1073">L1132-N1132</f>
        <v>200000</v>
      </c>
      <c r="Q1132" s="25">
        <v>50000</v>
      </c>
      <c r="R1132" s="26">
        <v>48000</v>
      </c>
      <c r="S1132" s="91">
        <f t="shared" si="1062"/>
        <v>4.166666666666667</v>
      </c>
      <c r="T1132" s="91">
        <f t="shared" si="1063"/>
        <v>1.0416666666666667</v>
      </c>
      <c r="U1132" s="27" t="s">
        <v>192</v>
      </c>
      <c r="V1132" s="19" t="s">
        <v>51</v>
      </c>
      <c r="W1132" s="20">
        <v>45999</v>
      </c>
      <c r="X1132" s="22"/>
      <c r="Y1132" s="19" t="s">
        <v>52</v>
      </c>
      <c r="Z1132" s="19" t="s">
        <v>52</v>
      </c>
      <c r="AA1132" s="19" t="s">
        <v>52</v>
      </c>
      <c r="AB1132" s="28"/>
    </row>
    <row r="1133" spans="1:33" s="29" customFormat="1" ht="15" customHeight="1" x14ac:dyDescent="0.25">
      <c r="A1133" s="14">
        <v>3</v>
      </c>
      <c r="B1133" s="15">
        <v>46017</v>
      </c>
      <c r="C1133" s="15">
        <f t="shared" ref="C1133" si="1074">B1133+8</f>
        <v>46025</v>
      </c>
      <c r="D1133" s="14">
        <v>14012</v>
      </c>
      <c r="E1133" s="16" t="s">
        <v>349</v>
      </c>
      <c r="F1133" s="40" t="s">
        <v>350</v>
      </c>
      <c r="G1133" s="17" t="s">
        <v>75</v>
      </c>
      <c r="H1133" s="18" t="s">
        <v>78</v>
      </c>
      <c r="I1133" s="19" t="s">
        <v>79</v>
      </c>
      <c r="J1133" s="20">
        <v>45974</v>
      </c>
      <c r="K1133" s="20" t="s">
        <v>65</v>
      </c>
      <c r="L1133" s="21">
        <v>1000000</v>
      </c>
      <c r="M1133" s="22">
        <f t="shared" ref="M1133" si="1075">SUM(N1133:O1133)</f>
        <v>975000</v>
      </c>
      <c r="N1133" s="23">
        <v>805000</v>
      </c>
      <c r="O1133" s="23">
        <v>170000</v>
      </c>
      <c r="P1133" s="24">
        <f t="shared" ref="P1133" si="1076">L1133-N1133</f>
        <v>195000</v>
      </c>
      <c r="Q1133" s="25">
        <v>150000</v>
      </c>
      <c r="R1133" s="26">
        <v>150000</v>
      </c>
      <c r="S1133" s="91">
        <f t="shared" si="1062"/>
        <v>1.3</v>
      </c>
      <c r="T1133" s="91">
        <f t="shared" si="1063"/>
        <v>1</v>
      </c>
      <c r="U1133" s="27" t="s">
        <v>56</v>
      </c>
      <c r="V1133" s="19" t="s">
        <v>51</v>
      </c>
      <c r="W1133" s="20">
        <v>45985</v>
      </c>
      <c r="X1133" s="22"/>
      <c r="Y1133" s="19" t="s">
        <v>52</v>
      </c>
      <c r="Z1133" s="19" t="s">
        <v>52</v>
      </c>
      <c r="AA1133" s="19" t="s">
        <v>52</v>
      </c>
      <c r="AB1133" s="28"/>
    </row>
    <row r="1134" spans="1:33" ht="15" customHeight="1" x14ac:dyDescent="0.25">
      <c r="A1134" s="33" t="s">
        <v>71</v>
      </c>
      <c r="B1134" s="34"/>
      <c r="C1134" s="34"/>
      <c r="D1134" s="34"/>
      <c r="E1134" s="34"/>
      <c r="F1134" s="35"/>
      <c r="G1134" s="35"/>
      <c r="H1134" s="34"/>
      <c r="I1134" s="34"/>
      <c r="J1134" s="34"/>
      <c r="K1134" s="34"/>
      <c r="L1134" s="36"/>
      <c r="M1134" s="36"/>
      <c r="N1134" s="36"/>
      <c r="O1134" s="36"/>
      <c r="P1134" s="36"/>
      <c r="Q1134" s="36">
        <f>SUM(Q1126:Q1133)</f>
        <v>1541000</v>
      </c>
      <c r="R1134" s="36"/>
      <c r="S1134" s="92"/>
      <c r="T1134" s="93">
        <f>SUM(T1126:T1133)</f>
        <v>24.610238095238099</v>
      </c>
      <c r="U1134" s="37"/>
      <c r="V1134" s="38"/>
      <c r="W1134" s="38"/>
      <c r="X1134" s="38"/>
      <c r="Y1134" s="34"/>
      <c r="Z1134" s="34"/>
      <c r="AA1134" s="39"/>
      <c r="AB1134" s="29" t="s">
        <v>1047</v>
      </c>
      <c r="AC1134" s="81" t="s">
        <v>1051</v>
      </c>
      <c r="AD1134" s="83">
        <v>5000</v>
      </c>
      <c r="AF1134" s="83">
        <v>0</v>
      </c>
      <c r="AG1134" s="83">
        <f>SUM(AD1134,AF1134)</f>
        <v>5000</v>
      </c>
    </row>
    <row r="1135" spans="1:33" s="29" customFormat="1" ht="15" customHeight="1" x14ac:dyDescent="0.25">
      <c r="A1135" s="14">
        <v>3</v>
      </c>
      <c r="B1135" s="15">
        <v>46021</v>
      </c>
      <c r="C1135" s="15">
        <f t="shared" ref="C1135:C1141" si="1077">B1135+8</f>
        <v>46029</v>
      </c>
      <c r="D1135" s="14">
        <v>13903</v>
      </c>
      <c r="E1135" s="16" t="s">
        <v>945</v>
      </c>
      <c r="F1135" s="17" t="s">
        <v>672</v>
      </c>
      <c r="G1135" s="17" t="s">
        <v>47</v>
      </c>
      <c r="H1135" s="18" t="s">
        <v>57</v>
      </c>
      <c r="I1135" s="19" t="s">
        <v>58</v>
      </c>
      <c r="J1135" s="20">
        <v>45967</v>
      </c>
      <c r="K1135" s="20">
        <v>46008</v>
      </c>
      <c r="L1135" s="21">
        <v>200000</v>
      </c>
      <c r="M1135" s="22">
        <f t="shared" ref="M1135" si="1078">SUM(N1135:O1135)</f>
        <v>143000</v>
      </c>
      <c r="N1135" s="23">
        <v>0</v>
      </c>
      <c r="O1135" s="23">
        <v>143000</v>
      </c>
      <c r="P1135" s="24">
        <f t="shared" ref="P1135:P1141" si="1079">L1135-N1135</f>
        <v>200000</v>
      </c>
      <c r="Q1135" s="25">
        <v>143000</v>
      </c>
      <c r="R1135" s="26">
        <v>42000</v>
      </c>
      <c r="S1135" s="91">
        <f t="shared" ref="S1135:S1142" si="1080">IF(P1135&gt;0,P1135/$R1135,0)</f>
        <v>4.7619047619047619</v>
      </c>
      <c r="T1135" s="91">
        <f t="shared" ref="T1135:T1142" si="1081">IF(Q1135&gt;0,Q1135/$R1135,0)</f>
        <v>3.4047619047619047</v>
      </c>
      <c r="U1135" s="27" t="s">
        <v>192</v>
      </c>
      <c r="V1135" s="19" t="s">
        <v>51</v>
      </c>
      <c r="W1135" s="20">
        <v>45999</v>
      </c>
      <c r="X1135" s="22"/>
      <c r="Y1135" s="19" t="s">
        <v>52</v>
      </c>
      <c r="Z1135" s="19" t="s">
        <v>52</v>
      </c>
      <c r="AA1135" s="19" t="s">
        <v>52</v>
      </c>
      <c r="AB1135" s="42"/>
    </row>
    <row r="1136" spans="1:33" s="29" customFormat="1" ht="15" customHeight="1" x14ac:dyDescent="0.25">
      <c r="A1136" s="14">
        <v>4</v>
      </c>
      <c r="B1136" s="15">
        <v>46021</v>
      </c>
      <c r="C1136" s="15">
        <f>B1136+8</f>
        <v>46029</v>
      </c>
      <c r="D1136" s="14">
        <v>13959</v>
      </c>
      <c r="E1136" s="16" t="s">
        <v>740</v>
      </c>
      <c r="F1136" s="17" t="s">
        <v>317</v>
      </c>
      <c r="G1136" s="17" t="s">
        <v>132</v>
      </c>
      <c r="H1136" s="18" t="s">
        <v>133</v>
      </c>
      <c r="I1136" s="19" t="s">
        <v>198</v>
      </c>
      <c r="J1136" s="20">
        <v>45974</v>
      </c>
      <c r="K1136" s="20">
        <v>46013</v>
      </c>
      <c r="L1136" s="21">
        <v>2000000</v>
      </c>
      <c r="M1136" s="22">
        <f>SUM(N1136:O1136)</f>
        <v>384000</v>
      </c>
      <c r="N1136" s="23">
        <v>0</v>
      </c>
      <c r="O1136" s="23">
        <v>384000</v>
      </c>
      <c r="P1136" s="24">
        <f>L1136-N1136</f>
        <v>2000000</v>
      </c>
      <c r="Q1136" s="25">
        <v>384000</v>
      </c>
      <c r="R1136" s="26">
        <v>128000</v>
      </c>
      <c r="S1136" s="91">
        <f t="shared" si="1080"/>
        <v>15.625</v>
      </c>
      <c r="T1136" s="91">
        <f t="shared" si="1081"/>
        <v>3</v>
      </c>
      <c r="U1136" s="27" t="s">
        <v>56</v>
      </c>
      <c r="V1136" s="30" t="s">
        <v>59</v>
      </c>
      <c r="W1136" s="31">
        <v>46018</v>
      </c>
      <c r="X1136" s="22"/>
      <c r="Y1136" s="19" t="s">
        <v>52</v>
      </c>
      <c r="Z1136" s="19" t="s">
        <v>52</v>
      </c>
      <c r="AA1136" s="19" t="s">
        <v>52</v>
      </c>
      <c r="AB1136" s="28"/>
    </row>
    <row r="1137" spans="1:33" s="29" customFormat="1" ht="15" customHeight="1" x14ac:dyDescent="0.25">
      <c r="A1137" s="14">
        <v>12</v>
      </c>
      <c r="B1137" s="15">
        <v>46021</v>
      </c>
      <c r="C1137" s="15">
        <f t="shared" si="1077"/>
        <v>46029</v>
      </c>
      <c r="D1137" s="14">
        <v>13998</v>
      </c>
      <c r="E1137" s="16" t="s">
        <v>380</v>
      </c>
      <c r="F1137" s="40" t="s">
        <v>381</v>
      </c>
      <c r="G1137" s="17" t="s">
        <v>75</v>
      </c>
      <c r="H1137" s="18" t="s">
        <v>78</v>
      </c>
      <c r="I1137" s="19" t="s">
        <v>79</v>
      </c>
      <c r="J1137" s="20">
        <v>45978</v>
      </c>
      <c r="K1137" s="20">
        <v>46009</v>
      </c>
      <c r="L1137" s="21">
        <v>2000000</v>
      </c>
      <c r="M1137" s="22">
        <f t="shared" ref="M1137" si="1082">SUM(N1137:O1137)</f>
        <v>2025000</v>
      </c>
      <c r="N1137" s="23">
        <v>840000</v>
      </c>
      <c r="O1137" s="23">
        <v>1185000</v>
      </c>
      <c r="P1137" s="24">
        <f t="shared" si="1079"/>
        <v>1160000</v>
      </c>
      <c r="Q1137" s="25">
        <v>1155000</v>
      </c>
      <c r="R1137" s="26">
        <v>105000</v>
      </c>
      <c r="S1137" s="91">
        <f t="shared" si="1080"/>
        <v>11.047619047619047</v>
      </c>
      <c r="T1137" s="91">
        <f t="shared" si="1081"/>
        <v>11</v>
      </c>
      <c r="U1137" s="27" t="s">
        <v>56</v>
      </c>
      <c r="V1137" s="19" t="s">
        <v>51</v>
      </c>
      <c r="W1137" s="20">
        <v>45996</v>
      </c>
      <c r="X1137" s="22"/>
      <c r="Y1137" s="19" t="s">
        <v>52</v>
      </c>
      <c r="Z1137" s="19" t="s">
        <v>52</v>
      </c>
      <c r="AA1137" s="19" t="s">
        <v>52</v>
      </c>
      <c r="AB1137" s="28"/>
    </row>
    <row r="1138" spans="1:33" s="29" customFormat="1" ht="15" customHeight="1" x14ac:dyDescent="0.25">
      <c r="A1138" s="14">
        <v>59</v>
      </c>
      <c r="B1138" s="15">
        <v>46021</v>
      </c>
      <c r="C1138" s="15">
        <f t="shared" si="1077"/>
        <v>46029</v>
      </c>
      <c r="D1138" s="14">
        <v>13987</v>
      </c>
      <c r="E1138" s="16" t="s">
        <v>817</v>
      </c>
      <c r="F1138" s="17" t="s">
        <v>818</v>
      </c>
      <c r="G1138" s="17" t="s">
        <v>102</v>
      </c>
      <c r="H1138" s="18" t="s">
        <v>775</v>
      </c>
      <c r="I1138" s="19" t="s">
        <v>135</v>
      </c>
      <c r="J1138" s="20">
        <v>45975</v>
      </c>
      <c r="K1138" s="20">
        <v>46028</v>
      </c>
      <c r="L1138" s="21">
        <v>75000</v>
      </c>
      <c r="M1138" s="22">
        <f t="shared" ref="M1138:M1141" si="1083">SUM(N1138:O1138)</f>
        <v>84000</v>
      </c>
      <c r="N1138" s="23">
        <v>0</v>
      </c>
      <c r="O1138" s="23">
        <v>84000</v>
      </c>
      <c r="P1138" s="24">
        <f t="shared" si="1079"/>
        <v>75000</v>
      </c>
      <c r="Q1138" s="25">
        <v>84000</v>
      </c>
      <c r="R1138" s="26">
        <v>42000</v>
      </c>
      <c r="S1138" s="91">
        <f t="shared" si="1080"/>
        <v>1.7857142857142858</v>
      </c>
      <c r="T1138" s="91">
        <f t="shared" si="1081"/>
        <v>2</v>
      </c>
      <c r="U1138" s="27" t="s">
        <v>56</v>
      </c>
      <c r="V1138" s="19" t="s">
        <v>51</v>
      </c>
      <c r="W1138" s="20">
        <v>45999</v>
      </c>
      <c r="X1138" s="22"/>
      <c r="Y1138" s="19" t="s">
        <v>52</v>
      </c>
      <c r="Z1138" s="19" t="s">
        <v>52</v>
      </c>
      <c r="AA1138" s="19" t="s">
        <v>52</v>
      </c>
      <c r="AB1138" s="28"/>
    </row>
    <row r="1139" spans="1:33" s="29" customFormat="1" ht="15" customHeight="1" x14ac:dyDescent="0.25">
      <c r="A1139" s="14">
        <v>60</v>
      </c>
      <c r="B1139" s="15">
        <v>46021</v>
      </c>
      <c r="C1139" s="15">
        <f t="shared" si="1077"/>
        <v>46029</v>
      </c>
      <c r="D1139" s="14">
        <v>13988</v>
      </c>
      <c r="E1139" s="16" t="s">
        <v>839</v>
      </c>
      <c r="F1139" s="17" t="s">
        <v>957</v>
      </c>
      <c r="G1139" s="17" t="s">
        <v>102</v>
      </c>
      <c r="H1139" s="18" t="s">
        <v>775</v>
      </c>
      <c r="I1139" s="19" t="s">
        <v>135</v>
      </c>
      <c r="J1139" s="20">
        <v>45975</v>
      </c>
      <c r="K1139" s="20">
        <v>46028</v>
      </c>
      <c r="L1139" s="21">
        <v>50000</v>
      </c>
      <c r="M1139" s="22">
        <f t="shared" si="1083"/>
        <v>50000</v>
      </c>
      <c r="N1139" s="23">
        <v>0</v>
      </c>
      <c r="O1139" s="23">
        <v>50000</v>
      </c>
      <c r="P1139" s="24">
        <f t="shared" si="1079"/>
        <v>50000</v>
      </c>
      <c r="Q1139" s="25">
        <v>50000</v>
      </c>
      <c r="R1139" s="26">
        <v>42000</v>
      </c>
      <c r="S1139" s="91">
        <f t="shared" si="1080"/>
        <v>1.1904761904761905</v>
      </c>
      <c r="T1139" s="91">
        <f t="shared" si="1081"/>
        <v>1.1904761904761905</v>
      </c>
      <c r="U1139" s="27" t="s">
        <v>56</v>
      </c>
      <c r="V1139" s="19" t="s">
        <v>51</v>
      </c>
      <c r="W1139" s="20">
        <v>45999</v>
      </c>
      <c r="X1139" s="22"/>
      <c r="Y1139" s="19" t="s">
        <v>52</v>
      </c>
      <c r="Z1139" s="19" t="s">
        <v>52</v>
      </c>
      <c r="AA1139" s="19" t="s">
        <v>52</v>
      </c>
      <c r="AB1139" s="28"/>
    </row>
    <row r="1140" spans="1:33" s="29" customFormat="1" ht="15" customHeight="1" x14ac:dyDescent="0.25">
      <c r="A1140" s="14">
        <v>61</v>
      </c>
      <c r="B1140" s="15">
        <v>46021</v>
      </c>
      <c r="C1140" s="15">
        <f t="shared" si="1077"/>
        <v>46029</v>
      </c>
      <c r="D1140" s="14">
        <v>13989</v>
      </c>
      <c r="E1140" s="16" t="s">
        <v>847</v>
      </c>
      <c r="F1140" s="17" t="s">
        <v>848</v>
      </c>
      <c r="G1140" s="17" t="s">
        <v>102</v>
      </c>
      <c r="H1140" s="18" t="s">
        <v>775</v>
      </c>
      <c r="I1140" s="19" t="s">
        <v>135</v>
      </c>
      <c r="J1140" s="20">
        <v>45975</v>
      </c>
      <c r="K1140" s="20">
        <v>46028</v>
      </c>
      <c r="L1140" s="21">
        <v>30000</v>
      </c>
      <c r="M1140" s="22">
        <f t="shared" si="1083"/>
        <v>35000</v>
      </c>
      <c r="N1140" s="23">
        <v>0</v>
      </c>
      <c r="O1140" s="23">
        <v>35000</v>
      </c>
      <c r="P1140" s="24">
        <f t="shared" si="1079"/>
        <v>30000</v>
      </c>
      <c r="Q1140" s="25">
        <v>35000</v>
      </c>
      <c r="R1140" s="26">
        <v>42000</v>
      </c>
      <c r="S1140" s="91">
        <f t="shared" si="1080"/>
        <v>0.7142857142857143</v>
      </c>
      <c r="T1140" s="91">
        <f t="shared" si="1081"/>
        <v>0.83333333333333337</v>
      </c>
      <c r="U1140" s="27" t="s">
        <v>56</v>
      </c>
      <c r="V1140" s="19" t="s">
        <v>51</v>
      </c>
      <c r="W1140" s="20">
        <v>45999</v>
      </c>
      <c r="X1140" s="22"/>
      <c r="Y1140" s="19" t="s">
        <v>52</v>
      </c>
      <c r="Z1140" s="19" t="s">
        <v>52</v>
      </c>
      <c r="AA1140" s="19" t="s">
        <v>52</v>
      </c>
      <c r="AB1140" s="28"/>
    </row>
    <row r="1141" spans="1:33" s="29" customFormat="1" ht="15" customHeight="1" x14ac:dyDescent="0.25">
      <c r="A1141" s="14">
        <v>62</v>
      </c>
      <c r="B1141" s="15">
        <v>46021</v>
      </c>
      <c r="C1141" s="15">
        <f t="shared" si="1077"/>
        <v>46029</v>
      </c>
      <c r="D1141" s="14">
        <v>13990</v>
      </c>
      <c r="E1141" s="16" t="s">
        <v>815</v>
      </c>
      <c r="F1141" s="17" t="s">
        <v>816</v>
      </c>
      <c r="G1141" s="17" t="s">
        <v>102</v>
      </c>
      <c r="H1141" s="18" t="s">
        <v>775</v>
      </c>
      <c r="I1141" s="19" t="s">
        <v>135</v>
      </c>
      <c r="J1141" s="20">
        <v>45975</v>
      </c>
      <c r="K1141" s="20">
        <v>46028</v>
      </c>
      <c r="L1141" s="21">
        <v>30000</v>
      </c>
      <c r="M1141" s="22">
        <f t="shared" si="1083"/>
        <v>35000</v>
      </c>
      <c r="N1141" s="23">
        <v>0</v>
      </c>
      <c r="O1141" s="23">
        <v>35000</v>
      </c>
      <c r="P1141" s="24">
        <f t="shared" si="1079"/>
        <v>30000</v>
      </c>
      <c r="Q1141" s="25">
        <v>35000</v>
      </c>
      <c r="R1141" s="26">
        <v>42000</v>
      </c>
      <c r="S1141" s="91">
        <f t="shared" si="1080"/>
        <v>0.7142857142857143</v>
      </c>
      <c r="T1141" s="91">
        <f t="shared" si="1081"/>
        <v>0.83333333333333337</v>
      </c>
      <c r="U1141" s="27" t="s">
        <v>56</v>
      </c>
      <c r="V1141" s="19" t="s">
        <v>51</v>
      </c>
      <c r="W1141" s="20">
        <v>45999</v>
      </c>
      <c r="X1141" s="22"/>
      <c r="Y1141" s="19" t="s">
        <v>52</v>
      </c>
      <c r="Z1141" s="19" t="s">
        <v>52</v>
      </c>
      <c r="AA1141" s="19" t="s">
        <v>52</v>
      </c>
      <c r="AB1141" s="28"/>
    </row>
    <row r="1142" spans="1:33" s="29" customFormat="1" ht="15" customHeight="1" x14ac:dyDescent="0.25">
      <c r="A1142" s="14">
        <v>6</v>
      </c>
      <c r="B1142" s="15">
        <v>46021</v>
      </c>
      <c r="C1142" s="15">
        <f>B1142+8</f>
        <v>46029</v>
      </c>
      <c r="D1142" s="14">
        <v>13963</v>
      </c>
      <c r="E1142" s="16" t="s">
        <v>335</v>
      </c>
      <c r="F1142" s="17" t="s">
        <v>336</v>
      </c>
      <c r="G1142" s="17" t="s">
        <v>132</v>
      </c>
      <c r="H1142" s="18" t="s">
        <v>133</v>
      </c>
      <c r="I1142" s="19" t="s">
        <v>198</v>
      </c>
      <c r="J1142" s="20">
        <v>45975</v>
      </c>
      <c r="K1142" s="20">
        <v>46029</v>
      </c>
      <c r="L1142" s="21">
        <v>300000</v>
      </c>
      <c r="M1142" s="22">
        <f t="shared" ref="M1142" si="1084">SUM(N1142:O1142)</f>
        <v>357890</v>
      </c>
      <c r="N1142" s="23">
        <v>0</v>
      </c>
      <c r="O1142" s="23">
        <v>357890</v>
      </c>
      <c r="P1142" s="24">
        <f t="shared" ref="P1142" si="1085">L1142-N1142</f>
        <v>300000</v>
      </c>
      <c r="Q1142" s="25">
        <v>357890</v>
      </c>
      <c r="R1142" s="26">
        <v>324000</v>
      </c>
      <c r="S1142" s="91">
        <f t="shared" si="1080"/>
        <v>0.92592592592592593</v>
      </c>
      <c r="T1142" s="91">
        <f t="shared" si="1081"/>
        <v>1.1045987654320988</v>
      </c>
      <c r="U1142" s="27" t="s">
        <v>56</v>
      </c>
      <c r="V1142" s="19" t="s">
        <v>51</v>
      </c>
      <c r="W1142" s="20">
        <v>45997</v>
      </c>
      <c r="X1142" s="22"/>
      <c r="Y1142" s="19" t="s">
        <v>52</v>
      </c>
      <c r="Z1142" s="19" t="s">
        <v>52</v>
      </c>
      <c r="AA1142" s="19" t="s">
        <v>52</v>
      </c>
      <c r="AB1142" s="28"/>
    </row>
    <row r="1143" spans="1:33" ht="15" customHeight="1" x14ac:dyDescent="0.25">
      <c r="A1143" s="33" t="s">
        <v>71</v>
      </c>
      <c r="B1143" s="34"/>
      <c r="C1143" s="34"/>
      <c r="D1143" s="34"/>
      <c r="E1143" s="34"/>
      <c r="F1143" s="35"/>
      <c r="G1143" s="35"/>
      <c r="H1143" s="34"/>
      <c r="I1143" s="34"/>
      <c r="J1143" s="34"/>
      <c r="K1143" s="34"/>
      <c r="L1143" s="36"/>
      <c r="M1143" s="36"/>
      <c r="N1143" s="36"/>
      <c r="O1143" s="36"/>
      <c r="P1143" s="36"/>
      <c r="Q1143" s="36">
        <f>SUM(Q1135:Q1142)</f>
        <v>2243890</v>
      </c>
      <c r="R1143" s="36"/>
      <c r="S1143" s="92"/>
      <c r="T1143" s="93">
        <f>SUM(T1135:T1142)</f>
        <v>23.366503527336857</v>
      </c>
      <c r="U1143" s="37"/>
      <c r="V1143" s="38"/>
      <c r="W1143" s="38"/>
      <c r="X1143" s="38"/>
      <c r="Y1143" s="34"/>
      <c r="Z1143" s="34"/>
      <c r="AA1143" s="39"/>
      <c r="AB1143" s="29" t="s">
        <v>1052</v>
      </c>
      <c r="AC1143" s="81" t="s">
        <v>1057</v>
      </c>
      <c r="AD1143" s="83">
        <v>5000</v>
      </c>
      <c r="AF1143" s="83">
        <v>0</v>
      </c>
      <c r="AG1143" s="83">
        <f>SUM(AD1143,AF1143)</f>
        <v>5000</v>
      </c>
    </row>
    <row r="1144" spans="1:33" s="29" customFormat="1" ht="15" customHeight="1" x14ac:dyDescent="0.25">
      <c r="A1144" s="14">
        <v>7</v>
      </c>
      <c r="B1144" s="15">
        <v>46022</v>
      </c>
      <c r="C1144" s="15">
        <f>B1144+8</f>
        <v>46030</v>
      </c>
      <c r="D1144" s="14">
        <v>13950</v>
      </c>
      <c r="E1144" s="16" t="s">
        <v>398</v>
      </c>
      <c r="F1144" s="40" t="s">
        <v>399</v>
      </c>
      <c r="G1144" s="17" t="s">
        <v>75</v>
      </c>
      <c r="H1144" s="18" t="s">
        <v>57</v>
      </c>
      <c r="I1144" s="19" t="s">
        <v>94</v>
      </c>
      <c r="J1144" s="20">
        <v>45972</v>
      </c>
      <c r="K1144" s="20">
        <v>45999</v>
      </c>
      <c r="L1144" s="21">
        <v>1000000</v>
      </c>
      <c r="M1144" s="22">
        <f>SUM(N1144:O1144)</f>
        <v>1056000</v>
      </c>
      <c r="N1144" s="23">
        <v>816000</v>
      </c>
      <c r="O1144" s="23">
        <v>240000</v>
      </c>
      <c r="P1144" s="24">
        <f>L1144-N1144</f>
        <v>184000</v>
      </c>
      <c r="Q1144" s="25">
        <v>240000</v>
      </c>
      <c r="R1144" s="26">
        <v>150000</v>
      </c>
      <c r="S1144" s="91">
        <f t="shared" ref="S1144:S1150" si="1086">IF(P1144&gt;0,P1144/$R1144,0)</f>
        <v>1.2266666666666666</v>
      </c>
      <c r="T1144" s="91">
        <f t="shared" ref="T1144:T1150" si="1087">IF(Q1144&gt;0,Q1144/$R1144,0)</f>
        <v>1.6</v>
      </c>
      <c r="U1144" s="27" t="s">
        <v>192</v>
      </c>
      <c r="V1144" s="19" t="s">
        <v>51</v>
      </c>
      <c r="W1144" s="20">
        <v>45999</v>
      </c>
      <c r="X1144" s="22"/>
      <c r="Y1144" s="19" t="s">
        <v>52</v>
      </c>
      <c r="Z1144" s="19" t="s">
        <v>52</v>
      </c>
      <c r="AA1144" s="19" t="s">
        <v>52</v>
      </c>
      <c r="AB1144" s="28"/>
    </row>
    <row r="1145" spans="1:33" s="29" customFormat="1" ht="15" customHeight="1" x14ac:dyDescent="0.25">
      <c r="A1145" s="14">
        <v>19</v>
      </c>
      <c r="B1145" s="15">
        <v>46022</v>
      </c>
      <c r="C1145" s="15">
        <f>B1145+8</f>
        <v>46030</v>
      </c>
      <c r="D1145" s="14">
        <v>14123</v>
      </c>
      <c r="E1145" s="16" t="s">
        <v>462</v>
      </c>
      <c r="F1145" s="40" t="s">
        <v>463</v>
      </c>
      <c r="G1145" s="17" t="s">
        <v>75</v>
      </c>
      <c r="H1145" s="18" t="s">
        <v>542</v>
      </c>
      <c r="I1145" s="19" t="s">
        <v>49</v>
      </c>
      <c r="J1145" s="20">
        <v>45994</v>
      </c>
      <c r="K1145" s="20">
        <v>46029</v>
      </c>
      <c r="L1145" s="21">
        <v>150000</v>
      </c>
      <c r="M1145" s="22">
        <f>SUM(N1145:O1145)</f>
        <v>24000</v>
      </c>
      <c r="N1145" s="23">
        <v>0</v>
      </c>
      <c r="O1145" s="23">
        <v>24000</v>
      </c>
      <c r="P1145" s="24">
        <f>L1145-N1145</f>
        <v>150000</v>
      </c>
      <c r="Q1145" s="25">
        <v>24000</v>
      </c>
      <c r="R1145" s="26">
        <v>150000</v>
      </c>
      <c r="S1145" s="91">
        <f t="shared" si="1086"/>
        <v>1</v>
      </c>
      <c r="T1145" s="91">
        <f t="shared" si="1087"/>
        <v>0.16</v>
      </c>
      <c r="U1145" s="27" t="s">
        <v>192</v>
      </c>
      <c r="V1145" s="30" t="s">
        <v>59</v>
      </c>
      <c r="W1145" s="31">
        <v>46015</v>
      </c>
      <c r="X1145" s="22"/>
      <c r="Y1145" s="19" t="s">
        <v>52</v>
      </c>
      <c r="Z1145" s="19" t="s">
        <v>52</v>
      </c>
      <c r="AA1145" s="19" t="s">
        <v>52</v>
      </c>
      <c r="AB1145" s="28"/>
    </row>
    <row r="1146" spans="1:33" s="29" customFormat="1" ht="15" customHeight="1" x14ac:dyDescent="0.25">
      <c r="A1146" s="14">
        <v>4</v>
      </c>
      <c r="B1146" s="15">
        <v>46022</v>
      </c>
      <c r="C1146" s="15">
        <f t="shared" ref="C1146:C1150" si="1088">B1146+8</f>
        <v>46030</v>
      </c>
      <c r="D1146" s="14">
        <v>14120</v>
      </c>
      <c r="E1146" s="16" t="s">
        <v>1028</v>
      </c>
      <c r="F1146" s="40" t="s">
        <v>1029</v>
      </c>
      <c r="G1146" s="17" t="s">
        <v>75</v>
      </c>
      <c r="H1146" s="18" t="s">
        <v>542</v>
      </c>
      <c r="I1146" s="19" t="s">
        <v>49</v>
      </c>
      <c r="J1146" s="20">
        <v>45994</v>
      </c>
      <c r="K1146" s="20">
        <v>46010</v>
      </c>
      <c r="L1146" s="21">
        <v>84000</v>
      </c>
      <c r="M1146" s="22">
        <f t="shared" ref="M1146:M1149" si="1089">SUM(N1146:O1146)</f>
        <v>84000</v>
      </c>
      <c r="N1146" s="23">
        <v>0</v>
      </c>
      <c r="O1146" s="23">
        <v>84000</v>
      </c>
      <c r="P1146" s="24">
        <f t="shared" ref="P1146:P1150" si="1090">L1146-N1146</f>
        <v>84000</v>
      </c>
      <c r="Q1146" s="25">
        <v>84000</v>
      </c>
      <c r="R1146" s="26">
        <v>150000</v>
      </c>
      <c r="S1146" s="91">
        <f t="shared" si="1086"/>
        <v>0.56000000000000005</v>
      </c>
      <c r="T1146" s="91">
        <f t="shared" si="1087"/>
        <v>0.56000000000000005</v>
      </c>
      <c r="U1146" s="27" t="s">
        <v>192</v>
      </c>
      <c r="V1146" s="30" t="s">
        <v>59</v>
      </c>
      <c r="W1146" s="31">
        <v>46015</v>
      </c>
      <c r="X1146" s="22"/>
      <c r="Y1146" s="41" t="s">
        <v>82</v>
      </c>
      <c r="Z1146" s="41" t="s">
        <v>82</v>
      </c>
      <c r="AA1146" s="41" t="s">
        <v>82</v>
      </c>
      <c r="AB1146" s="28"/>
    </row>
    <row r="1147" spans="1:33" s="29" customFormat="1" ht="15" customHeight="1" x14ac:dyDescent="0.25">
      <c r="A1147" s="14">
        <v>14</v>
      </c>
      <c r="B1147" s="15">
        <v>46022</v>
      </c>
      <c r="C1147" s="15">
        <f t="shared" si="1088"/>
        <v>46030</v>
      </c>
      <c r="D1147" s="14">
        <v>14005</v>
      </c>
      <c r="E1147" s="16" t="s">
        <v>353</v>
      </c>
      <c r="F1147" s="40" t="s">
        <v>354</v>
      </c>
      <c r="G1147" s="17" t="s">
        <v>75</v>
      </c>
      <c r="H1147" s="18" t="s">
        <v>78</v>
      </c>
      <c r="I1147" s="19" t="s">
        <v>79</v>
      </c>
      <c r="J1147" s="20">
        <v>45979</v>
      </c>
      <c r="K1147" s="20">
        <v>46014</v>
      </c>
      <c r="L1147" s="21">
        <v>1880000</v>
      </c>
      <c r="M1147" s="22">
        <f t="shared" si="1089"/>
        <v>1680000</v>
      </c>
      <c r="N1147" s="23">
        <v>600000</v>
      </c>
      <c r="O1147" s="23">
        <v>1080000</v>
      </c>
      <c r="P1147" s="24">
        <f t="shared" si="1090"/>
        <v>1280000</v>
      </c>
      <c r="Q1147" s="25">
        <v>1080000</v>
      </c>
      <c r="R1147" s="26">
        <v>84000</v>
      </c>
      <c r="S1147" s="91">
        <f t="shared" si="1086"/>
        <v>15.238095238095237</v>
      </c>
      <c r="T1147" s="91">
        <f t="shared" si="1087"/>
        <v>12.857142857142858</v>
      </c>
      <c r="U1147" s="27" t="s">
        <v>56</v>
      </c>
      <c r="V1147" s="30" t="s">
        <v>59</v>
      </c>
      <c r="W1147" s="31">
        <v>46017</v>
      </c>
      <c r="X1147" s="22"/>
      <c r="Y1147" s="19" t="s">
        <v>52</v>
      </c>
      <c r="Z1147" s="19" t="s">
        <v>52</v>
      </c>
      <c r="AA1147" s="19" t="s">
        <v>52</v>
      </c>
      <c r="AB1147" s="28"/>
    </row>
    <row r="1148" spans="1:33" s="29" customFormat="1" ht="15" customHeight="1" x14ac:dyDescent="0.25">
      <c r="A1148" s="14">
        <v>15</v>
      </c>
      <c r="B1148" s="15">
        <v>46022</v>
      </c>
      <c r="C1148" s="15">
        <f t="shared" si="1088"/>
        <v>46030</v>
      </c>
      <c r="D1148" s="14">
        <v>14008</v>
      </c>
      <c r="E1148" s="16" t="s">
        <v>376</v>
      </c>
      <c r="F1148" s="40" t="s">
        <v>371</v>
      </c>
      <c r="G1148" s="17" t="s">
        <v>75</v>
      </c>
      <c r="H1148" s="18" t="s">
        <v>78</v>
      </c>
      <c r="I1148" s="19" t="s">
        <v>79</v>
      </c>
      <c r="J1148" s="20">
        <v>45979</v>
      </c>
      <c r="K1148" s="20">
        <v>46014</v>
      </c>
      <c r="L1148" s="21">
        <v>320000</v>
      </c>
      <c r="M1148" s="22">
        <f t="shared" si="1089"/>
        <v>321000</v>
      </c>
      <c r="N1148" s="23">
        <v>0</v>
      </c>
      <c r="O1148" s="23">
        <v>321000</v>
      </c>
      <c r="P1148" s="24">
        <f t="shared" si="1090"/>
        <v>320000</v>
      </c>
      <c r="Q1148" s="25">
        <v>321000</v>
      </c>
      <c r="R1148" s="26">
        <v>96000</v>
      </c>
      <c r="S1148" s="91">
        <f t="shared" si="1086"/>
        <v>3.3333333333333335</v>
      </c>
      <c r="T1148" s="91">
        <f t="shared" si="1087"/>
        <v>3.34375</v>
      </c>
      <c r="U1148" s="27" t="s">
        <v>56</v>
      </c>
      <c r="V1148" s="30" t="s">
        <v>59</v>
      </c>
      <c r="W1148" s="31">
        <v>46015</v>
      </c>
      <c r="X1148" s="22"/>
      <c r="Y1148" s="19" t="s">
        <v>52</v>
      </c>
      <c r="Z1148" s="19" t="s">
        <v>52</v>
      </c>
      <c r="AA1148" s="19" t="s">
        <v>52</v>
      </c>
      <c r="AB1148" s="28"/>
    </row>
    <row r="1149" spans="1:33" s="29" customFormat="1" ht="15" customHeight="1" x14ac:dyDescent="0.25">
      <c r="A1149" s="14">
        <v>5</v>
      </c>
      <c r="B1149" s="15">
        <v>46022</v>
      </c>
      <c r="C1149" s="15">
        <f t="shared" si="1088"/>
        <v>46030</v>
      </c>
      <c r="D1149" s="14">
        <v>14010</v>
      </c>
      <c r="E1149" s="16" t="s">
        <v>769</v>
      </c>
      <c r="F1149" s="17" t="s">
        <v>770</v>
      </c>
      <c r="G1149" s="17" t="s">
        <v>132</v>
      </c>
      <c r="H1149" s="18" t="s">
        <v>78</v>
      </c>
      <c r="I1149" s="19" t="s">
        <v>79</v>
      </c>
      <c r="J1149" s="20">
        <v>45979</v>
      </c>
      <c r="K1149" s="20">
        <v>46014</v>
      </c>
      <c r="L1149" s="21">
        <v>80000</v>
      </c>
      <c r="M1149" s="22">
        <f t="shared" si="1089"/>
        <v>100830</v>
      </c>
      <c r="N1149" s="23">
        <v>0</v>
      </c>
      <c r="O1149" s="23">
        <v>100830</v>
      </c>
      <c r="P1149" s="24">
        <f t="shared" si="1090"/>
        <v>80000</v>
      </c>
      <c r="Q1149" s="25">
        <v>100830</v>
      </c>
      <c r="R1149" s="26">
        <v>232443</v>
      </c>
      <c r="S1149" s="91">
        <f t="shared" si="1086"/>
        <v>0.34417039876442829</v>
      </c>
      <c r="T1149" s="91">
        <f t="shared" si="1087"/>
        <v>0.43378376634271626</v>
      </c>
      <c r="U1149" s="27" t="s">
        <v>56</v>
      </c>
      <c r="V1149" s="19" t="s">
        <v>51</v>
      </c>
      <c r="W1149" s="20">
        <v>46002</v>
      </c>
      <c r="X1149" s="22"/>
      <c r="Y1149" s="19" t="s">
        <v>52</v>
      </c>
      <c r="Z1149" s="19" t="s">
        <v>52</v>
      </c>
      <c r="AA1149" s="19" t="s">
        <v>52</v>
      </c>
      <c r="AB1149" s="28"/>
    </row>
    <row r="1150" spans="1:33" s="29" customFormat="1" ht="15" customHeight="1" x14ac:dyDescent="0.25">
      <c r="A1150" s="14">
        <v>3</v>
      </c>
      <c r="B1150" s="15">
        <v>46022</v>
      </c>
      <c r="C1150" s="15">
        <f t="shared" si="1088"/>
        <v>46030</v>
      </c>
      <c r="D1150" s="14">
        <v>14062</v>
      </c>
      <c r="E1150" s="16" t="s">
        <v>422</v>
      </c>
      <c r="F1150" s="40" t="s">
        <v>476</v>
      </c>
      <c r="G1150" s="17" t="s">
        <v>75</v>
      </c>
      <c r="H1150" s="18" t="s">
        <v>78</v>
      </c>
      <c r="I1150" s="19" t="s">
        <v>79</v>
      </c>
      <c r="J1150" s="20">
        <v>45980</v>
      </c>
      <c r="K1150" s="20" t="s">
        <v>65</v>
      </c>
      <c r="L1150" s="21">
        <v>550000</v>
      </c>
      <c r="M1150" s="22">
        <f t="shared" ref="M1150" si="1091">SUM(N1150:O1150)</f>
        <v>405000</v>
      </c>
      <c r="N1150" s="23">
        <v>150000</v>
      </c>
      <c r="O1150" s="23">
        <v>255000</v>
      </c>
      <c r="P1150" s="24">
        <f t="shared" si="1090"/>
        <v>400000</v>
      </c>
      <c r="Q1150" s="25">
        <v>255000</v>
      </c>
      <c r="R1150" s="26">
        <v>210000</v>
      </c>
      <c r="S1150" s="91">
        <f t="shared" si="1086"/>
        <v>1.9047619047619047</v>
      </c>
      <c r="T1150" s="91">
        <f t="shared" si="1087"/>
        <v>1.2142857142857142</v>
      </c>
      <c r="U1150" s="27" t="s">
        <v>56</v>
      </c>
      <c r="V1150" s="19" t="s">
        <v>51</v>
      </c>
      <c r="W1150" s="20">
        <v>45996</v>
      </c>
      <c r="X1150" s="22"/>
      <c r="Y1150" s="19" t="s">
        <v>52</v>
      </c>
      <c r="Z1150" s="19" t="s">
        <v>52</v>
      </c>
      <c r="AA1150" s="19" t="s">
        <v>52</v>
      </c>
      <c r="AB1150" s="28"/>
    </row>
    <row r="1151" spans="1:33" ht="15" customHeight="1" x14ac:dyDescent="0.25">
      <c r="A1151" s="33" t="s">
        <v>71</v>
      </c>
      <c r="B1151" s="34"/>
      <c r="C1151" s="34"/>
      <c r="D1151" s="34"/>
      <c r="E1151" s="34"/>
      <c r="F1151" s="35"/>
      <c r="G1151" s="35"/>
      <c r="H1151" s="34"/>
      <c r="I1151" s="34"/>
      <c r="J1151" s="34"/>
      <c r="K1151" s="34"/>
      <c r="L1151" s="36"/>
      <c r="M1151" s="36"/>
      <c r="N1151" s="36"/>
      <c r="O1151" s="36"/>
      <c r="P1151" s="36"/>
      <c r="Q1151" s="36">
        <f>SUM(Q1144:Q1150)</f>
        <v>2104830</v>
      </c>
      <c r="R1151" s="36"/>
      <c r="S1151" s="92"/>
      <c r="T1151" s="93">
        <f>SUM(T1144:T1150)</f>
        <v>20.168962337771291</v>
      </c>
      <c r="U1151" s="37"/>
      <c r="V1151" s="38"/>
      <c r="W1151" s="38"/>
      <c r="X1151" s="38"/>
      <c r="Y1151" s="34"/>
      <c r="Z1151" s="34"/>
      <c r="AA1151" s="39"/>
      <c r="AB1151" s="29" t="s">
        <v>1053</v>
      </c>
      <c r="AC1151" s="81" t="s">
        <v>1066</v>
      </c>
      <c r="AD1151" s="83">
        <v>5000</v>
      </c>
      <c r="AF1151" s="83">
        <v>0</v>
      </c>
      <c r="AG1151" s="83">
        <f>SUM(AD1151,AF1151)</f>
        <v>5000</v>
      </c>
    </row>
    <row r="1152" spans="1:33" s="29" customFormat="1" ht="15" customHeight="1" x14ac:dyDescent="0.25">
      <c r="A1152" s="14">
        <v>6</v>
      </c>
      <c r="B1152" s="15">
        <v>46022</v>
      </c>
      <c r="C1152" s="15">
        <f>B1152+8</f>
        <v>46030</v>
      </c>
      <c r="D1152" s="14">
        <v>14092</v>
      </c>
      <c r="E1152" s="16" t="s">
        <v>660</v>
      </c>
      <c r="F1152" s="17" t="s">
        <v>629</v>
      </c>
      <c r="G1152" s="17" t="s">
        <v>47</v>
      </c>
      <c r="H1152" s="18" t="s">
        <v>775</v>
      </c>
      <c r="I1152" s="19" t="s">
        <v>55</v>
      </c>
      <c r="J1152" s="20">
        <v>45986</v>
      </c>
      <c r="K1152" s="20">
        <v>46027</v>
      </c>
      <c r="L1152" s="21">
        <v>300000</v>
      </c>
      <c r="M1152" s="22">
        <f>SUM(N1152:O1152)</f>
        <v>329000</v>
      </c>
      <c r="N1152" s="23">
        <v>0</v>
      </c>
      <c r="O1152" s="23">
        <v>329000</v>
      </c>
      <c r="P1152" s="24">
        <f>L1152-N1152</f>
        <v>300000</v>
      </c>
      <c r="Q1152" s="25">
        <v>329000</v>
      </c>
      <c r="R1152" s="26">
        <v>50000</v>
      </c>
      <c r="S1152" s="91">
        <f t="shared" ref="S1152:S1154" si="1092">IF(P1152&gt;0,P1152/$R1152,0)</f>
        <v>6</v>
      </c>
      <c r="T1152" s="91">
        <f t="shared" ref="T1152:T1154" si="1093">IF(Q1152&gt;0,Q1152/$R1152,0)</f>
        <v>6.58</v>
      </c>
      <c r="U1152" s="27" t="s">
        <v>56</v>
      </c>
      <c r="V1152" s="19" t="s">
        <v>51</v>
      </c>
      <c r="W1152" s="20">
        <v>45999</v>
      </c>
      <c r="X1152" s="22"/>
      <c r="Y1152" s="19" t="s">
        <v>52</v>
      </c>
      <c r="Z1152" s="19" t="s">
        <v>52</v>
      </c>
      <c r="AA1152" s="19" t="s">
        <v>52</v>
      </c>
      <c r="AB1152" s="42"/>
    </row>
    <row r="1153" spans="1:33" s="29" customFormat="1" ht="15" customHeight="1" x14ac:dyDescent="0.25">
      <c r="A1153" s="14">
        <v>13</v>
      </c>
      <c r="B1153" s="15">
        <v>46022</v>
      </c>
      <c r="C1153" s="15">
        <f>B1153+8</f>
        <v>46030</v>
      </c>
      <c r="D1153" s="14">
        <v>14064</v>
      </c>
      <c r="E1153" s="16" t="s">
        <v>464</v>
      </c>
      <c r="F1153" s="40" t="s">
        <v>465</v>
      </c>
      <c r="G1153" s="17" t="s">
        <v>75</v>
      </c>
      <c r="H1153" s="18" t="s">
        <v>113</v>
      </c>
      <c r="I1153" s="19" t="s">
        <v>64</v>
      </c>
      <c r="J1153" s="20">
        <v>45982</v>
      </c>
      <c r="K1153" s="20">
        <v>46010</v>
      </c>
      <c r="L1153" s="21">
        <v>1000000</v>
      </c>
      <c r="M1153" s="22">
        <f t="shared" ref="M1153" si="1094">SUM(N1153:O1153)</f>
        <v>1017000</v>
      </c>
      <c r="N1153" s="23"/>
      <c r="O1153" s="23">
        <v>1017000</v>
      </c>
      <c r="P1153" s="24">
        <f>L1153-N1153</f>
        <v>1000000</v>
      </c>
      <c r="Q1153" s="25">
        <v>1017000</v>
      </c>
      <c r="R1153" s="26">
        <v>150000</v>
      </c>
      <c r="S1153" s="91">
        <f t="shared" si="1092"/>
        <v>6.666666666666667</v>
      </c>
      <c r="T1153" s="91">
        <f t="shared" si="1093"/>
        <v>6.78</v>
      </c>
      <c r="U1153" s="27" t="s">
        <v>192</v>
      </c>
      <c r="V1153" s="19" t="s">
        <v>51</v>
      </c>
      <c r="W1153" s="20">
        <v>45999</v>
      </c>
      <c r="X1153" s="22"/>
      <c r="Y1153" s="19" t="s">
        <v>52</v>
      </c>
      <c r="Z1153" s="19" t="s">
        <v>52</v>
      </c>
      <c r="AA1153" s="19" t="s">
        <v>52</v>
      </c>
      <c r="AB1153" s="28"/>
    </row>
    <row r="1154" spans="1:33" s="29" customFormat="1" ht="15" customHeight="1" x14ac:dyDescent="0.25">
      <c r="A1154" s="14">
        <v>5</v>
      </c>
      <c r="B1154" s="15">
        <v>46022</v>
      </c>
      <c r="C1154" s="15">
        <f t="shared" ref="C1154" si="1095">B1154+8</f>
        <v>46030</v>
      </c>
      <c r="D1154" s="14">
        <v>14097</v>
      </c>
      <c r="E1154" s="16" t="s">
        <v>728</v>
      </c>
      <c r="F1154" s="17" t="s">
        <v>469</v>
      </c>
      <c r="G1154" s="17" t="s">
        <v>47</v>
      </c>
      <c r="H1154" s="18" t="s">
        <v>57</v>
      </c>
      <c r="I1154" s="19" t="s">
        <v>58</v>
      </c>
      <c r="J1154" s="20">
        <v>45987</v>
      </c>
      <c r="K1154" s="20">
        <v>46017</v>
      </c>
      <c r="L1154" s="21">
        <v>2000000</v>
      </c>
      <c r="M1154" s="22">
        <f t="shared" ref="M1154" si="1096">SUM(N1154:O1154)</f>
        <v>1500000</v>
      </c>
      <c r="N1154" s="23">
        <v>0</v>
      </c>
      <c r="O1154" s="23">
        <v>1500000</v>
      </c>
      <c r="P1154" s="24">
        <f t="shared" ref="P1154" si="1097">L1154-N1154</f>
        <v>2000000</v>
      </c>
      <c r="Q1154" s="25">
        <v>1300000</v>
      </c>
      <c r="R1154" s="26">
        <v>96000</v>
      </c>
      <c r="S1154" s="91">
        <f t="shared" si="1092"/>
        <v>20.833333333333332</v>
      </c>
      <c r="T1154" s="91">
        <f t="shared" si="1093"/>
        <v>13.541666666666666</v>
      </c>
      <c r="U1154" s="27" t="s">
        <v>192</v>
      </c>
      <c r="V1154" s="30" t="s">
        <v>59</v>
      </c>
      <c r="W1154" s="31">
        <v>46015</v>
      </c>
      <c r="X1154" s="22"/>
      <c r="Y1154" s="19" t="s">
        <v>52</v>
      </c>
      <c r="Z1154" s="19" t="s">
        <v>52</v>
      </c>
      <c r="AA1154" s="19" t="s">
        <v>52</v>
      </c>
      <c r="AB1154" s="42"/>
    </row>
    <row r="1155" spans="1:33" ht="15" customHeight="1" x14ac:dyDescent="0.25">
      <c r="A1155" s="33" t="s">
        <v>71</v>
      </c>
      <c r="B1155" s="34"/>
      <c r="C1155" s="34"/>
      <c r="D1155" s="34"/>
      <c r="E1155" s="34"/>
      <c r="F1155" s="35"/>
      <c r="G1155" s="35"/>
      <c r="H1155" s="34"/>
      <c r="I1155" s="34"/>
      <c r="J1155" s="34"/>
      <c r="K1155" s="34"/>
      <c r="L1155" s="36"/>
      <c r="M1155" s="36"/>
      <c r="N1155" s="36"/>
      <c r="O1155" s="36"/>
      <c r="P1155" s="36"/>
      <c r="Q1155" s="36">
        <f>SUM(Q1152:Q1154)</f>
        <v>2646000</v>
      </c>
      <c r="R1155" s="36"/>
      <c r="S1155" s="92"/>
      <c r="T1155" s="93">
        <f>SUM(T1152:T1154)</f>
        <v>26.901666666666664</v>
      </c>
      <c r="U1155" s="37"/>
      <c r="V1155" s="38"/>
      <c r="W1155" s="38"/>
      <c r="X1155" s="38"/>
      <c r="Y1155" s="34"/>
      <c r="Z1155" s="34"/>
      <c r="AA1155" s="39"/>
      <c r="AB1155" s="29" t="s">
        <v>1054</v>
      </c>
      <c r="AC1155" s="81" t="s">
        <v>1058</v>
      </c>
      <c r="AD1155" s="83">
        <v>5000</v>
      </c>
      <c r="AF1155" s="83">
        <v>0</v>
      </c>
      <c r="AG1155" s="83">
        <f>SUM(AD1155,AF1155)</f>
        <v>5000</v>
      </c>
    </row>
    <row r="1156" spans="1:33" s="29" customFormat="1" ht="15" customHeight="1" x14ac:dyDescent="0.25">
      <c r="A1156" s="14">
        <v>38</v>
      </c>
      <c r="B1156" s="15">
        <v>46028</v>
      </c>
      <c r="C1156" s="15">
        <f>B1156+8</f>
        <v>46036</v>
      </c>
      <c r="D1156" s="14">
        <v>13915</v>
      </c>
      <c r="E1156" s="16" t="s">
        <v>297</v>
      </c>
      <c r="F1156" s="17" t="s">
        <v>298</v>
      </c>
      <c r="G1156" s="17" t="s">
        <v>102</v>
      </c>
      <c r="H1156" s="18" t="s">
        <v>57</v>
      </c>
      <c r="I1156" s="19" t="s">
        <v>94</v>
      </c>
      <c r="J1156" s="20">
        <v>45971</v>
      </c>
      <c r="K1156" s="20">
        <v>46020</v>
      </c>
      <c r="L1156" s="21">
        <v>500000</v>
      </c>
      <c r="M1156" s="22">
        <f>SUM(N1156:O1156)</f>
        <v>518000</v>
      </c>
      <c r="N1156" s="23">
        <v>480000</v>
      </c>
      <c r="O1156" s="23">
        <v>38000</v>
      </c>
      <c r="P1156" s="24">
        <f>L1156-N1156</f>
        <v>20000</v>
      </c>
      <c r="Q1156" s="25">
        <v>41000</v>
      </c>
      <c r="R1156" s="26">
        <v>30000</v>
      </c>
      <c r="S1156" s="91">
        <f t="shared" ref="S1156:S1168" si="1098">IF(P1156&gt;0,P1156/$R1156,0)</f>
        <v>0.66666666666666663</v>
      </c>
      <c r="T1156" s="91">
        <f t="shared" ref="T1156:T1168" si="1099">IF(Q1156&gt;0,Q1156/$R1156,0)</f>
        <v>1.3666666666666667</v>
      </c>
      <c r="U1156" s="27" t="s">
        <v>192</v>
      </c>
      <c r="V1156" s="19" t="s">
        <v>51</v>
      </c>
      <c r="W1156" s="20">
        <v>45981</v>
      </c>
      <c r="X1156" s="22"/>
      <c r="Y1156" s="19" t="s">
        <v>52</v>
      </c>
      <c r="Z1156" s="19" t="s">
        <v>52</v>
      </c>
      <c r="AA1156" s="19" t="s">
        <v>52</v>
      </c>
      <c r="AB1156" s="28"/>
    </row>
    <row r="1157" spans="1:33" s="29" customFormat="1" ht="15" customHeight="1" x14ac:dyDescent="0.25">
      <c r="A1157" s="14">
        <v>5</v>
      </c>
      <c r="B1157" s="15">
        <v>46028</v>
      </c>
      <c r="C1157" s="15">
        <f>B1157+8</f>
        <v>46036</v>
      </c>
      <c r="D1157" s="14">
        <v>14097</v>
      </c>
      <c r="E1157" s="16" t="s">
        <v>728</v>
      </c>
      <c r="F1157" s="17" t="s">
        <v>469</v>
      </c>
      <c r="G1157" s="17" t="s">
        <v>47</v>
      </c>
      <c r="H1157" s="18" t="s">
        <v>57</v>
      </c>
      <c r="I1157" s="19" t="s">
        <v>58</v>
      </c>
      <c r="J1157" s="20">
        <v>45987</v>
      </c>
      <c r="K1157" s="20">
        <v>46017</v>
      </c>
      <c r="L1157" s="21">
        <v>2000000</v>
      </c>
      <c r="M1157" s="22">
        <f t="shared" ref="M1157" si="1100">SUM(N1157:O1157)</f>
        <v>1778000</v>
      </c>
      <c r="N1157" s="23">
        <v>0</v>
      </c>
      <c r="O1157" s="23">
        <v>1778000</v>
      </c>
      <c r="P1157" s="24">
        <f>L1157-N1157</f>
        <v>2000000</v>
      </c>
      <c r="Q1157" s="25">
        <v>578000</v>
      </c>
      <c r="R1157" s="26">
        <v>96000</v>
      </c>
      <c r="S1157" s="91">
        <f t="shared" si="1098"/>
        <v>20.833333333333332</v>
      </c>
      <c r="T1157" s="91">
        <f t="shared" si="1099"/>
        <v>6.020833333333333</v>
      </c>
      <c r="U1157" s="27" t="s">
        <v>192</v>
      </c>
      <c r="V1157" s="30" t="s">
        <v>59</v>
      </c>
      <c r="W1157" s="31">
        <v>46015</v>
      </c>
      <c r="X1157" s="22"/>
      <c r="Y1157" s="19" t="s">
        <v>52</v>
      </c>
      <c r="Z1157" s="19" t="s">
        <v>52</v>
      </c>
      <c r="AA1157" s="19" t="s">
        <v>52</v>
      </c>
      <c r="AB1157" s="42"/>
    </row>
    <row r="1158" spans="1:33" s="29" customFormat="1" ht="15" customHeight="1" x14ac:dyDescent="0.25">
      <c r="A1158" s="14">
        <v>7</v>
      </c>
      <c r="B1158" s="15">
        <v>46028</v>
      </c>
      <c r="C1158" s="15">
        <f>B1158+8</f>
        <v>46036</v>
      </c>
      <c r="D1158" s="14">
        <v>14123</v>
      </c>
      <c r="E1158" s="16" t="s">
        <v>462</v>
      </c>
      <c r="F1158" s="40" t="s">
        <v>463</v>
      </c>
      <c r="G1158" s="17" t="s">
        <v>75</v>
      </c>
      <c r="H1158" s="18" t="s">
        <v>542</v>
      </c>
      <c r="I1158" s="19" t="s">
        <v>49</v>
      </c>
      <c r="J1158" s="20">
        <v>45994</v>
      </c>
      <c r="K1158" s="20">
        <v>46029</v>
      </c>
      <c r="L1158" s="21">
        <v>150000</v>
      </c>
      <c r="M1158" s="22">
        <f t="shared" ref="M1158:M1166" si="1101">SUM(N1158:O1158)</f>
        <v>24000</v>
      </c>
      <c r="N1158" s="23">
        <v>24000</v>
      </c>
      <c r="O1158" s="23">
        <v>0</v>
      </c>
      <c r="P1158" s="24">
        <f>L1158-N1158</f>
        <v>126000</v>
      </c>
      <c r="Q1158" s="25">
        <v>114000</v>
      </c>
      <c r="R1158" s="26">
        <v>150000</v>
      </c>
      <c r="S1158" s="91">
        <f t="shared" si="1098"/>
        <v>0.84</v>
      </c>
      <c r="T1158" s="91">
        <f t="shared" si="1099"/>
        <v>0.76</v>
      </c>
      <c r="U1158" s="27" t="s">
        <v>192</v>
      </c>
      <c r="V1158" s="19" t="s">
        <v>51</v>
      </c>
      <c r="W1158" s="20">
        <v>46015</v>
      </c>
      <c r="X1158" s="22"/>
      <c r="Y1158" s="19" t="s">
        <v>52</v>
      </c>
      <c r="Z1158" s="19" t="s">
        <v>52</v>
      </c>
      <c r="AA1158" s="19" t="s">
        <v>52</v>
      </c>
      <c r="AB1158" s="28"/>
    </row>
    <row r="1159" spans="1:33" s="29" customFormat="1" ht="15" customHeight="1" x14ac:dyDescent="0.25">
      <c r="A1159" s="14">
        <v>21</v>
      </c>
      <c r="B1159" s="15">
        <v>46028</v>
      </c>
      <c r="C1159" s="15">
        <f t="shared" ref="C1159" si="1102">B1159+8</f>
        <v>46036</v>
      </c>
      <c r="D1159" s="14">
        <v>14131</v>
      </c>
      <c r="E1159" s="16" t="s">
        <v>436</v>
      </c>
      <c r="F1159" s="40" t="s">
        <v>437</v>
      </c>
      <c r="G1159" s="17" t="s">
        <v>75</v>
      </c>
      <c r="H1159" s="18" t="s">
        <v>57</v>
      </c>
      <c r="I1159" s="19" t="s">
        <v>94</v>
      </c>
      <c r="J1159" s="20">
        <v>45995</v>
      </c>
      <c r="K1159" s="20">
        <v>46036</v>
      </c>
      <c r="L1159" s="21">
        <v>600000</v>
      </c>
      <c r="M1159" s="22">
        <f t="shared" si="1101"/>
        <v>0</v>
      </c>
      <c r="N1159" s="23">
        <v>0</v>
      </c>
      <c r="O1159" s="23">
        <v>0</v>
      </c>
      <c r="P1159" s="24">
        <f t="shared" ref="P1159" si="1103">L1159-N1159</f>
        <v>600000</v>
      </c>
      <c r="Q1159" s="25">
        <v>300000</v>
      </c>
      <c r="R1159" s="26">
        <v>150000</v>
      </c>
      <c r="S1159" s="91">
        <f t="shared" si="1098"/>
        <v>4</v>
      </c>
      <c r="T1159" s="91">
        <f t="shared" si="1099"/>
        <v>2</v>
      </c>
      <c r="U1159" s="27" t="s">
        <v>192</v>
      </c>
      <c r="V1159" s="30" t="s">
        <v>59</v>
      </c>
      <c r="W1159" s="31">
        <v>46024</v>
      </c>
      <c r="X1159" s="22"/>
      <c r="Y1159" s="19" t="s">
        <v>52</v>
      </c>
      <c r="Z1159" s="19" t="s">
        <v>52</v>
      </c>
      <c r="AA1159" s="19" t="s">
        <v>52</v>
      </c>
      <c r="AB1159" s="28"/>
    </row>
    <row r="1160" spans="1:33" s="29" customFormat="1" ht="15" customHeight="1" x14ac:dyDescent="0.25">
      <c r="A1160" s="14">
        <v>22</v>
      </c>
      <c r="B1160" s="15">
        <v>46028</v>
      </c>
      <c r="C1160" s="15">
        <f>B1160+8</f>
        <v>46036</v>
      </c>
      <c r="D1160" s="14">
        <v>14130</v>
      </c>
      <c r="E1160" s="16" t="s">
        <v>392</v>
      </c>
      <c r="F1160" s="40" t="s">
        <v>393</v>
      </c>
      <c r="G1160" s="17" t="s">
        <v>75</v>
      </c>
      <c r="H1160" s="18" t="s">
        <v>57</v>
      </c>
      <c r="I1160" s="19" t="s">
        <v>64</v>
      </c>
      <c r="J1160" s="20">
        <v>46000</v>
      </c>
      <c r="K1160" s="20">
        <v>46036</v>
      </c>
      <c r="L1160" s="21">
        <v>1500000</v>
      </c>
      <c r="M1160" s="22">
        <f t="shared" si="1101"/>
        <v>450000</v>
      </c>
      <c r="N1160" s="23">
        <v>0</v>
      </c>
      <c r="O1160" s="23">
        <v>450000</v>
      </c>
      <c r="P1160" s="24">
        <f t="shared" ref="P1160:P1166" si="1104">L1160-N1160</f>
        <v>1500000</v>
      </c>
      <c r="Q1160" s="25">
        <v>450000</v>
      </c>
      <c r="R1160" s="26">
        <v>150000</v>
      </c>
      <c r="S1160" s="91">
        <f t="shared" si="1098"/>
        <v>10</v>
      </c>
      <c r="T1160" s="91">
        <f t="shared" si="1099"/>
        <v>3</v>
      </c>
      <c r="U1160" s="27" t="s">
        <v>192</v>
      </c>
      <c r="V1160" s="19" t="s">
        <v>51</v>
      </c>
      <c r="W1160" s="20">
        <v>46017</v>
      </c>
      <c r="X1160" s="22"/>
      <c r="Y1160" s="19" t="s">
        <v>52</v>
      </c>
      <c r="Z1160" s="19" t="s">
        <v>52</v>
      </c>
      <c r="AA1160" s="19" t="s">
        <v>52</v>
      </c>
      <c r="AB1160" s="28"/>
    </row>
    <row r="1161" spans="1:33" s="29" customFormat="1" ht="15" customHeight="1" x14ac:dyDescent="0.25">
      <c r="A1161" s="14">
        <v>5</v>
      </c>
      <c r="B1161" s="15">
        <v>46028</v>
      </c>
      <c r="C1161" s="15">
        <f>B1161+8</f>
        <v>46036</v>
      </c>
      <c r="D1161" s="14">
        <v>14134</v>
      </c>
      <c r="E1161" s="16" t="s">
        <v>303</v>
      </c>
      <c r="F1161" s="40" t="s">
        <v>304</v>
      </c>
      <c r="G1161" s="17" t="s">
        <v>75</v>
      </c>
      <c r="H1161" s="18" t="s">
        <v>57</v>
      </c>
      <c r="I1161" s="19" t="s">
        <v>64</v>
      </c>
      <c r="J1161" s="20">
        <v>45995</v>
      </c>
      <c r="K1161" s="20">
        <v>46022</v>
      </c>
      <c r="L1161" s="21">
        <v>500000</v>
      </c>
      <c r="M1161" s="22">
        <f t="shared" si="1101"/>
        <v>350000</v>
      </c>
      <c r="N1161" s="23">
        <v>300000</v>
      </c>
      <c r="O1161" s="23">
        <v>50000</v>
      </c>
      <c r="P1161" s="24">
        <f t="shared" si="1104"/>
        <v>200000</v>
      </c>
      <c r="Q1161" s="25">
        <v>50000</v>
      </c>
      <c r="R1161" s="26">
        <v>48000</v>
      </c>
      <c r="S1161" s="91">
        <f t="shared" si="1098"/>
        <v>4.166666666666667</v>
      </c>
      <c r="T1161" s="91">
        <f t="shared" si="1099"/>
        <v>1.0416666666666667</v>
      </c>
      <c r="U1161" s="27" t="s">
        <v>192</v>
      </c>
      <c r="V1161" s="19" t="s">
        <v>51</v>
      </c>
      <c r="W1161" s="20">
        <v>45999</v>
      </c>
      <c r="X1161" s="22"/>
      <c r="Y1161" s="19" t="s">
        <v>52</v>
      </c>
      <c r="Z1161" s="19" t="s">
        <v>52</v>
      </c>
      <c r="AA1161" s="19" t="s">
        <v>52</v>
      </c>
      <c r="AB1161" s="28"/>
    </row>
    <row r="1162" spans="1:33" s="29" customFormat="1" ht="15" customHeight="1" x14ac:dyDescent="0.25">
      <c r="A1162" s="14">
        <v>34</v>
      </c>
      <c r="B1162" s="15">
        <v>46028</v>
      </c>
      <c r="C1162" s="15">
        <f>B1162+8</f>
        <v>46036</v>
      </c>
      <c r="D1162" s="14">
        <v>14085</v>
      </c>
      <c r="E1162" s="16" t="s">
        <v>938</v>
      </c>
      <c r="F1162" s="40" t="s">
        <v>933</v>
      </c>
      <c r="G1162" s="17" t="s">
        <v>75</v>
      </c>
      <c r="H1162" s="18" t="s">
        <v>542</v>
      </c>
      <c r="I1162" s="19" t="s">
        <v>49</v>
      </c>
      <c r="J1162" s="20">
        <v>45985</v>
      </c>
      <c r="K1162" s="20">
        <v>45992</v>
      </c>
      <c r="L1162" s="21">
        <v>120000</v>
      </c>
      <c r="M1162" s="22">
        <f t="shared" si="1101"/>
        <v>120000</v>
      </c>
      <c r="N1162" s="23">
        <v>51000</v>
      </c>
      <c r="O1162" s="23">
        <v>69000</v>
      </c>
      <c r="P1162" s="24">
        <f t="shared" si="1104"/>
        <v>69000</v>
      </c>
      <c r="Q1162" s="25">
        <v>69000</v>
      </c>
      <c r="R1162" s="26">
        <v>150000</v>
      </c>
      <c r="S1162" s="91">
        <f t="shared" si="1098"/>
        <v>0.46</v>
      </c>
      <c r="T1162" s="91">
        <f t="shared" si="1099"/>
        <v>0.46</v>
      </c>
      <c r="U1162" s="27" t="s">
        <v>192</v>
      </c>
      <c r="V1162" s="19" t="s">
        <v>51</v>
      </c>
      <c r="W1162" s="20">
        <v>45981</v>
      </c>
      <c r="X1162" s="22"/>
      <c r="Y1162" s="19" t="s">
        <v>52</v>
      </c>
      <c r="Z1162" s="19" t="s">
        <v>52</v>
      </c>
      <c r="AA1162" s="19" t="s">
        <v>52</v>
      </c>
      <c r="AB1162" s="28"/>
    </row>
    <row r="1163" spans="1:33" s="29" customFormat="1" ht="15" customHeight="1" x14ac:dyDescent="0.25">
      <c r="A1163" s="14">
        <v>34</v>
      </c>
      <c r="B1163" s="15">
        <v>46028</v>
      </c>
      <c r="C1163" s="15">
        <f>B1163+8</f>
        <v>46036</v>
      </c>
      <c r="D1163" s="14">
        <v>12697</v>
      </c>
      <c r="E1163" s="16" t="s">
        <v>125</v>
      </c>
      <c r="F1163" s="40" t="s">
        <v>126</v>
      </c>
      <c r="G1163" s="17" t="s">
        <v>75</v>
      </c>
      <c r="H1163" s="18" t="s">
        <v>57</v>
      </c>
      <c r="I1163" s="19" t="s">
        <v>94</v>
      </c>
      <c r="J1163" s="20">
        <v>45733</v>
      </c>
      <c r="K1163" s="20">
        <v>45751</v>
      </c>
      <c r="L1163" s="21">
        <v>350000</v>
      </c>
      <c r="M1163" s="22">
        <f t="shared" si="1101"/>
        <v>232000</v>
      </c>
      <c r="N1163" s="23">
        <v>150000</v>
      </c>
      <c r="O1163" s="23">
        <v>82000</v>
      </c>
      <c r="P1163" s="24">
        <f t="shared" si="1104"/>
        <v>200000</v>
      </c>
      <c r="Q1163" s="25">
        <v>82000</v>
      </c>
      <c r="R1163" s="26">
        <v>50000</v>
      </c>
      <c r="S1163" s="91">
        <f t="shared" si="1098"/>
        <v>4</v>
      </c>
      <c r="T1163" s="91">
        <f t="shared" si="1099"/>
        <v>1.64</v>
      </c>
      <c r="U1163" s="27" t="s">
        <v>192</v>
      </c>
      <c r="V1163" s="19" t="s">
        <v>51</v>
      </c>
      <c r="W1163" s="20">
        <v>45771</v>
      </c>
      <c r="X1163" s="22"/>
      <c r="Y1163" s="19" t="s">
        <v>52</v>
      </c>
      <c r="Z1163" s="19" t="s">
        <v>52</v>
      </c>
      <c r="AA1163" s="19" t="s">
        <v>52</v>
      </c>
      <c r="AB1163" s="28"/>
    </row>
    <row r="1164" spans="1:33" s="29" customFormat="1" ht="15" customHeight="1" x14ac:dyDescent="0.25">
      <c r="A1164" s="14">
        <v>4</v>
      </c>
      <c r="B1164" s="15">
        <v>46028</v>
      </c>
      <c r="C1164" s="15">
        <f>B1164+8</f>
        <v>46036</v>
      </c>
      <c r="D1164" s="14">
        <v>13959</v>
      </c>
      <c r="E1164" s="16" t="s">
        <v>740</v>
      </c>
      <c r="F1164" s="17" t="s">
        <v>317</v>
      </c>
      <c r="G1164" s="17" t="s">
        <v>132</v>
      </c>
      <c r="H1164" s="18" t="s">
        <v>133</v>
      </c>
      <c r="I1164" s="19" t="s">
        <v>198</v>
      </c>
      <c r="J1164" s="20">
        <v>45974</v>
      </c>
      <c r="K1164" s="20">
        <v>46013</v>
      </c>
      <c r="L1164" s="21">
        <v>2000000</v>
      </c>
      <c r="M1164" s="22">
        <f t="shared" si="1101"/>
        <v>1152000</v>
      </c>
      <c r="N1164" s="23">
        <v>384000</v>
      </c>
      <c r="O1164" s="23">
        <v>768000</v>
      </c>
      <c r="P1164" s="24">
        <f t="shared" si="1104"/>
        <v>1616000</v>
      </c>
      <c r="Q1164" s="25">
        <v>768000</v>
      </c>
      <c r="R1164" s="26">
        <v>128000</v>
      </c>
      <c r="S1164" s="91">
        <f t="shared" si="1098"/>
        <v>12.625</v>
      </c>
      <c r="T1164" s="91">
        <f t="shared" si="1099"/>
        <v>6</v>
      </c>
      <c r="U1164" s="27" t="s">
        <v>56</v>
      </c>
      <c r="V1164" s="19" t="s">
        <v>51</v>
      </c>
      <c r="W1164" s="20">
        <v>46018</v>
      </c>
      <c r="X1164" s="22"/>
      <c r="Y1164" s="19" t="s">
        <v>52</v>
      </c>
      <c r="Z1164" s="19" t="s">
        <v>52</v>
      </c>
      <c r="AA1164" s="19" t="s">
        <v>52</v>
      </c>
      <c r="AB1164" s="28"/>
    </row>
    <row r="1165" spans="1:33" s="29" customFormat="1" ht="15" customHeight="1" x14ac:dyDescent="0.25">
      <c r="A1165" s="14">
        <v>15</v>
      </c>
      <c r="B1165" s="15">
        <v>46028</v>
      </c>
      <c r="C1165" s="15">
        <f t="shared" ref="C1165" si="1105">B1165+8</f>
        <v>46036</v>
      </c>
      <c r="D1165" s="14">
        <v>14005</v>
      </c>
      <c r="E1165" s="16" t="s">
        <v>353</v>
      </c>
      <c r="F1165" s="40" t="s">
        <v>354</v>
      </c>
      <c r="G1165" s="17" t="s">
        <v>75</v>
      </c>
      <c r="H1165" s="18" t="s">
        <v>78</v>
      </c>
      <c r="I1165" s="19" t="s">
        <v>79</v>
      </c>
      <c r="J1165" s="20">
        <v>45979</v>
      </c>
      <c r="K1165" s="20">
        <v>46014</v>
      </c>
      <c r="L1165" s="21">
        <v>1880000</v>
      </c>
      <c r="M1165" s="22">
        <f t="shared" si="1101"/>
        <v>1800000</v>
      </c>
      <c r="N1165" s="23">
        <v>1680000</v>
      </c>
      <c r="O1165" s="23">
        <v>120000</v>
      </c>
      <c r="P1165" s="24">
        <f t="shared" si="1104"/>
        <v>200000</v>
      </c>
      <c r="Q1165" s="25">
        <v>120000</v>
      </c>
      <c r="R1165" s="26">
        <v>84000</v>
      </c>
      <c r="S1165" s="91">
        <f t="shared" si="1098"/>
        <v>2.3809523809523809</v>
      </c>
      <c r="T1165" s="91">
        <f t="shared" si="1099"/>
        <v>1.4285714285714286</v>
      </c>
      <c r="U1165" s="27" t="s">
        <v>56</v>
      </c>
      <c r="V1165" s="19" t="s">
        <v>51</v>
      </c>
      <c r="W1165" s="20">
        <v>46017</v>
      </c>
      <c r="X1165" s="22"/>
      <c r="Y1165" s="19" t="s">
        <v>52</v>
      </c>
      <c r="Z1165" s="19" t="s">
        <v>52</v>
      </c>
      <c r="AA1165" s="19" t="s">
        <v>52</v>
      </c>
      <c r="AB1165" s="28"/>
    </row>
    <row r="1166" spans="1:33" s="29" customFormat="1" ht="15" customHeight="1" x14ac:dyDescent="0.25">
      <c r="A1166" s="14">
        <v>24</v>
      </c>
      <c r="B1166" s="15">
        <v>46028</v>
      </c>
      <c r="C1166" s="15">
        <f>B1166+8</f>
        <v>46036</v>
      </c>
      <c r="D1166" s="14">
        <v>14188</v>
      </c>
      <c r="E1166" s="16" t="s">
        <v>422</v>
      </c>
      <c r="F1166" s="40" t="s">
        <v>476</v>
      </c>
      <c r="G1166" s="17" t="s">
        <v>75</v>
      </c>
      <c r="H1166" s="18" t="s">
        <v>78</v>
      </c>
      <c r="I1166" s="19" t="s">
        <v>79</v>
      </c>
      <c r="J1166" s="20">
        <v>46006</v>
      </c>
      <c r="K1166" s="20">
        <v>46038</v>
      </c>
      <c r="L1166" s="21">
        <v>550000</v>
      </c>
      <c r="M1166" s="22">
        <f t="shared" si="1101"/>
        <v>150000</v>
      </c>
      <c r="N1166" s="23">
        <v>0</v>
      </c>
      <c r="O1166" s="23">
        <v>150000</v>
      </c>
      <c r="P1166" s="24">
        <f t="shared" si="1104"/>
        <v>550000</v>
      </c>
      <c r="Q1166" s="25">
        <v>150000</v>
      </c>
      <c r="R1166" s="26">
        <v>150000</v>
      </c>
      <c r="S1166" s="91">
        <f t="shared" si="1098"/>
        <v>3.6666666666666665</v>
      </c>
      <c r="T1166" s="91">
        <f t="shared" si="1099"/>
        <v>1</v>
      </c>
      <c r="U1166" s="27" t="s">
        <v>56</v>
      </c>
      <c r="V1166" s="19" t="s">
        <v>51</v>
      </c>
      <c r="W1166" s="20">
        <v>46017</v>
      </c>
      <c r="X1166" s="22"/>
      <c r="Y1166" s="19" t="s">
        <v>52</v>
      </c>
      <c r="Z1166" s="19" t="s">
        <v>52</v>
      </c>
      <c r="AA1166" s="19" t="s">
        <v>52</v>
      </c>
      <c r="AB1166" s="28"/>
    </row>
    <row r="1167" spans="1:33" s="29" customFormat="1" ht="15" customHeight="1" x14ac:dyDescent="0.25">
      <c r="A1167" s="14">
        <v>4</v>
      </c>
      <c r="B1167" s="15">
        <v>46028</v>
      </c>
      <c r="C1167" s="15">
        <f t="shared" ref="C1167" si="1106">B1167+8</f>
        <v>46036</v>
      </c>
      <c r="D1167" s="14">
        <v>14062</v>
      </c>
      <c r="E1167" s="16" t="s">
        <v>422</v>
      </c>
      <c r="F1167" s="40" t="s">
        <v>476</v>
      </c>
      <c r="G1167" s="17" t="s">
        <v>75</v>
      </c>
      <c r="H1167" s="18" t="s">
        <v>78</v>
      </c>
      <c r="I1167" s="19" t="s">
        <v>79</v>
      </c>
      <c r="J1167" s="20">
        <v>45980</v>
      </c>
      <c r="K1167" s="20" t="s">
        <v>65</v>
      </c>
      <c r="L1167" s="21">
        <v>550000</v>
      </c>
      <c r="M1167" s="22">
        <f t="shared" ref="M1167" si="1107">SUM(N1167:O1167)</f>
        <v>555000</v>
      </c>
      <c r="N1167" s="23">
        <v>405000</v>
      </c>
      <c r="O1167" s="23">
        <v>150000</v>
      </c>
      <c r="P1167" s="24">
        <f t="shared" ref="P1167" si="1108">L1167-N1167</f>
        <v>145000</v>
      </c>
      <c r="Q1167" s="25">
        <v>150000</v>
      </c>
      <c r="R1167" s="26">
        <v>210000</v>
      </c>
      <c r="S1167" s="91">
        <f t="shared" si="1098"/>
        <v>0.69047619047619047</v>
      </c>
      <c r="T1167" s="91">
        <f t="shared" si="1099"/>
        <v>0.7142857142857143</v>
      </c>
      <c r="U1167" s="27" t="s">
        <v>56</v>
      </c>
      <c r="V1167" s="19" t="s">
        <v>51</v>
      </c>
      <c r="W1167" s="20">
        <v>45996</v>
      </c>
      <c r="X1167" s="22"/>
      <c r="Y1167" s="19" t="s">
        <v>52</v>
      </c>
      <c r="Z1167" s="19" t="s">
        <v>52</v>
      </c>
      <c r="AA1167" s="19" t="s">
        <v>52</v>
      </c>
      <c r="AB1167" s="28"/>
    </row>
    <row r="1168" spans="1:33" s="29" customFormat="1" ht="15" customHeight="1" x14ac:dyDescent="0.25">
      <c r="A1168" s="14">
        <v>2</v>
      </c>
      <c r="B1168" s="15">
        <v>46028</v>
      </c>
      <c r="C1168" s="15">
        <f>B1168+8</f>
        <v>46036</v>
      </c>
      <c r="D1168" s="14">
        <v>14012</v>
      </c>
      <c r="E1168" s="16" t="s">
        <v>349</v>
      </c>
      <c r="F1168" s="40" t="s">
        <v>350</v>
      </c>
      <c r="G1168" s="17" t="s">
        <v>75</v>
      </c>
      <c r="H1168" s="18" t="s">
        <v>78</v>
      </c>
      <c r="I1168" s="19" t="s">
        <v>79</v>
      </c>
      <c r="J1168" s="20">
        <v>45974</v>
      </c>
      <c r="K1168" s="20" t="s">
        <v>65</v>
      </c>
      <c r="L1168" s="21">
        <v>1000000</v>
      </c>
      <c r="M1168" s="22">
        <f>SUM(N1168:O1168)</f>
        <v>1105000</v>
      </c>
      <c r="N1168" s="23">
        <v>955000</v>
      </c>
      <c r="O1168" s="23">
        <v>150000</v>
      </c>
      <c r="P1168" s="24">
        <f>L1168-N1168</f>
        <v>45000</v>
      </c>
      <c r="Q1168" s="25">
        <v>150000</v>
      </c>
      <c r="R1168" s="26">
        <v>150000</v>
      </c>
      <c r="S1168" s="91">
        <f t="shared" si="1098"/>
        <v>0.3</v>
      </c>
      <c r="T1168" s="91">
        <f t="shared" si="1099"/>
        <v>1</v>
      </c>
      <c r="U1168" s="27" t="s">
        <v>56</v>
      </c>
      <c r="V1168" s="19" t="s">
        <v>51</v>
      </c>
      <c r="W1168" s="20">
        <v>45985</v>
      </c>
      <c r="X1168" s="22"/>
      <c r="Y1168" s="19" t="s">
        <v>52</v>
      </c>
      <c r="Z1168" s="19" t="s">
        <v>52</v>
      </c>
      <c r="AA1168" s="19" t="s">
        <v>52</v>
      </c>
      <c r="AB1168" s="28"/>
    </row>
    <row r="1169" spans="1:33" s="29" customFormat="1" ht="15" customHeight="1" x14ac:dyDescent="0.25">
      <c r="A1169" s="14">
        <v>17</v>
      </c>
      <c r="B1169" s="15">
        <v>46028</v>
      </c>
      <c r="C1169" s="15">
        <f t="shared" ref="C1169" si="1109">B1169+8</f>
        <v>46036</v>
      </c>
      <c r="D1169" s="14">
        <v>14118</v>
      </c>
      <c r="E1169" s="16" t="s">
        <v>601</v>
      </c>
      <c r="F1169" s="40" t="s">
        <v>602</v>
      </c>
      <c r="G1169" s="17" t="s">
        <v>75</v>
      </c>
      <c r="H1169" s="18" t="s">
        <v>57</v>
      </c>
      <c r="I1169" s="19" t="s">
        <v>81</v>
      </c>
      <c r="J1169" s="20">
        <v>45994</v>
      </c>
      <c r="K1169" s="20">
        <v>46024</v>
      </c>
      <c r="L1169" s="21">
        <v>100000</v>
      </c>
      <c r="M1169" s="22">
        <f t="shared" ref="M1169" si="1110">SUM(N1169:O1169)</f>
        <v>100000</v>
      </c>
      <c r="N1169" s="23">
        <v>0</v>
      </c>
      <c r="O1169" s="23">
        <v>100000</v>
      </c>
      <c r="P1169" s="24">
        <f t="shared" ref="P1169" si="1111">L1169-N1169</f>
        <v>100000</v>
      </c>
      <c r="Q1169" s="25">
        <v>100000</v>
      </c>
      <c r="R1169" s="26">
        <v>150000</v>
      </c>
      <c r="S1169" s="91">
        <f t="shared" ref="S1169" si="1112">IF(P1169&gt;0,P1169/$R1169,0)</f>
        <v>0.66666666666666663</v>
      </c>
      <c r="T1169" s="91">
        <f t="shared" ref="T1169" si="1113">IF(Q1169&gt;0,Q1169/$R1169,0)</f>
        <v>0.66666666666666663</v>
      </c>
      <c r="U1169" s="27" t="s">
        <v>193</v>
      </c>
      <c r="V1169" s="30" t="s">
        <v>59</v>
      </c>
      <c r="W1169" s="31">
        <v>46024</v>
      </c>
      <c r="X1169" s="22"/>
      <c r="Y1169" s="19" t="s">
        <v>52</v>
      </c>
      <c r="Z1169" s="19" t="s">
        <v>52</v>
      </c>
      <c r="AA1169" s="19" t="s">
        <v>52</v>
      </c>
      <c r="AB1169" s="28"/>
    </row>
    <row r="1170" spans="1:33" ht="15" customHeight="1" x14ac:dyDescent="0.25">
      <c r="A1170" s="33" t="s">
        <v>71</v>
      </c>
      <c r="B1170" s="34"/>
      <c r="C1170" s="34"/>
      <c r="D1170" s="34"/>
      <c r="E1170" s="34"/>
      <c r="F1170" s="35"/>
      <c r="G1170" s="35"/>
      <c r="H1170" s="34"/>
      <c r="I1170" s="34"/>
      <c r="J1170" s="34"/>
      <c r="K1170" s="34"/>
      <c r="L1170" s="36"/>
      <c r="M1170" s="36"/>
      <c r="N1170" s="36"/>
      <c r="O1170" s="36"/>
      <c r="P1170" s="36"/>
      <c r="Q1170" s="36">
        <f>SUM(Q1156:Q1169)</f>
        <v>3122000</v>
      </c>
      <c r="R1170" s="36"/>
      <c r="S1170" s="92"/>
      <c r="T1170" s="93">
        <f>SUM(T1156:T1169)</f>
        <v>27.098690476190477</v>
      </c>
      <c r="U1170" s="37"/>
      <c r="V1170" s="38"/>
      <c r="W1170" s="38"/>
      <c r="X1170" s="38"/>
      <c r="Y1170" s="34"/>
      <c r="Z1170" s="34"/>
      <c r="AA1170" s="39"/>
      <c r="AB1170" s="29" t="s">
        <v>1055</v>
      </c>
      <c r="AC1170" s="81" t="s">
        <v>1059</v>
      </c>
      <c r="AD1170" s="83">
        <v>5000</v>
      </c>
      <c r="AF1170" s="83">
        <v>0</v>
      </c>
      <c r="AG1170" s="83">
        <f>SUM(AD1170,AF1170)</f>
        <v>5000</v>
      </c>
    </row>
    <row r="1171" spans="1:33" s="29" customFormat="1" ht="15" customHeight="1" x14ac:dyDescent="0.25">
      <c r="A1171" s="14">
        <v>2</v>
      </c>
      <c r="B1171" s="15">
        <v>46031</v>
      </c>
      <c r="C1171" s="15">
        <f>B1171+8</f>
        <v>46039</v>
      </c>
      <c r="D1171" s="14">
        <v>14169</v>
      </c>
      <c r="E1171" s="16" t="s">
        <v>428</v>
      </c>
      <c r="F1171" s="17" t="s">
        <v>429</v>
      </c>
      <c r="G1171" s="17" t="s">
        <v>47</v>
      </c>
      <c r="H1171" s="18" t="s">
        <v>542</v>
      </c>
      <c r="I1171" s="19" t="s">
        <v>70</v>
      </c>
      <c r="J1171" s="20">
        <v>46002</v>
      </c>
      <c r="K1171" s="20">
        <v>45673</v>
      </c>
      <c r="L1171" s="21">
        <v>1250000</v>
      </c>
      <c r="M1171" s="22">
        <f t="shared" ref="M1171" si="1114">SUM(N1171:O1171)</f>
        <v>1250000</v>
      </c>
      <c r="N1171" s="23">
        <v>0</v>
      </c>
      <c r="O1171" s="23">
        <v>1250000</v>
      </c>
      <c r="P1171" s="24">
        <f t="shared" ref="P1171:P1172" si="1115">L1171-N1171</f>
        <v>1250000</v>
      </c>
      <c r="Q1171" s="25">
        <v>1250000</v>
      </c>
      <c r="R1171" s="26">
        <v>50000</v>
      </c>
      <c r="S1171" s="91">
        <f t="shared" ref="S1171:S1172" si="1116">IF(P1171&gt;0,P1171/$R1171,0)</f>
        <v>25</v>
      </c>
      <c r="T1171" s="91">
        <f t="shared" ref="T1171:T1172" si="1117">IF(Q1171&gt;0,Q1171/$R1171,0)</f>
        <v>25</v>
      </c>
      <c r="U1171" s="27" t="s">
        <v>254</v>
      </c>
      <c r="V1171" s="19" t="s">
        <v>51</v>
      </c>
      <c r="W1171" s="20">
        <v>46017</v>
      </c>
      <c r="X1171" s="22"/>
      <c r="Y1171" s="19" t="s">
        <v>52</v>
      </c>
      <c r="Z1171" s="19" t="s">
        <v>52</v>
      </c>
      <c r="AA1171" s="19" t="s">
        <v>52</v>
      </c>
      <c r="AB1171" s="42"/>
    </row>
    <row r="1172" spans="1:33" s="29" customFormat="1" ht="15" customHeight="1" x14ac:dyDescent="0.25">
      <c r="A1172" s="14">
        <v>4</v>
      </c>
      <c r="B1172" s="15">
        <v>46031</v>
      </c>
      <c r="C1172" s="15">
        <f t="shared" ref="C1172" si="1118">B1172+8</f>
        <v>46039</v>
      </c>
      <c r="D1172" s="14">
        <v>13946</v>
      </c>
      <c r="E1172" s="16" t="s">
        <v>443</v>
      </c>
      <c r="F1172" s="40" t="s">
        <v>444</v>
      </c>
      <c r="G1172" s="17" t="s">
        <v>75</v>
      </c>
      <c r="H1172" s="18" t="s">
        <v>54</v>
      </c>
      <c r="I1172" s="19" t="s">
        <v>85</v>
      </c>
      <c r="J1172" s="20">
        <v>45973</v>
      </c>
      <c r="K1172" s="20">
        <v>46004</v>
      </c>
      <c r="L1172" s="21">
        <v>250000</v>
      </c>
      <c r="M1172" s="22">
        <f t="shared" ref="M1172" si="1119">SUM(N1172:O1172)</f>
        <v>280000</v>
      </c>
      <c r="N1172" s="23">
        <v>0</v>
      </c>
      <c r="O1172" s="23">
        <v>280000</v>
      </c>
      <c r="P1172" s="24">
        <f t="shared" si="1115"/>
        <v>250000</v>
      </c>
      <c r="Q1172" s="25">
        <v>280000</v>
      </c>
      <c r="R1172" s="26">
        <v>80000</v>
      </c>
      <c r="S1172" s="91">
        <f t="shared" si="1116"/>
        <v>3.125</v>
      </c>
      <c r="T1172" s="91">
        <f t="shared" si="1117"/>
        <v>3.5</v>
      </c>
      <c r="U1172" s="27" t="s">
        <v>56</v>
      </c>
      <c r="V1172" s="19" t="s">
        <v>51</v>
      </c>
      <c r="W1172" s="20">
        <v>46002</v>
      </c>
      <c r="X1172" s="22"/>
      <c r="Y1172" s="19" t="s">
        <v>52</v>
      </c>
      <c r="Z1172" s="19" t="s">
        <v>52</v>
      </c>
      <c r="AA1172" s="19" t="s">
        <v>52</v>
      </c>
      <c r="AB1172" s="28"/>
    </row>
    <row r="1173" spans="1:33" ht="15" customHeight="1" x14ac:dyDescent="0.25">
      <c r="A1173" s="33" t="s">
        <v>71</v>
      </c>
      <c r="B1173" s="34"/>
      <c r="C1173" s="34"/>
      <c r="D1173" s="34"/>
      <c r="E1173" s="34"/>
      <c r="F1173" s="35"/>
      <c r="G1173" s="35"/>
      <c r="H1173" s="34"/>
      <c r="I1173" s="34"/>
      <c r="J1173" s="34"/>
      <c r="K1173" s="34"/>
      <c r="L1173" s="36"/>
      <c r="M1173" s="36"/>
      <c r="N1173" s="36"/>
      <c r="O1173" s="36"/>
      <c r="P1173" s="36"/>
      <c r="Q1173" s="36">
        <f>SUM(Q1171:Q1172)</f>
        <v>1530000</v>
      </c>
      <c r="R1173" s="36"/>
      <c r="S1173" s="92"/>
      <c r="T1173" s="93">
        <f>SUM(T1171:T1172)</f>
        <v>28.5</v>
      </c>
      <c r="U1173" s="37"/>
      <c r="V1173" s="38"/>
      <c r="W1173" s="38"/>
      <c r="X1173" s="38"/>
      <c r="Y1173" s="34"/>
      <c r="Z1173" s="34"/>
      <c r="AA1173" s="39"/>
      <c r="AB1173" s="29" t="s">
        <v>1060</v>
      </c>
      <c r="AC1173" s="81" t="s">
        <v>1067</v>
      </c>
      <c r="AD1173" s="83">
        <v>5000</v>
      </c>
      <c r="AF1173" s="83">
        <v>0</v>
      </c>
      <c r="AG1173" s="83">
        <f>SUM(AD1173,AF1173)</f>
        <v>5000</v>
      </c>
    </row>
    <row r="1174" spans="1:33" s="29" customFormat="1" ht="15" customHeight="1" x14ac:dyDescent="0.25">
      <c r="A1174" s="14">
        <v>1</v>
      </c>
      <c r="B1174" s="15">
        <v>46032</v>
      </c>
      <c r="C1174" s="15">
        <f t="shared" ref="C1174:C1179" si="1120">B1174+8</f>
        <v>46040</v>
      </c>
      <c r="D1174" s="14">
        <v>13983</v>
      </c>
      <c r="E1174" s="16" t="s">
        <v>206</v>
      </c>
      <c r="F1174" s="40" t="s">
        <v>207</v>
      </c>
      <c r="G1174" s="17" t="s">
        <v>75</v>
      </c>
      <c r="H1174" s="18" t="s">
        <v>542</v>
      </c>
      <c r="I1174" s="19" t="s">
        <v>49</v>
      </c>
      <c r="J1174" s="20">
        <v>45975</v>
      </c>
      <c r="K1174" s="20">
        <v>46003</v>
      </c>
      <c r="L1174" s="21">
        <v>600000</v>
      </c>
      <c r="M1174" s="22">
        <f t="shared" ref="M1174" si="1121">SUM(N1174:O1174)</f>
        <v>531000</v>
      </c>
      <c r="N1174" s="23">
        <v>450000</v>
      </c>
      <c r="O1174" s="23">
        <v>81000</v>
      </c>
      <c r="P1174" s="24">
        <f t="shared" ref="P1174:P1182" si="1122">L1174-N1174</f>
        <v>150000</v>
      </c>
      <c r="Q1174" s="25">
        <v>81000</v>
      </c>
      <c r="R1174" s="26">
        <v>150000</v>
      </c>
      <c r="S1174" s="91">
        <f t="shared" ref="S1174" si="1123">IF(P1174&gt;0,P1174/$R1174,0)</f>
        <v>1</v>
      </c>
      <c r="T1174" s="91">
        <f t="shared" ref="T1174" si="1124">IF(Q1174&gt;0,Q1174/$R1174,0)</f>
        <v>0.54</v>
      </c>
      <c r="U1174" s="27" t="s">
        <v>192</v>
      </c>
      <c r="V1174" s="19" t="s">
        <v>51</v>
      </c>
      <c r="W1174" s="20">
        <v>45996</v>
      </c>
      <c r="X1174" s="22"/>
      <c r="Y1174" s="19" t="s">
        <v>52</v>
      </c>
      <c r="Z1174" s="19" t="s">
        <v>52</v>
      </c>
      <c r="AA1174" s="19" t="s">
        <v>52</v>
      </c>
      <c r="AB1174" s="28"/>
    </row>
    <row r="1175" spans="1:33" s="29" customFormat="1" ht="15" customHeight="1" x14ac:dyDescent="0.25">
      <c r="A1175" s="14">
        <v>76</v>
      </c>
      <c r="B1175" s="15">
        <v>46032</v>
      </c>
      <c r="C1175" s="15">
        <f>B1175+8</f>
        <v>46040</v>
      </c>
      <c r="D1175" s="14">
        <v>14135</v>
      </c>
      <c r="E1175" s="16" t="s">
        <v>626</v>
      </c>
      <c r="F1175" s="17" t="s">
        <v>627</v>
      </c>
      <c r="G1175" s="17" t="s">
        <v>102</v>
      </c>
      <c r="H1175" s="18" t="s">
        <v>57</v>
      </c>
      <c r="I1175" s="19" t="s">
        <v>94</v>
      </c>
      <c r="J1175" s="20">
        <v>45995</v>
      </c>
      <c r="K1175" s="20">
        <v>46050</v>
      </c>
      <c r="L1175" s="21">
        <v>100000</v>
      </c>
      <c r="M1175" s="22">
        <f>SUM(N1175:O1175)</f>
        <v>103000</v>
      </c>
      <c r="N1175" s="23">
        <v>0</v>
      </c>
      <c r="O1175" s="23">
        <v>103000</v>
      </c>
      <c r="P1175" s="24">
        <f>L1175-N1175</f>
        <v>100000</v>
      </c>
      <c r="Q1175" s="25">
        <v>103000</v>
      </c>
      <c r="R1175" s="26">
        <v>50000</v>
      </c>
      <c r="S1175" s="91">
        <f t="shared" ref="S1175:S1182" si="1125">IF(P1175&gt;0,P1175/$R1175,0)</f>
        <v>2</v>
      </c>
      <c r="T1175" s="91">
        <f t="shared" ref="T1175:T1182" si="1126">IF(Q1175&gt;0,Q1175/$R1175,0)</f>
        <v>2.06</v>
      </c>
      <c r="U1175" s="27" t="s">
        <v>192</v>
      </c>
      <c r="V1175" s="19" t="s">
        <v>51</v>
      </c>
      <c r="W1175" s="20">
        <v>46024</v>
      </c>
      <c r="X1175" s="22"/>
      <c r="Y1175" s="19" t="s">
        <v>52</v>
      </c>
      <c r="Z1175" s="19" t="s">
        <v>52</v>
      </c>
      <c r="AA1175" s="19" t="s">
        <v>52</v>
      </c>
      <c r="AB1175" s="28"/>
    </row>
    <row r="1176" spans="1:33" s="29" customFormat="1" ht="15" customHeight="1" x14ac:dyDescent="0.25">
      <c r="A1176" s="14">
        <v>56</v>
      </c>
      <c r="B1176" s="15">
        <v>46032</v>
      </c>
      <c r="C1176" s="15">
        <f>B1176+8</f>
        <v>46040</v>
      </c>
      <c r="D1176" s="14">
        <v>14127</v>
      </c>
      <c r="E1176" s="16" t="s">
        <v>721</v>
      </c>
      <c r="F1176" s="17" t="s">
        <v>124</v>
      </c>
      <c r="G1176" s="17" t="s">
        <v>102</v>
      </c>
      <c r="H1176" s="18" t="s">
        <v>57</v>
      </c>
      <c r="I1176" s="19" t="s">
        <v>58</v>
      </c>
      <c r="J1176" s="20">
        <v>45999</v>
      </c>
      <c r="K1176" s="20">
        <v>46027</v>
      </c>
      <c r="L1176" s="21">
        <v>250000</v>
      </c>
      <c r="M1176" s="22">
        <f>SUM(N1176:O1176)</f>
        <v>213000</v>
      </c>
      <c r="N1176" s="23">
        <v>0</v>
      </c>
      <c r="O1176" s="23">
        <v>213000</v>
      </c>
      <c r="P1176" s="24">
        <f>L1176-N1176</f>
        <v>250000</v>
      </c>
      <c r="Q1176" s="25">
        <v>213000</v>
      </c>
      <c r="R1176" s="26">
        <v>36000</v>
      </c>
      <c r="S1176" s="91">
        <f t="shared" si="1125"/>
        <v>6.9444444444444446</v>
      </c>
      <c r="T1176" s="91">
        <f t="shared" si="1126"/>
        <v>5.916666666666667</v>
      </c>
      <c r="U1176" s="27" t="s">
        <v>192</v>
      </c>
      <c r="V1176" s="19" t="s">
        <v>51</v>
      </c>
      <c r="W1176" s="20">
        <v>46024</v>
      </c>
      <c r="X1176" s="22"/>
      <c r="Y1176" s="19" t="s">
        <v>52</v>
      </c>
      <c r="Z1176" s="19" t="s">
        <v>52</v>
      </c>
      <c r="AA1176" s="19" t="s">
        <v>52</v>
      </c>
      <c r="AB1176" s="28"/>
    </row>
    <row r="1177" spans="1:33" s="29" customFormat="1" ht="15" customHeight="1" x14ac:dyDescent="0.25">
      <c r="A1177" s="14">
        <v>72</v>
      </c>
      <c r="B1177" s="15">
        <v>46032</v>
      </c>
      <c r="C1177" s="15">
        <f>B1177+8</f>
        <v>46040</v>
      </c>
      <c r="D1177" s="14">
        <v>14199</v>
      </c>
      <c r="E1177" s="16" t="s">
        <v>760</v>
      </c>
      <c r="F1177" s="17" t="s">
        <v>286</v>
      </c>
      <c r="G1177" s="17" t="s">
        <v>102</v>
      </c>
      <c r="H1177" s="18" t="s">
        <v>57</v>
      </c>
      <c r="I1177" s="19" t="s">
        <v>94</v>
      </c>
      <c r="J1177" s="20">
        <v>46007</v>
      </c>
      <c r="K1177" s="20">
        <v>46041</v>
      </c>
      <c r="L1177" s="21">
        <v>160000</v>
      </c>
      <c r="M1177" s="22">
        <f>SUM(N1177:O1177)</f>
        <v>159000</v>
      </c>
      <c r="N1177" s="23">
        <v>0</v>
      </c>
      <c r="O1177" s="23">
        <v>159000</v>
      </c>
      <c r="P1177" s="24">
        <f>L1177-N1177</f>
        <v>160000</v>
      </c>
      <c r="Q1177" s="25">
        <v>141000</v>
      </c>
      <c r="R1177" s="26">
        <v>45000</v>
      </c>
      <c r="S1177" s="91">
        <f t="shared" si="1125"/>
        <v>3.5555555555555554</v>
      </c>
      <c r="T1177" s="91">
        <f t="shared" si="1126"/>
        <v>3.1333333333333333</v>
      </c>
      <c r="U1177" s="27" t="s">
        <v>192</v>
      </c>
      <c r="V1177" s="19" t="s">
        <v>51</v>
      </c>
      <c r="W1177" s="20">
        <v>46024</v>
      </c>
      <c r="X1177" s="22"/>
      <c r="Y1177" s="19" t="s">
        <v>52</v>
      </c>
      <c r="Z1177" s="19" t="s">
        <v>52</v>
      </c>
      <c r="AA1177" s="19" t="s">
        <v>52</v>
      </c>
      <c r="AB1177" s="28"/>
    </row>
    <row r="1178" spans="1:33" s="29" customFormat="1" ht="15" customHeight="1" x14ac:dyDescent="0.25">
      <c r="A1178" s="14">
        <v>36</v>
      </c>
      <c r="B1178" s="15">
        <v>46032</v>
      </c>
      <c r="C1178" s="15">
        <f>B1178+8</f>
        <v>46040</v>
      </c>
      <c r="D1178" s="14">
        <v>13978</v>
      </c>
      <c r="E1178" s="16" t="s">
        <v>737</v>
      </c>
      <c r="F1178" s="17" t="s">
        <v>952</v>
      </c>
      <c r="G1178" s="17" t="s">
        <v>102</v>
      </c>
      <c r="H1178" s="18" t="s">
        <v>57</v>
      </c>
      <c r="I1178" s="19" t="s">
        <v>58</v>
      </c>
      <c r="J1178" s="20">
        <v>45973</v>
      </c>
      <c r="K1178" s="20">
        <v>46001</v>
      </c>
      <c r="L1178" s="21">
        <v>2000000</v>
      </c>
      <c r="M1178" s="22">
        <f t="shared" ref="M1178:M1182" si="1127">SUM(N1178:O1178)</f>
        <v>2033000</v>
      </c>
      <c r="N1178" s="23">
        <v>1991000</v>
      </c>
      <c r="O1178" s="23">
        <v>42000</v>
      </c>
      <c r="P1178" s="24">
        <f>L1178-N1178</f>
        <v>9000</v>
      </c>
      <c r="Q1178" s="25">
        <v>42000</v>
      </c>
      <c r="R1178" s="26">
        <v>42000</v>
      </c>
      <c r="S1178" s="91">
        <f t="shared" si="1125"/>
        <v>0.21428571428571427</v>
      </c>
      <c r="T1178" s="91">
        <f t="shared" si="1126"/>
        <v>1</v>
      </c>
      <c r="U1178" s="27" t="s">
        <v>192</v>
      </c>
      <c r="V1178" s="19" t="s">
        <v>51</v>
      </c>
      <c r="W1178" s="20">
        <v>45991</v>
      </c>
      <c r="X1178" s="22"/>
      <c r="Y1178" s="19" t="s">
        <v>52</v>
      </c>
      <c r="Z1178" s="19" t="s">
        <v>52</v>
      </c>
      <c r="AA1178" s="19" t="s">
        <v>52</v>
      </c>
      <c r="AB1178" s="28"/>
    </row>
    <row r="1179" spans="1:33" s="29" customFormat="1" ht="15" customHeight="1" x14ac:dyDescent="0.25">
      <c r="A1179" s="14">
        <v>14</v>
      </c>
      <c r="B1179" s="15">
        <v>46032</v>
      </c>
      <c r="C1179" s="15">
        <f t="shared" si="1120"/>
        <v>46040</v>
      </c>
      <c r="D1179" s="14">
        <v>14170</v>
      </c>
      <c r="E1179" s="16" t="s">
        <v>387</v>
      </c>
      <c r="F1179" s="40" t="s">
        <v>388</v>
      </c>
      <c r="G1179" s="17" t="s">
        <v>75</v>
      </c>
      <c r="H1179" s="18" t="s">
        <v>542</v>
      </c>
      <c r="I1179" s="19" t="s">
        <v>70</v>
      </c>
      <c r="J1179" s="20">
        <v>46002</v>
      </c>
      <c r="K1179" s="20">
        <v>46038</v>
      </c>
      <c r="L1179" s="21">
        <v>600000</v>
      </c>
      <c r="M1179" s="22">
        <f t="shared" si="1127"/>
        <v>600000</v>
      </c>
      <c r="N1179" s="23">
        <v>0</v>
      </c>
      <c r="O1179" s="23">
        <v>600000</v>
      </c>
      <c r="P1179" s="24">
        <f t="shared" si="1122"/>
        <v>600000</v>
      </c>
      <c r="Q1179" s="25">
        <v>600000</v>
      </c>
      <c r="R1179" s="26">
        <v>150000</v>
      </c>
      <c r="S1179" s="91">
        <f t="shared" si="1125"/>
        <v>4</v>
      </c>
      <c r="T1179" s="91">
        <f t="shared" si="1126"/>
        <v>4</v>
      </c>
      <c r="U1179" s="27" t="s">
        <v>254</v>
      </c>
      <c r="V1179" s="30" t="s">
        <v>59</v>
      </c>
      <c r="W1179" s="31">
        <v>46029</v>
      </c>
      <c r="X1179" s="22"/>
      <c r="Y1179" s="19" t="s">
        <v>52</v>
      </c>
      <c r="Z1179" s="19" t="s">
        <v>52</v>
      </c>
      <c r="AA1179" s="19" t="s">
        <v>52</v>
      </c>
      <c r="AB1179" s="28"/>
    </row>
    <row r="1180" spans="1:33" s="29" customFormat="1" ht="15" customHeight="1" x14ac:dyDescent="0.25">
      <c r="A1180" s="14">
        <v>14</v>
      </c>
      <c r="B1180" s="15">
        <v>46032</v>
      </c>
      <c r="C1180" s="15">
        <f>B1180+8</f>
        <v>46040</v>
      </c>
      <c r="D1180" s="14">
        <v>13563</v>
      </c>
      <c r="E1180" s="16" t="s">
        <v>841</v>
      </c>
      <c r="F1180" s="17" t="s">
        <v>842</v>
      </c>
      <c r="G1180" s="17" t="s">
        <v>102</v>
      </c>
      <c r="H1180" s="18" t="s">
        <v>54</v>
      </c>
      <c r="I1180" s="19" t="s">
        <v>135</v>
      </c>
      <c r="J1180" s="20">
        <v>45918</v>
      </c>
      <c r="K1180" s="20">
        <v>45947</v>
      </c>
      <c r="L1180" s="21">
        <v>86000</v>
      </c>
      <c r="M1180" s="22">
        <f t="shared" si="1127"/>
        <v>84000</v>
      </c>
      <c r="N1180" s="23">
        <v>0</v>
      </c>
      <c r="O1180" s="23">
        <v>84000</v>
      </c>
      <c r="P1180" s="24">
        <f>L1180-N1180</f>
        <v>86000</v>
      </c>
      <c r="Q1180" s="25">
        <v>84000</v>
      </c>
      <c r="R1180" s="26">
        <v>24000</v>
      </c>
      <c r="S1180" s="91">
        <f t="shared" si="1125"/>
        <v>3.5833333333333335</v>
      </c>
      <c r="T1180" s="91">
        <f t="shared" si="1126"/>
        <v>3.5</v>
      </c>
      <c r="U1180" s="27" t="s">
        <v>56</v>
      </c>
      <c r="V1180" s="19" t="s">
        <v>51</v>
      </c>
      <c r="W1180" s="20">
        <v>46024</v>
      </c>
      <c r="X1180" s="22"/>
      <c r="Y1180" s="19" t="s">
        <v>52</v>
      </c>
      <c r="Z1180" s="19" t="s">
        <v>52</v>
      </c>
      <c r="AA1180" s="19" t="s">
        <v>52</v>
      </c>
      <c r="AB1180" s="28"/>
    </row>
    <row r="1181" spans="1:33" s="29" customFormat="1" ht="15" customHeight="1" x14ac:dyDescent="0.25">
      <c r="A1181" s="14">
        <v>22</v>
      </c>
      <c r="B1181" s="15">
        <v>46032</v>
      </c>
      <c r="C1181" s="15">
        <f>B1181+8</f>
        <v>46040</v>
      </c>
      <c r="D1181" s="14">
        <v>13619</v>
      </c>
      <c r="E1181" s="16" t="s">
        <v>857</v>
      </c>
      <c r="F1181" s="17" t="s">
        <v>858</v>
      </c>
      <c r="G1181" s="17" t="s">
        <v>102</v>
      </c>
      <c r="H1181" s="18" t="s">
        <v>775</v>
      </c>
      <c r="I1181" s="19" t="s">
        <v>135</v>
      </c>
      <c r="J1181" s="20">
        <v>45919</v>
      </c>
      <c r="K1181" s="20">
        <v>45970</v>
      </c>
      <c r="L1181" s="21">
        <v>30000</v>
      </c>
      <c r="M1181" s="22">
        <f t="shared" si="1127"/>
        <v>29000</v>
      </c>
      <c r="N1181" s="23">
        <v>0</v>
      </c>
      <c r="O1181" s="23">
        <v>29000</v>
      </c>
      <c r="P1181" s="24">
        <f>L1181-N1181</f>
        <v>30000</v>
      </c>
      <c r="Q1181" s="25">
        <v>29000</v>
      </c>
      <c r="R1181" s="26">
        <v>24000</v>
      </c>
      <c r="S1181" s="91">
        <f t="shared" si="1125"/>
        <v>1.25</v>
      </c>
      <c r="T1181" s="91">
        <f t="shared" si="1126"/>
        <v>1.2083333333333333</v>
      </c>
      <c r="U1181" s="27" t="s">
        <v>56</v>
      </c>
      <c r="V1181" s="30" t="s">
        <v>68</v>
      </c>
      <c r="W1181" s="31" t="s">
        <v>68</v>
      </c>
      <c r="X1181" s="22"/>
      <c r="Y1181" s="41" t="s">
        <v>82</v>
      </c>
      <c r="Z1181" s="41" t="s">
        <v>82</v>
      </c>
      <c r="AA1181" s="41" t="s">
        <v>82</v>
      </c>
      <c r="AB1181" s="28"/>
    </row>
    <row r="1182" spans="1:33" s="29" customFormat="1" ht="15" customHeight="1" x14ac:dyDescent="0.25">
      <c r="A1182" s="14">
        <v>13</v>
      </c>
      <c r="B1182" s="15">
        <v>46032</v>
      </c>
      <c r="C1182" s="15">
        <f t="shared" ref="C1182" si="1128">B1182+8</f>
        <v>46040</v>
      </c>
      <c r="D1182" s="14">
        <v>13565</v>
      </c>
      <c r="E1182" s="16" t="s">
        <v>837</v>
      </c>
      <c r="F1182" s="17" t="s">
        <v>838</v>
      </c>
      <c r="G1182" s="17" t="s">
        <v>102</v>
      </c>
      <c r="H1182" s="18" t="s">
        <v>54</v>
      </c>
      <c r="I1182" s="19" t="s">
        <v>135</v>
      </c>
      <c r="J1182" s="20">
        <v>45918</v>
      </c>
      <c r="K1182" s="20">
        <v>45947</v>
      </c>
      <c r="L1182" s="21">
        <v>32000</v>
      </c>
      <c r="M1182" s="22">
        <f t="shared" si="1127"/>
        <v>43000</v>
      </c>
      <c r="N1182" s="23">
        <v>0</v>
      </c>
      <c r="O1182" s="23">
        <v>43000</v>
      </c>
      <c r="P1182" s="24">
        <f t="shared" si="1122"/>
        <v>32000</v>
      </c>
      <c r="Q1182" s="25">
        <v>43000</v>
      </c>
      <c r="R1182" s="26">
        <v>24000</v>
      </c>
      <c r="S1182" s="91">
        <f t="shared" si="1125"/>
        <v>1.3333333333333333</v>
      </c>
      <c r="T1182" s="91">
        <f t="shared" si="1126"/>
        <v>1.7916666666666667</v>
      </c>
      <c r="U1182" s="27" t="s">
        <v>56</v>
      </c>
      <c r="V1182" s="30" t="s">
        <v>68</v>
      </c>
      <c r="W1182" s="31" t="s">
        <v>68</v>
      </c>
      <c r="X1182" s="22"/>
      <c r="Y1182" s="41" t="s">
        <v>82</v>
      </c>
      <c r="Z1182" s="41" t="s">
        <v>82</v>
      </c>
      <c r="AA1182" s="41" t="s">
        <v>82</v>
      </c>
      <c r="AB1182" s="28"/>
    </row>
    <row r="1183" spans="1:33" ht="15" customHeight="1" x14ac:dyDescent="0.25">
      <c r="A1183" s="33" t="s">
        <v>71</v>
      </c>
      <c r="B1183" s="34"/>
      <c r="C1183" s="34"/>
      <c r="D1183" s="34"/>
      <c r="E1183" s="34"/>
      <c r="F1183" s="35"/>
      <c r="G1183" s="35"/>
      <c r="H1183" s="34"/>
      <c r="I1183" s="34"/>
      <c r="J1183" s="34"/>
      <c r="K1183" s="34"/>
      <c r="L1183" s="36"/>
      <c r="M1183" s="36"/>
      <c r="N1183" s="36"/>
      <c r="O1183" s="36"/>
      <c r="P1183" s="36"/>
      <c r="Q1183" s="36">
        <f>SUM(Q1174:Q1182)</f>
        <v>1336000</v>
      </c>
      <c r="R1183" s="36"/>
      <c r="S1183" s="92"/>
      <c r="T1183" s="93">
        <f>SUM(T1174:T1182)</f>
        <v>23.15</v>
      </c>
      <c r="U1183" s="37"/>
      <c r="V1183" s="38"/>
      <c r="W1183" s="38"/>
      <c r="X1183" s="38"/>
      <c r="Y1183" s="34"/>
      <c r="Z1183" s="34"/>
      <c r="AA1183" s="39"/>
      <c r="AB1183" s="29" t="s">
        <v>1061</v>
      </c>
      <c r="AC1183" s="81" t="s">
        <v>1064</v>
      </c>
      <c r="AD1183" s="83">
        <v>5000</v>
      </c>
      <c r="AF1183" s="83">
        <v>0</v>
      </c>
      <c r="AG1183" s="83">
        <f>SUM(AD1183,AF1183)</f>
        <v>5000</v>
      </c>
    </row>
    <row r="1184" spans="1:33" s="29" customFormat="1" ht="15" customHeight="1" x14ac:dyDescent="0.25">
      <c r="A1184" s="14">
        <v>12</v>
      </c>
      <c r="B1184" s="15">
        <v>46035</v>
      </c>
      <c r="C1184" s="15">
        <f>B1184+8</f>
        <v>46043</v>
      </c>
      <c r="D1184" s="14">
        <v>14131</v>
      </c>
      <c r="E1184" s="16" t="s">
        <v>436</v>
      </c>
      <c r="F1184" s="40" t="s">
        <v>437</v>
      </c>
      <c r="G1184" s="17" t="s">
        <v>75</v>
      </c>
      <c r="H1184" s="18" t="s">
        <v>57</v>
      </c>
      <c r="I1184" s="19" t="s">
        <v>94</v>
      </c>
      <c r="J1184" s="20">
        <v>45995</v>
      </c>
      <c r="K1184" s="20">
        <v>46036</v>
      </c>
      <c r="L1184" s="21">
        <v>600000</v>
      </c>
      <c r="M1184" s="22">
        <f>SUM(N1184:O1184)</f>
        <v>405000</v>
      </c>
      <c r="N1184" s="23">
        <v>300000</v>
      </c>
      <c r="O1184" s="23">
        <v>105000</v>
      </c>
      <c r="P1184" s="24">
        <f>L1184-N1184</f>
        <v>300000</v>
      </c>
      <c r="Q1184" s="25">
        <v>105000</v>
      </c>
      <c r="R1184" s="26">
        <v>150000</v>
      </c>
      <c r="S1184" s="91">
        <f t="shared" ref="S1184:S1195" si="1129">IF(P1184&gt;0,P1184/$R1184,0)</f>
        <v>2</v>
      </c>
      <c r="T1184" s="91">
        <f t="shared" ref="T1184:T1195" si="1130">IF(Q1184&gt;0,Q1184/$R1184,0)</f>
        <v>0.7</v>
      </c>
      <c r="U1184" s="27" t="s">
        <v>192</v>
      </c>
      <c r="V1184" s="19" t="s">
        <v>51</v>
      </c>
      <c r="W1184" s="20">
        <v>46387</v>
      </c>
      <c r="X1184" s="22"/>
      <c r="Y1184" s="19" t="s">
        <v>52</v>
      </c>
      <c r="Z1184" s="19" t="s">
        <v>52</v>
      </c>
      <c r="AA1184" s="19" t="s">
        <v>52</v>
      </c>
      <c r="AB1184" s="28"/>
    </row>
    <row r="1185" spans="1:33" s="29" customFormat="1" ht="15" customHeight="1" x14ac:dyDescent="0.25">
      <c r="A1185" s="14">
        <v>13</v>
      </c>
      <c r="B1185" s="15">
        <v>46035</v>
      </c>
      <c r="C1185" s="15">
        <f>B1185+8</f>
        <v>46043</v>
      </c>
      <c r="D1185" s="14">
        <v>14130</v>
      </c>
      <c r="E1185" s="16" t="s">
        <v>392</v>
      </c>
      <c r="F1185" s="40" t="s">
        <v>393</v>
      </c>
      <c r="G1185" s="17" t="s">
        <v>75</v>
      </c>
      <c r="H1185" s="18" t="s">
        <v>57</v>
      </c>
      <c r="I1185" s="19" t="s">
        <v>64</v>
      </c>
      <c r="J1185" s="20">
        <v>46000</v>
      </c>
      <c r="K1185" s="20">
        <v>46036</v>
      </c>
      <c r="L1185" s="21">
        <v>1500000</v>
      </c>
      <c r="M1185" s="22">
        <f>SUM(N1185:O1185)</f>
        <v>450000</v>
      </c>
      <c r="N1185" s="23">
        <v>450000</v>
      </c>
      <c r="O1185" s="23">
        <v>0</v>
      </c>
      <c r="P1185" s="24">
        <f>L1185-N1185</f>
        <v>1050000</v>
      </c>
      <c r="Q1185" s="25">
        <v>1050000</v>
      </c>
      <c r="R1185" s="26">
        <v>150000</v>
      </c>
      <c r="S1185" s="91">
        <f t="shared" si="1129"/>
        <v>7</v>
      </c>
      <c r="T1185" s="91">
        <f t="shared" si="1130"/>
        <v>7</v>
      </c>
      <c r="U1185" s="27" t="s">
        <v>192</v>
      </c>
      <c r="V1185" s="19" t="s">
        <v>51</v>
      </c>
      <c r="W1185" s="20">
        <v>46017</v>
      </c>
      <c r="X1185" s="22"/>
      <c r="Y1185" s="19" t="s">
        <v>52</v>
      </c>
      <c r="Z1185" s="19" t="s">
        <v>52</v>
      </c>
      <c r="AA1185" s="19" t="s">
        <v>52</v>
      </c>
      <c r="AB1185" s="28"/>
    </row>
    <row r="1186" spans="1:33" s="29" customFormat="1" ht="15" customHeight="1" x14ac:dyDescent="0.25">
      <c r="A1186" s="14">
        <v>3</v>
      </c>
      <c r="B1186" s="15">
        <v>46035</v>
      </c>
      <c r="C1186" s="15">
        <f>B1186+8</f>
        <v>46043</v>
      </c>
      <c r="D1186" s="14">
        <v>14168</v>
      </c>
      <c r="E1186" s="16" t="s">
        <v>674</v>
      </c>
      <c r="F1186" s="17" t="s">
        <v>675</v>
      </c>
      <c r="G1186" s="17" t="s">
        <v>102</v>
      </c>
      <c r="H1186" s="18" t="s">
        <v>542</v>
      </c>
      <c r="I1186" s="19" t="s">
        <v>104</v>
      </c>
      <c r="J1186" s="20">
        <v>46002</v>
      </c>
      <c r="K1186" s="20">
        <v>46041</v>
      </c>
      <c r="L1186" s="21">
        <v>200000</v>
      </c>
      <c r="M1186" s="22">
        <f>SUM(N1186:O1186)</f>
        <v>180000</v>
      </c>
      <c r="N1186" s="23">
        <v>0</v>
      </c>
      <c r="O1186" s="23">
        <v>180000</v>
      </c>
      <c r="P1186" s="24">
        <f>L1186-N1186</f>
        <v>200000</v>
      </c>
      <c r="Q1186" s="25">
        <v>180000</v>
      </c>
      <c r="R1186" s="26">
        <v>70000</v>
      </c>
      <c r="S1186" s="91">
        <f t="shared" si="1129"/>
        <v>2.8571428571428572</v>
      </c>
      <c r="T1186" s="91">
        <f t="shared" si="1130"/>
        <v>2.5714285714285716</v>
      </c>
      <c r="U1186" s="27" t="s">
        <v>192</v>
      </c>
      <c r="V1186" s="19" t="s">
        <v>51</v>
      </c>
      <c r="W1186" s="20">
        <v>46380</v>
      </c>
      <c r="X1186" s="22"/>
      <c r="Y1186" s="19" t="s">
        <v>52</v>
      </c>
      <c r="Z1186" s="19" t="s">
        <v>52</v>
      </c>
      <c r="AA1186" s="19" t="s">
        <v>52</v>
      </c>
      <c r="AB1186" s="28"/>
    </row>
    <row r="1187" spans="1:33" s="29" customFormat="1" ht="15" customHeight="1" x14ac:dyDescent="0.25">
      <c r="A1187" s="14">
        <v>72</v>
      </c>
      <c r="B1187" s="15">
        <v>46035</v>
      </c>
      <c r="C1187" s="15">
        <f>B1187+8</f>
        <v>46043</v>
      </c>
      <c r="D1187" s="14">
        <v>14199</v>
      </c>
      <c r="E1187" s="16" t="s">
        <v>760</v>
      </c>
      <c r="F1187" s="17" t="s">
        <v>286</v>
      </c>
      <c r="G1187" s="17" t="s">
        <v>102</v>
      </c>
      <c r="H1187" s="18" t="s">
        <v>57</v>
      </c>
      <c r="I1187" s="19" t="s">
        <v>94</v>
      </c>
      <c r="J1187" s="20">
        <v>46007</v>
      </c>
      <c r="K1187" s="20">
        <v>46041</v>
      </c>
      <c r="L1187" s="21">
        <v>160000</v>
      </c>
      <c r="M1187" s="22">
        <f>SUM(N1187:O1187)</f>
        <v>159000</v>
      </c>
      <c r="N1187" s="23">
        <v>141000</v>
      </c>
      <c r="O1187" s="23">
        <v>18000</v>
      </c>
      <c r="P1187" s="24">
        <f>L1187-N1187</f>
        <v>19000</v>
      </c>
      <c r="Q1187" s="25">
        <v>18000</v>
      </c>
      <c r="R1187" s="26">
        <v>45000</v>
      </c>
      <c r="S1187" s="91">
        <f t="shared" si="1129"/>
        <v>0.42222222222222222</v>
      </c>
      <c r="T1187" s="91">
        <f t="shared" si="1130"/>
        <v>0.4</v>
      </c>
      <c r="U1187" s="27" t="s">
        <v>192</v>
      </c>
      <c r="V1187" s="19" t="s">
        <v>51</v>
      </c>
      <c r="W1187" s="20">
        <v>46024</v>
      </c>
      <c r="X1187" s="22"/>
      <c r="Y1187" s="19" t="s">
        <v>52</v>
      </c>
      <c r="Z1187" s="19" t="s">
        <v>52</v>
      </c>
      <c r="AA1187" s="19" t="s">
        <v>52</v>
      </c>
      <c r="AB1187" s="28"/>
    </row>
    <row r="1188" spans="1:33" s="29" customFormat="1" ht="15" customHeight="1" x14ac:dyDescent="0.25">
      <c r="A1188" s="14">
        <v>2</v>
      </c>
      <c r="B1188" s="15">
        <v>46035</v>
      </c>
      <c r="C1188" s="15">
        <f t="shared" ref="C1188" si="1131">B1188+8</f>
        <v>46043</v>
      </c>
      <c r="D1188" s="14">
        <v>14134</v>
      </c>
      <c r="E1188" s="16" t="s">
        <v>303</v>
      </c>
      <c r="F1188" s="40" t="s">
        <v>304</v>
      </c>
      <c r="G1188" s="17" t="s">
        <v>75</v>
      </c>
      <c r="H1188" s="18" t="s">
        <v>57</v>
      </c>
      <c r="I1188" s="19" t="s">
        <v>64</v>
      </c>
      <c r="J1188" s="20">
        <v>45995</v>
      </c>
      <c r="K1188" s="20">
        <v>46022</v>
      </c>
      <c r="L1188" s="21">
        <v>500000</v>
      </c>
      <c r="M1188" s="22">
        <f t="shared" ref="M1188" si="1132">SUM(N1188:O1188)</f>
        <v>390000</v>
      </c>
      <c r="N1188" s="23">
        <v>350000</v>
      </c>
      <c r="O1188" s="23">
        <v>40000</v>
      </c>
      <c r="P1188" s="24">
        <f t="shared" ref="P1188" si="1133">L1188-N1188</f>
        <v>150000</v>
      </c>
      <c r="Q1188" s="25">
        <v>40000</v>
      </c>
      <c r="R1188" s="26">
        <v>48000</v>
      </c>
      <c r="S1188" s="91">
        <f t="shared" si="1129"/>
        <v>3.125</v>
      </c>
      <c r="T1188" s="91">
        <f t="shared" si="1130"/>
        <v>0.83333333333333337</v>
      </c>
      <c r="U1188" s="27" t="s">
        <v>192</v>
      </c>
      <c r="V1188" s="19" t="s">
        <v>51</v>
      </c>
      <c r="W1188" s="20">
        <v>45999</v>
      </c>
      <c r="X1188" s="22"/>
      <c r="Y1188" s="19" t="s">
        <v>52</v>
      </c>
      <c r="Z1188" s="19" t="s">
        <v>52</v>
      </c>
      <c r="AA1188" s="19" t="s">
        <v>52</v>
      </c>
      <c r="AB1188" s="28"/>
    </row>
    <row r="1189" spans="1:33" s="29" customFormat="1" ht="15" customHeight="1" x14ac:dyDescent="0.25">
      <c r="A1189" s="14">
        <v>4</v>
      </c>
      <c r="B1189" s="15">
        <v>46035</v>
      </c>
      <c r="C1189" s="15">
        <f>B1189+8</f>
        <v>46043</v>
      </c>
      <c r="D1189" s="14">
        <v>13959</v>
      </c>
      <c r="E1189" s="16" t="s">
        <v>740</v>
      </c>
      <c r="F1189" s="17" t="s">
        <v>317</v>
      </c>
      <c r="G1189" s="17" t="s">
        <v>132</v>
      </c>
      <c r="H1189" s="18" t="s">
        <v>133</v>
      </c>
      <c r="I1189" s="19" t="s">
        <v>198</v>
      </c>
      <c r="J1189" s="20">
        <v>45974</v>
      </c>
      <c r="K1189" s="20">
        <v>46013</v>
      </c>
      <c r="L1189" s="21">
        <v>2000000</v>
      </c>
      <c r="M1189" s="22">
        <f>SUM(N1189:O1189)</f>
        <v>1944000</v>
      </c>
      <c r="N1189" s="23">
        <v>1152000</v>
      </c>
      <c r="O1189" s="23">
        <v>792000</v>
      </c>
      <c r="P1189" s="24">
        <f t="shared" ref="P1189:P1194" si="1134">L1189-N1189</f>
        <v>848000</v>
      </c>
      <c r="Q1189" s="25">
        <v>792000</v>
      </c>
      <c r="R1189" s="26">
        <v>128000</v>
      </c>
      <c r="S1189" s="91">
        <f t="shared" si="1129"/>
        <v>6.625</v>
      </c>
      <c r="T1189" s="91">
        <f t="shared" si="1130"/>
        <v>6.1875</v>
      </c>
      <c r="U1189" s="27" t="s">
        <v>56</v>
      </c>
      <c r="V1189" s="19" t="s">
        <v>51</v>
      </c>
      <c r="W1189" s="20">
        <v>46018</v>
      </c>
      <c r="X1189" s="22"/>
      <c r="Y1189" s="19" t="s">
        <v>52</v>
      </c>
      <c r="Z1189" s="19" t="s">
        <v>52</v>
      </c>
      <c r="AA1189" s="19" t="s">
        <v>52</v>
      </c>
      <c r="AB1189" s="28"/>
    </row>
    <row r="1190" spans="1:33" s="29" customFormat="1" ht="15" customHeight="1" x14ac:dyDescent="0.25">
      <c r="A1190" s="14">
        <v>7</v>
      </c>
      <c r="B1190" s="15">
        <v>46035</v>
      </c>
      <c r="C1190" s="15">
        <f>B1190+8</f>
        <v>46043</v>
      </c>
      <c r="D1190" s="14">
        <v>14005</v>
      </c>
      <c r="E1190" s="16" t="s">
        <v>353</v>
      </c>
      <c r="F1190" s="40" t="s">
        <v>354</v>
      </c>
      <c r="G1190" s="17" t="s">
        <v>75</v>
      </c>
      <c r="H1190" s="18" t="s">
        <v>78</v>
      </c>
      <c r="I1190" s="19" t="s">
        <v>79</v>
      </c>
      <c r="J1190" s="20">
        <v>45979</v>
      </c>
      <c r="K1190" s="20">
        <v>46014</v>
      </c>
      <c r="L1190" s="21">
        <v>1880000</v>
      </c>
      <c r="M1190" s="22">
        <f>SUM(N1190:O1190)</f>
        <v>1894000</v>
      </c>
      <c r="N1190" s="23">
        <v>1800000</v>
      </c>
      <c r="O1190" s="23">
        <v>94000</v>
      </c>
      <c r="P1190" s="24">
        <f t="shared" si="1134"/>
        <v>80000</v>
      </c>
      <c r="Q1190" s="25">
        <v>94000</v>
      </c>
      <c r="R1190" s="26">
        <v>84000</v>
      </c>
      <c r="S1190" s="91">
        <f t="shared" si="1129"/>
        <v>0.95238095238095233</v>
      </c>
      <c r="T1190" s="91">
        <f t="shared" si="1130"/>
        <v>1.1190476190476191</v>
      </c>
      <c r="U1190" s="27" t="s">
        <v>56</v>
      </c>
      <c r="V1190" s="19" t="s">
        <v>51</v>
      </c>
      <c r="W1190" s="20">
        <v>46017</v>
      </c>
      <c r="X1190" s="22"/>
      <c r="Y1190" s="19" t="s">
        <v>52</v>
      </c>
      <c r="Z1190" s="19" t="s">
        <v>52</v>
      </c>
      <c r="AA1190" s="19" t="s">
        <v>52</v>
      </c>
      <c r="AB1190" s="28"/>
    </row>
    <row r="1191" spans="1:33" s="29" customFormat="1" ht="15" customHeight="1" x14ac:dyDescent="0.25">
      <c r="A1191" s="14">
        <v>9</v>
      </c>
      <c r="B1191" s="15">
        <v>46035</v>
      </c>
      <c r="C1191" s="15">
        <f>B1191+8</f>
        <v>46043</v>
      </c>
      <c r="D1191" s="14">
        <v>14100</v>
      </c>
      <c r="E1191" s="16" t="s">
        <v>472</v>
      </c>
      <c r="F1191" s="40" t="s">
        <v>473</v>
      </c>
      <c r="G1191" s="17" t="s">
        <v>75</v>
      </c>
      <c r="H1191" s="18" t="s">
        <v>78</v>
      </c>
      <c r="I1191" s="19" t="s">
        <v>79</v>
      </c>
      <c r="J1191" s="20">
        <v>45987</v>
      </c>
      <c r="K1191" s="20">
        <v>46028</v>
      </c>
      <c r="L1191" s="21">
        <v>40000</v>
      </c>
      <c r="M1191" s="22">
        <f>SUM(N1191:O1191)</f>
        <v>24000</v>
      </c>
      <c r="N1191" s="23">
        <v>0</v>
      </c>
      <c r="O1191" s="23">
        <v>24000</v>
      </c>
      <c r="P1191" s="24">
        <f t="shared" si="1134"/>
        <v>40000</v>
      </c>
      <c r="Q1191" s="25">
        <v>24000</v>
      </c>
      <c r="R1191" s="26">
        <v>84000</v>
      </c>
      <c r="S1191" s="91">
        <f t="shared" si="1129"/>
        <v>0.47619047619047616</v>
      </c>
      <c r="T1191" s="91">
        <f t="shared" si="1130"/>
        <v>0.2857142857142857</v>
      </c>
      <c r="U1191" s="27" t="s">
        <v>56</v>
      </c>
      <c r="V1191" s="19" t="s">
        <v>51</v>
      </c>
      <c r="W1191" s="20">
        <v>46024</v>
      </c>
      <c r="X1191" s="22"/>
      <c r="Y1191" s="19" t="s">
        <v>52</v>
      </c>
      <c r="Z1191" s="19" t="s">
        <v>52</v>
      </c>
      <c r="AA1191" s="19" t="s">
        <v>52</v>
      </c>
      <c r="AB1191" s="28"/>
    </row>
    <row r="1192" spans="1:33" s="29" customFormat="1" ht="15" customHeight="1" x14ac:dyDescent="0.25">
      <c r="A1192" s="14">
        <v>63</v>
      </c>
      <c r="B1192" s="15">
        <v>46035</v>
      </c>
      <c r="C1192" s="15">
        <f>B1192+8</f>
        <v>46043</v>
      </c>
      <c r="D1192" s="14">
        <v>14052</v>
      </c>
      <c r="E1192" s="16" t="s">
        <v>841</v>
      </c>
      <c r="F1192" s="17" t="s">
        <v>842</v>
      </c>
      <c r="G1192" s="17" t="s">
        <v>102</v>
      </c>
      <c r="H1192" s="18" t="s">
        <v>54</v>
      </c>
      <c r="I1192" s="19" t="s">
        <v>135</v>
      </c>
      <c r="J1192" s="20">
        <v>45981</v>
      </c>
      <c r="K1192" s="20">
        <v>46036</v>
      </c>
      <c r="L1192" s="21">
        <v>75000</v>
      </c>
      <c r="M1192" s="22">
        <f t="shared" ref="M1192" si="1135">SUM(N1192:O1192)</f>
        <v>42000</v>
      </c>
      <c r="N1192" s="23">
        <v>0</v>
      </c>
      <c r="O1192" s="23">
        <v>42000</v>
      </c>
      <c r="P1192" s="24">
        <f t="shared" si="1134"/>
        <v>75000</v>
      </c>
      <c r="Q1192" s="25">
        <v>42000</v>
      </c>
      <c r="R1192" s="26">
        <v>42000</v>
      </c>
      <c r="S1192" s="91">
        <f t="shared" si="1129"/>
        <v>1.7857142857142858</v>
      </c>
      <c r="T1192" s="91">
        <f t="shared" si="1130"/>
        <v>1</v>
      </c>
      <c r="U1192" s="27" t="s">
        <v>56</v>
      </c>
      <c r="V1192" s="30" t="s">
        <v>68</v>
      </c>
      <c r="W1192" s="31" t="s">
        <v>68</v>
      </c>
      <c r="X1192" s="22"/>
      <c r="Y1192" s="41" t="s">
        <v>82</v>
      </c>
      <c r="Z1192" s="41" t="s">
        <v>82</v>
      </c>
      <c r="AA1192" s="41" t="s">
        <v>82</v>
      </c>
      <c r="AB1192" s="28"/>
    </row>
    <row r="1193" spans="1:33" s="29" customFormat="1" ht="15" customHeight="1" x14ac:dyDescent="0.25">
      <c r="A1193" s="14">
        <v>16</v>
      </c>
      <c r="B1193" s="15">
        <v>46035</v>
      </c>
      <c r="C1193" s="15">
        <f>B1193+8</f>
        <v>46043</v>
      </c>
      <c r="D1193" s="14">
        <v>14191</v>
      </c>
      <c r="E1193" s="16" t="s">
        <v>423</v>
      </c>
      <c r="F1193" s="40" t="s">
        <v>424</v>
      </c>
      <c r="G1193" s="17" t="s">
        <v>75</v>
      </c>
      <c r="H1193" s="18" t="s">
        <v>78</v>
      </c>
      <c r="I1193" s="19" t="s">
        <v>79</v>
      </c>
      <c r="J1193" s="20">
        <v>46006</v>
      </c>
      <c r="K1193" s="20">
        <v>46038</v>
      </c>
      <c r="L1193" s="21">
        <v>90000</v>
      </c>
      <c r="M1193" s="22">
        <f>SUM(N1193:O1193)</f>
        <v>106000</v>
      </c>
      <c r="N1193" s="23">
        <v>0</v>
      </c>
      <c r="O1193" s="23">
        <v>106000</v>
      </c>
      <c r="P1193" s="24">
        <f t="shared" si="1134"/>
        <v>90000</v>
      </c>
      <c r="Q1193" s="25">
        <v>106000</v>
      </c>
      <c r="R1193" s="26">
        <v>72000</v>
      </c>
      <c r="S1193" s="91">
        <f t="shared" si="1129"/>
        <v>1.25</v>
      </c>
      <c r="T1193" s="91">
        <f t="shared" si="1130"/>
        <v>1.4722222222222223</v>
      </c>
      <c r="U1193" s="27" t="s">
        <v>56</v>
      </c>
      <c r="V1193" s="30" t="s">
        <v>59</v>
      </c>
      <c r="W1193" s="31">
        <v>46030</v>
      </c>
      <c r="X1193" s="22"/>
      <c r="Y1193" s="19" t="s">
        <v>52</v>
      </c>
      <c r="Z1193" s="19" t="s">
        <v>52</v>
      </c>
      <c r="AA1193" s="19" t="s">
        <v>52</v>
      </c>
      <c r="AB1193" s="28"/>
    </row>
    <row r="1194" spans="1:33" s="29" customFormat="1" ht="15" customHeight="1" x14ac:dyDescent="0.25">
      <c r="A1194" s="14">
        <v>10</v>
      </c>
      <c r="B1194" s="15">
        <v>46035</v>
      </c>
      <c r="C1194" s="15">
        <f t="shared" ref="C1194:C1195" si="1136">B1194+8</f>
        <v>46043</v>
      </c>
      <c r="D1194" s="14">
        <v>14160</v>
      </c>
      <c r="E1194" s="16" t="s">
        <v>438</v>
      </c>
      <c r="F1194" s="40" t="s">
        <v>439</v>
      </c>
      <c r="G1194" s="17" t="s">
        <v>75</v>
      </c>
      <c r="H1194" s="18" t="s">
        <v>78</v>
      </c>
      <c r="I1194" s="19" t="s">
        <v>79</v>
      </c>
      <c r="J1194" s="20">
        <v>46001</v>
      </c>
      <c r="K1194" s="20">
        <v>46028</v>
      </c>
      <c r="L1194" s="21">
        <v>50000</v>
      </c>
      <c r="M1194" s="22">
        <f>SUM(N1194:O1194)</f>
        <v>54000</v>
      </c>
      <c r="N1194" s="23">
        <v>0</v>
      </c>
      <c r="O1194" s="23">
        <v>54000</v>
      </c>
      <c r="P1194" s="24">
        <f t="shared" si="1134"/>
        <v>50000</v>
      </c>
      <c r="Q1194" s="25">
        <v>54000</v>
      </c>
      <c r="R1194" s="26">
        <v>126000</v>
      </c>
      <c r="S1194" s="91">
        <f t="shared" si="1129"/>
        <v>0.3968253968253968</v>
      </c>
      <c r="T1194" s="91">
        <f t="shared" si="1130"/>
        <v>0.42857142857142855</v>
      </c>
      <c r="U1194" s="27" t="s">
        <v>56</v>
      </c>
      <c r="V1194" s="30" t="s">
        <v>59</v>
      </c>
      <c r="W1194" s="31">
        <v>46029</v>
      </c>
      <c r="X1194" s="22"/>
      <c r="Y1194" s="19" t="s">
        <v>52</v>
      </c>
      <c r="Z1194" s="19" t="s">
        <v>52</v>
      </c>
      <c r="AA1194" s="19" t="s">
        <v>52</v>
      </c>
      <c r="AB1194" s="28"/>
    </row>
    <row r="1195" spans="1:33" s="29" customFormat="1" ht="15" customHeight="1" x14ac:dyDescent="0.25">
      <c r="A1195" s="14">
        <v>14</v>
      </c>
      <c r="B1195" s="15">
        <v>46035</v>
      </c>
      <c r="C1195" s="15">
        <f t="shared" si="1136"/>
        <v>46043</v>
      </c>
      <c r="D1195" s="14">
        <v>14244</v>
      </c>
      <c r="E1195" s="16" t="s">
        <v>349</v>
      </c>
      <c r="F1195" s="40" t="s">
        <v>350</v>
      </c>
      <c r="G1195" s="17" t="s">
        <v>75</v>
      </c>
      <c r="H1195" s="18" t="s">
        <v>78</v>
      </c>
      <c r="I1195" s="19" t="s">
        <v>79</v>
      </c>
      <c r="J1195" s="20">
        <v>46015</v>
      </c>
      <c r="K1195" s="20">
        <v>46056</v>
      </c>
      <c r="L1195" s="21">
        <v>1500000</v>
      </c>
      <c r="M1195" s="22">
        <f t="shared" ref="M1195" si="1137">SUM(N1195:O1195)</f>
        <v>10000</v>
      </c>
      <c r="N1195" s="23">
        <v>0</v>
      </c>
      <c r="O1195" s="23">
        <v>10000</v>
      </c>
      <c r="P1195" s="24">
        <f t="shared" ref="P1195" si="1138">L1195-N1195</f>
        <v>1500000</v>
      </c>
      <c r="Q1195" s="25">
        <v>10000</v>
      </c>
      <c r="R1195" s="26">
        <v>150000</v>
      </c>
      <c r="S1195" s="91">
        <f t="shared" si="1129"/>
        <v>10</v>
      </c>
      <c r="T1195" s="91">
        <f t="shared" si="1130"/>
        <v>6.6666666666666666E-2</v>
      </c>
      <c r="U1195" s="27" t="s">
        <v>56</v>
      </c>
      <c r="V1195" s="30" t="s">
        <v>59</v>
      </c>
      <c r="W1195" s="31">
        <v>46041</v>
      </c>
      <c r="X1195" s="22"/>
      <c r="Y1195" s="19" t="s">
        <v>52</v>
      </c>
      <c r="Z1195" s="19" t="s">
        <v>52</v>
      </c>
      <c r="AA1195" s="19" t="s">
        <v>52</v>
      </c>
      <c r="AB1195" s="28"/>
    </row>
    <row r="1196" spans="1:33" ht="15" customHeight="1" x14ac:dyDescent="0.25">
      <c r="A1196" s="33" t="s">
        <v>71</v>
      </c>
      <c r="B1196" s="34"/>
      <c r="C1196" s="34"/>
      <c r="D1196" s="34"/>
      <c r="E1196" s="34"/>
      <c r="F1196" s="35"/>
      <c r="G1196" s="35"/>
      <c r="H1196" s="34"/>
      <c r="I1196" s="34"/>
      <c r="J1196" s="34"/>
      <c r="K1196" s="34"/>
      <c r="L1196" s="36"/>
      <c r="M1196" s="36"/>
      <c r="N1196" s="36"/>
      <c r="O1196" s="36"/>
      <c r="P1196" s="36"/>
      <c r="Q1196" s="36">
        <f>SUM(Q1184:Q1195)</f>
        <v>2515000</v>
      </c>
      <c r="R1196" s="36"/>
      <c r="S1196" s="92"/>
      <c r="T1196" s="93">
        <f>SUM(T1184:T1195)</f>
        <v>22.064484126984127</v>
      </c>
      <c r="U1196" s="37"/>
      <c r="V1196" s="38"/>
      <c r="W1196" s="38"/>
      <c r="X1196" s="38"/>
      <c r="Y1196" s="34"/>
      <c r="Z1196" s="34"/>
      <c r="AA1196" s="39"/>
      <c r="AB1196" s="29" t="s">
        <v>1065</v>
      </c>
      <c r="AC1196" s="81" t="s">
        <v>1069</v>
      </c>
      <c r="AD1196" s="83">
        <v>5000</v>
      </c>
      <c r="AF1196" s="83">
        <v>0</v>
      </c>
      <c r="AG1196" s="83">
        <f>SUM(AD1196,AF1196)</f>
        <v>5000</v>
      </c>
    </row>
    <row r="1197" spans="1:33" s="29" customFormat="1" ht="15" customHeight="1" x14ac:dyDescent="0.25">
      <c r="A1197" s="14">
        <v>5</v>
      </c>
      <c r="B1197" s="15">
        <v>46041</v>
      </c>
      <c r="C1197" s="15">
        <f>B1197+8</f>
        <v>46049</v>
      </c>
      <c r="D1197" s="14">
        <v>14201</v>
      </c>
      <c r="E1197" s="16" t="s">
        <v>1042</v>
      </c>
      <c r="F1197" s="40" t="s">
        <v>1043</v>
      </c>
      <c r="G1197" s="17" t="s">
        <v>75</v>
      </c>
      <c r="H1197" s="18" t="s">
        <v>57</v>
      </c>
      <c r="I1197" s="19" t="s">
        <v>64</v>
      </c>
      <c r="J1197" s="20">
        <v>46007</v>
      </c>
      <c r="K1197" s="20">
        <v>46034</v>
      </c>
      <c r="L1197" s="21">
        <v>500000</v>
      </c>
      <c r="M1197" s="22">
        <f>SUM(N1197:O1197)</f>
        <v>200000</v>
      </c>
      <c r="N1197" s="23">
        <v>0</v>
      </c>
      <c r="O1197" s="23">
        <v>200000</v>
      </c>
      <c r="P1197" s="24">
        <f>L1197-N1197</f>
        <v>500000</v>
      </c>
      <c r="Q1197" s="25">
        <v>200000</v>
      </c>
      <c r="R1197" s="26">
        <v>50000</v>
      </c>
      <c r="S1197" s="91">
        <f t="shared" ref="S1197:S1202" si="1139">IF(P1197&gt;0,P1197/$R1197,0)</f>
        <v>10</v>
      </c>
      <c r="T1197" s="91">
        <f t="shared" ref="T1197:T1202" si="1140">IF(Q1197&gt;0,Q1197/$R1197,0)</f>
        <v>4</v>
      </c>
      <c r="U1197" s="27" t="s">
        <v>192</v>
      </c>
      <c r="V1197" s="30" t="s">
        <v>59</v>
      </c>
      <c r="W1197" s="31">
        <v>46035</v>
      </c>
      <c r="X1197" s="22"/>
      <c r="Y1197" s="19" t="s">
        <v>52</v>
      </c>
      <c r="Z1197" s="19" t="s">
        <v>52</v>
      </c>
      <c r="AA1197" s="19" t="s">
        <v>52</v>
      </c>
      <c r="AB1197" s="28"/>
    </row>
    <row r="1198" spans="1:33" s="29" customFormat="1" ht="15" customHeight="1" x14ac:dyDescent="0.25">
      <c r="A1198" s="14">
        <v>11</v>
      </c>
      <c r="B1198" s="15">
        <v>46041</v>
      </c>
      <c r="C1198" s="15">
        <f>B1198+8</f>
        <v>46049</v>
      </c>
      <c r="D1198" s="14">
        <v>14219</v>
      </c>
      <c r="E1198" s="16" t="s">
        <v>87</v>
      </c>
      <c r="F1198" s="40" t="s">
        <v>88</v>
      </c>
      <c r="G1198" s="17" t="s">
        <v>75</v>
      </c>
      <c r="H1198" s="18" t="s">
        <v>542</v>
      </c>
      <c r="I1198" s="19" t="s">
        <v>49</v>
      </c>
      <c r="J1198" s="20">
        <v>46009</v>
      </c>
      <c r="K1198" s="20">
        <v>46050</v>
      </c>
      <c r="L1198" s="21">
        <v>1500000</v>
      </c>
      <c r="M1198" s="22">
        <f>SUM(N1198:O1198)</f>
        <v>600000</v>
      </c>
      <c r="N1198" s="23">
        <v>0</v>
      </c>
      <c r="O1198" s="23">
        <v>600000</v>
      </c>
      <c r="P1198" s="24">
        <f>L1198-N1198</f>
        <v>1500000</v>
      </c>
      <c r="Q1198" s="25">
        <v>600000</v>
      </c>
      <c r="R1198" s="26">
        <v>150000</v>
      </c>
      <c r="S1198" s="91">
        <f t="shared" si="1139"/>
        <v>10</v>
      </c>
      <c r="T1198" s="91">
        <f t="shared" si="1140"/>
        <v>4</v>
      </c>
      <c r="U1198" s="27" t="s">
        <v>192</v>
      </c>
      <c r="V1198" s="30" t="s">
        <v>59</v>
      </c>
      <c r="W1198" s="31">
        <v>46035</v>
      </c>
      <c r="X1198" s="22"/>
      <c r="Y1198" s="19" t="s">
        <v>52</v>
      </c>
      <c r="Z1198" s="19" t="s">
        <v>52</v>
      </c>
      <c r="AA1198" s="19" t="s">
        <v>52</v>
      </c>
      <c r="AB1198" s="28"/>
    </row>
    <row r="1199" spans="1:33" s="29" customFormat="1" ht="15" customHeight="1" x14ac:dyDescent="0.25">
      <c r="A1199" s="14">
        <v>2</v>
      </c>
      <c r="B1199" s="15">
        <v>46041</v>
      </c>
      <c r="C1199" s="15">
        <f t="shared" ref="C1199" si="1141">B1199+8</f>
        <v>46049</v>
      </c>
      <c r="D1199" s="14">
        <v>14231</v>
      </c>
      <c r="E1199" s="16" t="s">
        <v>757</v>
      </c>
      <c r="F1199" s="17" t="s">
        <v>672</v>
      </c>
      <c r="G1199" s="17" t="s">
        <v>47</v>
      </c>
      <c r="H1199" s="18" t="s">
        <v>57</v>
      </c>
      <c r="I1199" s="19" t="s">
        <v>58</v>
      </c>
      <c r="J1199" s="20">
        <v>46020</v>
      </c>
      <c r="K1199" s="20">
        <v>46041</v>
      </c>
      <c r="L1199" s="21">
        <v>500000</v>
      </c>
      <c r="M1199" s="22">
        <f>SUM(N1199:O1199)</f>
        <v>420000</v>
      </c>
      <c r="N1199" s="23">
        <v>0</v>
      </c>
      <c r="O1199" s="23">
        <v>420000</v>
      </c>
      <c r="P1199" s="24">
        <f>L1199-N1199</f>
        <v>500000</v>
      </c>
      <c r="Q1199" s="25">
        <v>420000</v>
      </c>
      <c r="R1199" s="26">
        <v>42000</v>
      </c>
      <c r="S1199" s="91">
        <f t="shared" si="1139"/>
        <v>11.904761904761905</v>
      </c>
      <c r="T1199" s="91">
        <f t="shared" si="1140"/>
        <v>10</v>
      </c>
      <c r="U1199" s="27" t="s">
        <v>192</v>
      </c>
      <c r="V1199" s="30" t="s">
        <v>59</v>
      </c>
      <c r="W1199" s="31">
        <v>46035</v>
      </c>
      <c r="X1199" s="22"/>
      <c r="Y1199" s="19" t="s">
        <v>52</v>
      </c>
      <c r="Z1199" s="19" t="s">
        <v>52</v>
      </c>
      <c r="AA1199" s="19" t="s">
        <v>52</v>
      </c>
      <c r="AB1199" s="42"/>
    </row>
    <row r="1200" spans="1:33" s="29" customFormat="1" ht="15" customHeight="1" x14ac:dyDescent="0.25">
      <c r="A1200" s="14">
        <v>1</v>
      </c>
      <c r="B1200" s="15">
        <v>46041</v>
      </c>
      <c r="C1200" s="15">
        <f t="shared" ref="C1200" si="1142">B1200+8</f>
        <v>46049</v>
      </c>
      <c r="D1200" s="14">
        <v>13984</v>
      </c>
      <c r="E1200" s="16" t="s">
        <v>403</v>
      </c>
      <c r="F1200" s="17" t="s">
        <v>708</v>
      </c>
      <c r="G1200" s="17" t="s">
        <v>47</v>
      </c>
      <c r="H1200" s="18" t="s">
        <v>784</v>
      </c>
      <c r="I1200" s="19" t="s">
        <v>70</v>
      </c>
      <c r="J1200" s="20">
        <v>45978</v>
      </c>
      <c r="K1200" s="20">
        <v>46008</v>
      </c>
      <c r="L1200" s="21">
        <v>2000000</v>
      </c>
      <c r="M1200" s="22">
        <f t="shared" ref="M1200" si="1143">SUM(N1200:O1200)</f>
        <v>2194000</v>
      </c>
      <c r="N1200" s="23">
        <v>2050000</v>
      </c>
      <c r="O1200" s="23">
        <v>144000</v>
      </c>
      <c r="P1200" s="24">
        <f t="shared" ref="P1200" si="1144">L1200-N1200</f>
        <v>-50000</v>
      </c>
      <c r="Q1200" s="25">
        <v>144000</v>
      </c>
      <c r="R1200" s="26">
        <v>50000</v>
      </c>
      <c r="S1200" s="91">
        <f t="shared" si="1139"/>
        <v>0</v>
      </c>
      <c r="T1200" s="91">
        <f t="shared" si="1140"/>
        <v>2.88</v>
      </c>
      <c r="U1200" s="27" t="s">
        <v>192</v>
      </c>
      <c r="V1200" s="19" t="s">
        <v>51</v>
      </c>
      <c r="W1200" s="20">
        <v>45991</v>
      </c>
      <c r="X1200" s="22"/>
      <c r="Y1200" s="19" t="s">
        <v>52</v>
      </c>
      <c r="Z1200" s="19" t="s">
        <v>52</v>
      </c>
      <c r="AA1200" s="19" t="s">
        <v>52</v>
      </c>
      <c r="AB1200" s="42"/>
    </row>
    <row r="1201" spans="1:33" s="29" customFormat="1" ht="15" customHeight="1" x14ac:dyDescent="0.25">
      <c r="A1201" s="14">
        <v>7</v>
      </c>
      <c r="B1201" s="15">
        <v>46041</v>
      </c>
      <c r="C1201" s="15">
        <f>B1201+8</f>
        <v>46049</v>
      </c>
      <c r="D1201" s="14">
        <v>14188</v>
      </c>
      <c r="E1201" s="16" t="s">
        <v>422</v>
      </c>
      <c r="F1201" s="40" t="s">
        <v>476</v>
      </c>
      <c r="G1201" s="17" t="s">
        <v>75</v>
      </c>
      <c r="H1201" s="18" t="s">
        <v>78</v>
      </c>
      <c r="I1201" s="19" t="s">
        <v>79</v>
      </c>
      <c r="J1201" s="20">
        <v>46006</v>
      </c>
      <c r="K1201" s="20">
        <v>46038</v>
      </c>
      <c r="L1201" s="21">
        <v>550000</v>
      </c>
      <c r="M1201" s="22">
        <f>SUM(N1201:O1201)</f>
        <v>450000</v>
      </c>
      <c r="N1201" s="23">
        <v>300000</v>
      </c>
      <c r="O1201" s="23">
        <v>150000</v>
      </c>
      <c r="P1201" s="24">
        <f>L1201-N1201</f>
        <v>250000</v>
      </c>
      <c r="Q1201" s="25">
        <v>150000</v>
      </c>
      <c r="R1201" s="26">
        <v>150000</v>
      </c>
      <c r="S1201" s="91">
        <f t="shared" si="1139"/>
        <v>1.6666666666666667</v>
      </c>
      <c r="T1201" s="91">
        <f t="shared" si="1140"/>
        <v>1</v>
      </c>
      <c r="U1201" s="27" t="s">
        <v>56</v>
      </c>
      <c r="V1201" s="19" t="s">
        <v>51</v>
      </c>
      <c r="W1201" s="20">
        <v>46017</v>
      </c>
      <c r="X1201" s="22"/>
      <c r="Y1201" s="19" t="s">
        <v>52</v>
      </c>
      <c r="Z1201" s="19" t="s">
        <v>52</v>
      </c>
      <c r="AA1201" s="19" t="s">
        <v>52</v>
      </c>
      <c r="AB1201" s="28"/>
    </row>
    <row r="1202" spans="1:33" s="29" customFormat="1" ht="15" customHeight="1" x14ac:dyDescent="0.25">
      <c r="A1202" s="14">
        <v>2</v>
      </c>
      <c r="B1202" s="15">
        <v>46041</v>
      </c>
      <c r="C1202" s="15">
        <f>B1202+8</f>
        <v>46049</v>
      </c>
      <c r="D1202" s="14">
        <v>13945</v>
      </c>
      <c r="E1202" s="16" t="s">
        <v>950</v>
      </c>
      <c r="F1202" s="40" t="s">
        <v>471</v>
      </c>
      <c r="G1202" s="17" t="s">
        <v>75</v>
      </c>
      <c r="H1202" s="18" t="s">
        <v>54</v>
      </c>
      <c r="I1202" s="19" t="s">
        <v>85</v>
      </c>
      <c r="J1202" s="20">
        <v>45973</v>
      </c>
      <c r="K1202" s="20">
        <v>46004</v>
      </c>
      <c r="L1202" s="21">
        <v>100000</v>
      </c>
      <c r="M1202" s="22">
        <f>SUM(N1202:O1202)</f>
        <v>118000</v>
      </c>
      <c r="N1202" s="23">
        <v>0</v>
      </c>
      <c r="O1202" s="23">
        <v>118000</v>
      </c>
      <c r="P1202" s="24">
        <f>L1202-N1202</f>
        <v>100000</v>
      </c>
      <c r="Q1202" s="25">
        <v>118000</v>
      </c>
      <c r="R1202" s="26">
        <v>80000</v>
      </c>
      <c r="S1202" s="91">
        <f t="shared" si="1139"/>
        <v>1.25</v>
      </c>
      <c r="T1202" s="91">
        <f t="shared" si="1140"/>
        <v>1.4750000000000001</v>
      </c>
      <c r="U1202" s="27" t="s">
        <v>56</v>
      </c>
      <c r="V1202" s="30" t="s">
        <v>59</v>
      </c>
      <c r="W1202" s="31">
        <v>46035</v>
      </c>
      <c r="X1202" s="22"/>
      <c r="Y1202" s="19" t="s">
        <v>52</v>
      </c>
      <c r="Z1202" s="19" t="s">
        <v>52</v>
      </c>
      <c r="AA1202" s="19" t="s">
        <v>52</v>
      </c>
      <c r="AB1202" s="28"/>
    </row>
    <row r="1203" spans="1:33" ht="15" customHeight="1" x14ac:dyDescent="0.25">
      <c r="A1203" s="33" t="s">
        <v>71</v>
      </c>
      <c r="B1203" s="34"/>
      <c r="C1203" s="34"/>
      <c r="D1203" s="34"/>
      <c r="E1203" s="34"/>
      <c r="F1203" s="35"/>
      <c r="G1203" s="35"/>
      <c r="H1203" s="34"/>
      <c r="I1203" s="34"/>
      <c r="J1203" s="34"/>
      <c r="K1203" s="34"/>
      <c r="L1203" s="36"/>
      <c r="M1203" s="36"/>
      <c r="N1203" s="36"/>
      <c r="O1203" s="36"/>
      <c r="P1203" s="36"/>
      <c r="Q1203" s="36">
        <f>SUM(Q1197:Q1202)</f>
        <v>1632000</v>
      </c>
      <c r="R1203" s="36"/>
      <c r="S1203" s="92"/>
      <c r="T1203" s="93">
        <f>SUM(T1197:T1202)</f>
        <v>23.355</v>
      </c>
      <c r="U1203" s="37"/>
      <c r="V1203" s="38"/>
      <c r="W1203" s="38"/>
      <c r="X1203" s="38"/>
      <c r="Y1203" s="34"/>
      <c r="Z1203" s="34"/>
      <c r="AA1203" s="39"/>
      <c r="AB1203" s="29" t="s">
        <v>1073</v>
      </c>
      <c r="AC1203" s="81" t="s">
        <v>1081</v>
      </c>
      <c r="AD1203" s="83">
        <v>5000</v>
      </c>
      <c r="AF1203" s="83">
        <v>0</v>
      </c>
      <c r="AG1203" s="83">
        <f>SUM(AD1203,AF1203)</f>
        <v>5000</v>
      </c>
    </row>
    <row r="1204" spans="1:33" s="29" customFormat="1" ht="15" customHeight="1" x14ac:dyDescent="0.25">
      <c r="A1204" s="14">
        <v>5</v>
      </c>
      <c r="B1204" s="15">
        <v>46042</v>
      </c>
      <c r="C1204" s="15">
        <f>B1204+8</f>
        <v>46050</v>
      </c>
      <c r="D1204" s="14">
        <v>14201</v>
      </c>
      <c r="E1204" s="16" t="s">
        <v>1042</v>
      </c>
      <c r="F1204" s="40" t="s">
        <v>1043</v>
      </c>
      <c r="G1204" s="17" t="s">
        <v>75</v>
      </c>
      <c r="H1204" s="18" t="s">
        <v>57</v>
      </c>
      <c r="I1204" s="19" t="s">
        <v>64</v>
      </c>
      <c r="J1204" s="20">
        <v>46007</v>
      </c>
      <c r="K1204" s="20">
        <v>46034</v>
      </c>
      <c r="L1204" s="21">
        <v>500000</v>
      </c>
      <c r="M1204" s="22">
        <f t="shared" ref="M1204" si="1145">SUM(N1204:O1204)</f>
        <v>300000</v>
      </c>
      <c r="N1204" s="23">
        <v>0</v>
      </c>
      <c r="O1204" s="23">
        <v>300000</v>
      </c>
      <c r="P1204" s="24">
        <f>L1204-N1204</f>
        <v>500000</v>
      </c>
      <c r="Q1204" s="25">
        <v>250000</v>
      </c>
      <c r="R1204" s="26">
        <v>50000</v>
      </c>
      <c r="S1204" s="91">
        <f t="shared" ref="S1204:S1208" si="1146">IF(P1204&gt;0,P1204/$R1204,0)</f>
        <v>10</v>
      </c>
      <c r="T1204" s="91">
        <f t="shared" ref="T1204:T1208" si="1147">IF(Q1204&gt;0,Q1204/$R1204,0)</f>
        <v>5</v>
      </c>
      <c r="U1204" s="27" t="s">
        <v>192</v>
      </c>
      <c r="V1204" s="30" t="s">
        <v>59</v>
      </c>
      <c r="W1204" s="31">
        <v>46035</v>
      </c>
      <c r="X1204" s="22"/>
      <c r="Y1204" s="19" t="s">
        <v>52</v>
      </c>
      <c r="Z1204" s="19" t="s">
        <v>52</v>
      </c>
      <c r="AA1204" s="19" t="s">
        <v>52</v>
      </c>
      <c r="AB1204" s="28"/>
    </row>
    <row r="1205" spans="1:33" s="29" customFormat="1" ht="15" customHeight="1" x14ac:dyDescent="0.25">
      <c r="A1205" s="14">
        <v>11</v>
      </c>
      <c r="B1205" s="15">
        <v>46042</v>
      </c>
      <c r="C1205" s="15">
        <f t="shared" ref="C1205" si="1148">B1205+8</f>
        <v>46050</v>
      </c>
      <c r="D1205" s="14">
        <v>14219</v>
      </c>
      <c r="E1205" s="16" t="s">
        <v>87</v>
      </c>
      <c r="F1205" s="40" t="s">
        <v>88</v>
      </c>
      <c r="G1205" s="17" t="s">
        <v>75</v>
      </c>
      <c r="H1205" s="18" t="s">
        <v>542</v>
      </c>
      <c r="I1205" s="19" t="s">
        <v>49</v>
      </c>
      <c r="J1205" s="20">
        <v>46009</v>
      </c>
      <c r="K1205" s="20">
        <v>46050</v>
      </c>
      <c r="L1205" s="21">
        <v>1500000</v>
      </c>
      <c r="M1205" s="22">
        <f>SUM(N1205:O1205)</f>
        <v>900000</v>
      </c>
      <c r="N1205" s="23">
        <v>0</v>
      </c>
      <c r="O1205" s="23">
        <v>900000</v>
      </c>
      <c r="P1205" s="24">
        <f>L1205-N1205</f>
        <v>1500000</v>
      </c>
      <c r="Q1205" s="25">
        <v>750000</v>
      </c>
      <c r="R1205" s="26">
        <v>150000</v>
      </c>
      <c r="S1205" s="91">
        <f t="shared" si="1146"/>
        <v>10</v>
      </c>
      <c r="T1205" s="91">
        <f t="shared" si="1147"/>
        <v>5</v>
      </c>
      <c r="U1205" s="27" t="s">
        <v>192</v>
      </c>
      <c r="V1205" s="30" t="s">
        <v>59</v>
      </c>
      <c r="W1205" s="31">
        <v>46035</v>
      </c>
      <c r="X1205" s="22"/>
      <c r="Y1205" s="19" t="s">
        <v>52</v>
      </c>
      <c r="Z1205" s="19" t="s">
        <v>52</v>
      </c>
      <c r="AA1205" s="19" t="s">
        <v>52</v>
      </c>
      <c r="AB1205" s="28"/>
    </row>
    <row r="1206" spans="1:33" s="29" customFormat="1" ht="15" customHeight="1" x14ac:dyDescent="0.25">
      <c r="A1206" s="14">
        <v>51</v>
      </c>
      <c r="B1206" s="15">
        <v>46042</v>
      </c>
      <c r="C1206" s="15">
        <f>B1206+8</f>
        <v>46050</v>
      </c>
      <c r="D1206" s="14">
        <v>14233</v>
      </c>
      <c r="E1206" s="16" t="s">
        <v>1046</v>
      </c>
      <c r="F1206" s="17" t="s">
        <v>598</v>
      </c>
      <c r="G1206" s="17" t="s">
        <v>102</v>
      </c>
      <c r="H1206" s="18" t="s">
        <v>57</v>
      </c>
      <c r="I1206" s="19" t="s">
        <v>58</v>
      </c>
      <c r="J1206" s="20">
        <v>46013</v>
      </c>
      <c r="K1206" s="20">
        <v>46055</v>
      </c>
      <c r="L1206" s="21">
        <v>500000</v>
      </c>
      <c r="M1206" s="22">
        <f>SUM(N1206:O1206)</f>
        <v>523000</v>
      </c>
      <c r="N1206" s="23">
        <v>0</v>
      </c>
      <c r="O1206" s="23">
        <v>523000</v>
      </c>
      <c r="P1206" s="24">
        <f>L1206-N1206</f>
        <v>500000</v>
      </c>
      <c r="Q1206" s="25">
        <v>523000</v>
      </c>
      <c r="R1206" s="26">
        <v>50000</v>
      </c>
      <c r="S1206" s="91">
        <f t="shared" si="1146"/>
        <v>10</v>
      </c>
      <c r="T1206" s="91">
        <f t="shared" si="1147"/>
        <v>10.46</v>
      </c>
      <c r="U1206" s="27" t="s">
        <v>192</v>
      </c>
      <c r="V1206" s="19" t="s">
        <v>51</v>
      </c>
      <c r="W1206" s="20">
        <v>46033</v>
      </c>
      <c r="X1206" s="22"/>
      <c r="Y1206" s="19" t="s">
        <v>52</v>
      </c>
      <c r="Z1206" s="19" t="s">
        <v>52</v>
      </c>
      <c r="AA1206" s="19" t="s">
        <v>52</v>
      </c>
      <c r="AB1206" s="28"/>
    </row>
    <row r="1207" spans="1:33" s="29" customFormat="1" ht="15" customHeight="1" x14ac:dyDescent="0.25">
      <c r="A1207" s="14">
        <v>44</v>
      </c>
      <c r="B1207" s="15">
        <v>46042</v>
      </c>
      <c r="C1207" s="15">
        <f>B1207+8</f>
        <v>46050</v>
      </c>
      <c r="D1207" s="14">
        <v>14195</v>
      </c>
      <c r="E1207" s="16" t="s">
        <v>204</v>
      </c>
      <c r="F1207" s="17" t="s">
        <v>205</v>
      </c>
      <c r="G1207" s="17" t="s">
        <v>102</v>
      </c>
      <c r="H1207" s="18" t="s">
        <v>784</v>
      </c>
      <c r="I1207" s="19" t="s">
        <v>63</v>
      </c>
      <c r="J1207" s="20">
        <v>46006</v>
      </c>
      <c r="K1207" s="20">
        <v>46045</v>
      </c>
      <c r="L1207" s="21">
        <v>300000</v>
      </c>
      <c r="M1207" s="22">
        <f t="shared" ref="M1207" si="1149">SUM(N1207:O1207)</f>
        <v>314000</v>
      </c>
      <c r="N1207" s="23">
        <v>0</v>
      </c>
      <c r="O1207" s="23">
        <v>314000</v>
      </c>
      <c r="P1207" s="24">
        <f t="shared" ref="P1207" si="1150">L1207-N1207</f>
        <v>300000</v>
      </c>
      <c r="Q1207" s="25">
        <v>314000</v>
      </c>
      <c r="R1207" s="26">
        <v>84000</v>
      </c>
      <c r="S1207" s="91">
        <f t="shared" si="1146"/>
        <v>3.5714285714285716</v>
      </c>
      <c r="T1207" s="91">
        <f t="shared" si="1147"/>
        <v>3.7380952380952381</v>
      </c>
      <c r="U1207" s="27" t="s">
        <v>192</v>
      </c>
      <c r="V1207" s="19" t="s">
        <v>51</v>
      </c>
      <c r="W1207" s="20">
        <v>46037</v>
      </c>
      <c r="X1207" s="22"/>
      <c r="Y1207" s="19" t="s">
        <v>52</v>
      </c>
      <c r="Z1207" s="19" t="s">
        <v>52</v>
      </c>
      <c r="AA1207" s="19" t="s">
        <v>52</v>
      </c>
      <c r="AB1207" s="28"/>
    </row>
    <row r="1208" spans="1:33" s="29" customFormat="1" ht="15" customHeight="1" x14ac:dyDescent="0.25">
      <c r="A1208" s="14">
        <v>3</v>
      </c>
      <c r="B1208" s="15">
        <v>46042</v>
      </c>
      <c r="C1208" s="15">
        <f t="shared" ref="C1208" si="1151">B1208+8</f>
        <v>46050</v>
      </c>
      <c r="D1208" s="14">
        <v>13944</v>
      </c>
      <c r="E1208" s="16" t="s">
        <v>951</v>
      </c>
      <c r="F1208" s="40" t="s">
        <v>84</v>
      </c>
      <c r="G1208" s="17" t="s">
        <v>75</v>
      </c>
      <c r="H1208" s="18" t="s">
        <v>54</v>
      </c>
      <c r="I1208" s="19" t="s">
        <v>85</v>
      </c>
      <c r="J1208" s="20">
        <v>45973</v>
      </c>
      <c r="K1208" s="20">
        <v>46004</v>
      </c>
      <c r="L1208" s="21">
        <v>500000</v>
      </c>
      <c r="M1208" s="22">
        <f>SUM(N1208:O1208)</f>
        <v>80000</v>
      </c>
      <c r="N1208" s="23">
        <v>0</v>
      </c>
      <c r="O1208" s="23">
        <v>80000</v>
      </c>
      <c r="P1208" s="24">
        <f>L1208-N1208</f>
        <v>500000</v>
      </c>
      <c r="Q1208" s="25">
        <v>80000</v>
      </c>
      <c r="R1208" s="26">
        <v>80000</v>
      </c>
      <c r="S1208" s="91">
        <f t="shared" si="1146"/>
        <v>6.25</v>
      </c>
      <c r="T1208" s="91">
        <f t="shared" si="1147"/>
        <v>1</v>
      </c>
      <c r="U1208" s="27" t="s">
        <v>56</v>
      </c>
      <c r="V1208" s="30" t="s">
        <v>59</v>
      </c>
      <c r="W1208" s="31">
        <v>46041</v>
      </c>
      <c r="X1208" s="22"/>
      <c r="Y1208" s="19" t="s">
        <v>52</v>
      </c>
      <c r="Z1208" s="19" t="s">
        <v>52</v>
      </c>
      <c r="AA1208" s="19" t="s">
        <v>52</v>
      </c>
      <c r="AB1208" s="28"/>
    </row>
    <row r="1209" spans="1:33" ht="15" customHeight="1" x14ac:dyDescent="0.25">
      <c r="A1209" s="33" t="s">
        <v>71</v>
      </c>
      <c r="B1209" s="34"/>
      <c r="C1209" s="34"/>
      <c r="D1209" s="34"/>
      <c r="E1209" s="34"/>
      <c r="F1209" s="35"/>
      <c r="G1209" s="35"/>
      <c r="H1209" s="34"/>
      <c r="I1209" s="34"/>
      <c r="J1209" s="34"/>
      <c r="K1209" s="34"/>
      <c r="L1209" s="36"/>
      <c r="M1209" s="36"/>
      <c r="N1209" s="36"/>
      <c r="O1209" s="36"/>
      <c r="P1209" s="36"/>
      <c r="Q1209" s="36">
        <f>SUM(Q1204:Q1208)</f>
        <v>1917000</v>
      </c>
      <c r="R1209" s="36"/>
      <c r="S1209" s="92"/>
      <c r="T1209" s="93">
        <f>SUM(T1204:T1208)</f>
        <v>25.198095238095238</v>
      </c>
      <c r="U1209" s="37"/>
      <c r="V1209" s="38"/>
      <c r="W1209" s="38"/>
      <c r="X1209" s="38"/>
      <c r="Y1209" s="34"/>
      <c r="Z1209" s="34"/>
      <c r="AA1209" s="39"/>
      <c r="AB1209" s="29" t="s">
        <v>1080</v>
      </c>
      <c r="AC1209" s="81" t="s">
        <v>1083</v>
      </c>
      <c r="AD1209" s="83">
        <v>5000</v>
      </c>
      <c r="AF1209" s="83">
        <v>0</v>
      </c>
      <c r="AG1209" s="83">
        <f>SUM(AD1209,AF1209)</f>
        <v>5000</v>
      </c>
    </row>
    <row r="1210" spans="1:33" s="29" customFormat="1" ht="15" customHeight="1" x14ac:dyDescent="0.25">
      <c r="A1210" s="14">
        <v>8</v>
      </c>
      <c r="B1210" s="15">
        <v>46046</v>
      </c>
      <c r="C1210" s="15">
        <f>B1210+8</f>
        <v>46054</v>
      </c>
      <c r="D1210" s="14">
        <v>14131</v>
      </c>
      <c r="E1210" s="16" t="s">
        <v>436</v>
      </c>
      <c r="F1210" s="40" t="s">
        <v>437</v>
      </c>
      <c r="G1210" s="17" t="s">
        <v>75</v>
      </c>
      <c r="H1210" s="18" t="s">
        <v>57</v>
      </c>
      <c r="I1210" s="19" t="s">
        <v>94</v>
      </c>
      <c r="J1210" s="20">
        <v>45995</v>
      </c>
      <c r="K1210" s="20">
        <v>46036</v>
      </c>
      <c r="L1210" s="21">
        <v>600000</v>
      </c>
      <c r="M1210" s="22">
        <f>SUM(N1210:O1210)</f>
        <v>624000</v>
      </c>
      <c r="N1210" s="23">
        <v>405000</v>
      </c>
      <c r="O1210" s="23">
        <v>219000</v>
      </c>
      <c r="P1210" s="24">
        <f>L1210-N1210</f>
        <v>195000</v>
      </c>
      <c r="Q1210" s="25">
        <v>219000</v>
      </c>
      <c r="R1210" s="26">
        <v>150000</v>
      </c>
      <c r="S1210" s="91">
        <f t="shared" ref="S1210:S1217" si="1152">IF(P1210&gt;0,P1210/$R1210,0)</f>
        <v>1.3</v>
      </c>
      <c r="T1210" s="91">
        <f t="shared" ref="T1210:T1217" si="1153">IF(Q1210&gt;0,Q1210/$R1210,0)</f>
        <v>1.46</v>
      </c>
      <c r="U1210" s="27" t="s">
        <v>192</v>
      </c>
      <c r="V1210" s="19" t="s">
        <v>51</v>
      </c>
      <c r="W1210" s="20">
        <v>46387</v>
      </c>
      <c r="X1210" s="22"/>
      <c r="Y1210" s="19" t="s">
        <v>52</v>
      </c>
      <c r="Z1210" s="19" t="s">
        <v>52</v>
      </c>
      <c r="AA1210" s="19" t="s">
        <v>52</v>
      </c>
      <c r="AB1210" s="28"/>
    </row>
    <row r="1211" spans="1:33" s="29" customFormat="1" ht="15" customHeight="1" x14ac:dyDescent="0.25">
      <c r="A1211" s="14">
        <v>4</v>
      </c>
      <c r="B1211" s="15">
        <v>46046</v>
      </c>
      <c r="C1211" s="15">
        <f t="shared" ref="C1211" si="1154">B1211+8</f>
        <v>46054</v>
      </c>
      <c r="D1211" s="14">
        <v>14219</v>
      </c>
      <c r="E1211" s="16" t="s">
        <v>87</v>
      </c>
      <c r="F1211" s="40" t="s">
        <v>88</v>
      </c>
      <c r="G1211" s="17" t="s">
        <v>75</v>
      </c>
      <c r="H1211" s="18" t="s">
        <v>542</v>
      </c>
      <c r="I1211" s="19" t="s">
        <v>49</v>
      </c>
      <c r="J1211" s="20">
        <v>46009</v>
      </c>
      <c r="K1211" s="20">
        <v>46050</v>
      </c>
      <c r="L1211" s="21">
        <v>1500000</v>
      </c>
      <c r="M1211" s="22">
        <f>SUM(N1211:O1211)</f>
        <v>1578000</v>
      </c>
      <c r="N1211" s="23">
        <v>1350000</v>
      </c>
      <c r="O1211" s="23">
        <v>228000</v>
      </c>
      <c r="P1211" s="24">
        <f>L1211-N1211</f>
        <v>150000</v>
      </c>
      <c r="Q1211" s="25">
        <v>180000</v>
      </c>
      <c r="R1211" s="26">
        <v>150000</v>
      </c>
      <c r="S1211" s="91">
        <f t="shared" si="1152"/>
        <v>1</v>
      </c>
      <c r="T1211" s="91">
        <f t="shared" si="1153"/>
        <v>1.2</v>
      </c>
      <c r="U1211" s="27" t="s">
        <v>192</v>
      </c>
      <c r="V1211" s="19" t="s">
        <v>51</v>
      </c>
      <c r="W1211" s="20">
        <v>46035</v>
      </c>
      <c r="X1211" s="22"/>
      <c r="Y1211" s="19" t="s">
        <v>52</v>
      </c>
      <c r="Z1211" s="19" t="s">
        <v>52</v>
      </c>
      <c r="AA1211" s="19" t="s">
        <v>52</v>
      </c>
      <c r="AB1211" s="28"/>
    </row>
    <row r="1212" spans="1:33" s="29" customFormat="1" ht="15" customHeight="1" x14ac:dyDescent="0.25">
      <c r="A1212" s="14">
        <v>2</v>
      </c>
      <c r="B1212" s="15">
        <v>46046</v>
      </c>
      <c r="C1212" s="15">
        <f>B1212+8</f>
        <v>46054</v>
      </c>
      <c r="D1212" s="14">
        <v>14226</v>
      </c>
      <c r="E1212" s="16" t="s">
        <v>1048</v>
      </c>
      <c r="F1212" s="17" t="s">
        <v>106</v>
      </c>
      <c r="G1212" s="17" t="s">
        <v>102</v>
      </c>
      <c r="H1212" s="18" t="s">
        <v>542</v>
      </c>
      <c r="I1212" s="19" t="s">
        <v>1049</v>
      </c>
      <c r="J1212" s="20">
        <v>46014</v>
      </c>
      <c r="K1212" s="20">
        <v>46050</v>
      </c>
      <c r="L1212" s="21">
        <v>1800000</v>
      </c>
      <c r="M1212" s="22">
        <f>SUM(N1212:O1212)</f>
        <v>300000</v>
      </c>
      <c r="N1212" s="23">
        <v>0</v>
      </c>
      <c r="O1212" s="23">
        <v>300000</v>
      </c>
      <c r="P1212" s="24">
        <f>L1212-N1212</f>
        <v>1800000</v>
      </c>
      <c r="Q1212" s="25">
        <v>300000</v>
      </c>
      <c r="R1212" s="26">
        <v>50000</v>
      </c>
      <c r="S1212" s="91">
        <f t="shared" si="1152"/>
        <v>36</v>
      </c>
      <c r="T1212" s="91">
        <f t="shared" si="1153"/>
        <v>6</v>
      </c>
      <c r="U1212" s="27" t="s">
        <v>192</v>
      </c>
      <c r="V1212" s="30" t="s">
        <v>59</v>
      </c>
      <c r="W1212" s="31">
        <v>46043</v>
      </c>
      <c r="X1212" s="22"/>
      <c r="Y1212" s="19" t="s">
        <v>52</v>
      </c>
      <c r="Z1212" s="19" t="s">
        <v>52</v>
      </c>
      <c r="AA1212" s="19" t="s">
        <v>52</v>
      </c>
      <c r="AB1212" s="28"/>
    </row>
    <row r="1213" spans="1:33" s="29" customFormat="1" ht="15" customHeight="1" x14ac:dyDescent="0.25">
      <c r="A1213" s="14">
        <v>1</v>
      </c>
      <c r="B1213" s="15">
        <v>46046</v>
      </c>
      <c r="C1213" s="15">
        <f>B1213+8</f>
        <v>46054</v>
      </c>
      <c r="D1213" s="14">
        <v>14263</v>
      </c>
      <c r="E1213" s="16" t="s">
        <v>919</v>
      </c>
      <c r="F1213" s="17" t="s">
        <v>405</v>
      </c>
      <c r="G1213" s="17" t="s">
        <v>47</v>
      </c>
      <c r="H1213" s="18" t="s">
        <v>57</v>
      </c>
      <c r="I1213" s="19" t="s">
        <v>58</v>
      </c>
      <c r="J1213" s="20">
        <v>46024</v>
      </c>
      <c r="K1213" s="20">
        <v>46050</v>
      </c>
      <c r="L1213" s="21">
        <v>300000</v>
      </c>
      <c r="M1213" s="22">
        <f t="shared" ref="M1213:M1217" si="1155">SUM(N1213:O1213)</f>
        <v>326000</v>
      </c>
      <c r="N1213" s="23">
        <v>0</v>
      </c>
      <c r="O1213" s="23">
        <v>326000</v>
      </c>
      <c r="P1213" s="24">
        <f t="shared" ref="P1213:P1215" si="1156">L1213-N1213</f>
        <v>300000</v>
      </c>
      <c r="Q1213" s="25">
        <v>326000</v>
      </c>
      <c r="R1213" s="26">
        <v>100000</v>
      </c>
      <c r="S1213" s="91">
        <f t="shared" si="1152"/>
        <v>3</v>
      </c>
      <c r="T1213" s="91">
        <f t="shared" si="1153"/>
        <v>3.26</v>
      </c>
      <c r="U1213" s="27" t="s">
        <v>192</v>
      </c>
      <c r="V1213" s="30" t="s">
        <v>59</v>
      </c>
      <c r="W1213" s="31">
        <v>46043</v>
      </c>
      <c r="X1213" s="22"/>
      <c r="Y1213" s="19" t="s">
        <v>52</v>
      </c>
      <c r="Z1213" s="19" t="s">
        <v>52</v>
      </c>
      <c r="AA1213" s="19" t="s">
        <v>52</v>
      </c>
      <c r="AB1213" s="42"/>
    </row>
    <row r="1214" spans="1:33" s="29" customFormat="1" ht="15" customHeight="1" x14ac:dyDescent="0.25">
      <c r="A1214" s="14">
        <v>15</v>
      </c>
      <c r="B1214" s="15">
        <v>46046</v>
      </c>
      <c r="C1214" s="15">
        <f>B1214+8</f>
        <v>46054</v>
      </c>
      <c r="D1214" s="14">
        <v>14270</v>
      </c>
      <c r="E1214" s="16" t="s">
        <v>303</v>
      </c>
      <c r="F1214" s="40" t="s">
        <v>304</v>
      </c>
      <c r="G1214" s="17" t="s">
        <v>75</v>
      </c>
      <c r="H1214" s="18" t="s">
        <v>57</v>
      </c>
      <c r="I1214" s="19" t="s">
        <v>64</v>
      </c>
      <c r="J1214" s="20">
        <v>46024</v>
      </c>
      <c r="K1214" s="20">
        <v>46059</v>
      </c>
      <c r="L1214" s="21">
        <v>400000</v>
      </c>
      <c r="M1214" s="22">
        <f>SUM(N1214:O1214)</f>
        <v>250000</v>
      </c>
      <c r="N1214" s="23">
        <v>0</v>
      </c>
      <c r="O1214" s="23">
        <v>250000</v>
      </c>
      <c r="P1214" s="24">
        <f>L1214-N1214</f>
        <v>400000</v>
      </c>
      <c r="Q1214" s="25">
        <v>250000</v>
      </c>
      <c r="R1214" s="26">
        <v>48000</v>
      </c>
      <c r="S1214" s="91">
        <f t="shared" si="1152"/>
        <v>8.3333333333333339</v>
      </c>
      <c r="T1214" s="91">
        <f t="shared" si="1153"/>
        <v>5.208333333333333</v>
      </c>
      <c r="U1214" s="27" t="s">
        <v>192</v>
      </c>
      <c r="V1214" s="30" t="s">
        <v>59</v>
      </c>
      <c r="W1214" s="31">
        <v>46043</v>
      </c>
      <c r="X1214" s="22"/>
      <c r="Y1214" s="19" t="s">
        <v>52</v>
      </c>
      <c r="Z1214" s="19" t="s">
        <v>52</v>
      </c>
      <c r="AA1214" s="19" t="s">
        <v>52</v>
      </c>
      <c r="AB1214" s="28"/>
    </row>
    <row r="1215" spans="1:33" s="29" customFormat="1" ht="15" customHeight="1" x14ac:dyDescent="0.25">
      <c r="A1215" s="14">
        <v>2</v>
      </c>
      <c r="B1215" s="15">
        <v>46046</v>
      </c>
      <c r="C1215" s="15">
        <f>B1215+8</f>
        <v>46054</v>
      </c>
      <c r="D1215" s="14">
        <v>14280</v>
      </c>
      <c r="E1215" s="16" t="s">
        <v>944</v>
      </c>
      <c r="F1215" s="17" t="s">
        <v>710</v>
      </c>
      <c r="G1215" s="17" t="s">
        <v>47</v>
      </c>
      <c r="H1215" s="18" t="s">
        <v>542</v>
      </c>
      <c r="I1215" s="19" t="s">
        <v>49</v>
      </c>
      <c r="J1215" s="20">
        <v>46028</v>
      </c>
      <c r="K1215" s="20">
        <v>46055</v>
      </c>
      <c r="L1215" s="21">
        <v>100000</v>
      </c>
      <c r="M1215" s="22">
        <f t="shared" si="1155"/>
        <v>46000</v>
      </c>
      <c r="N1215" s="23">
        <v>0</v>
      </c>
      <c r="O1215" s="23">
        <v>46000</v>
      </c>
      <c r="P1215" s="24">
        <f t="shared" si="1156"/>
        <v>100000</v>
      </c>
      <c r="Q1215" s="25">
        <v>62000</v>
      </c>
      <c r="R1215" s="26">
        <v>72000</v>
      </c>
      <c r="S1215" s="91">
        <f t="shared" si="1152"/>
        <v>1.3888888888888888</v>
      </c>
      <c r="T1215" s="91">
        <f t="shared" si="1153"/>
        <v>0.86111111111111116</v>
      </c>
      <c r="U1215" s="27" t="s">
        <v>192</v>
      </c>
      <c r="V1215" s="30" t="s">
        <v>59</v>
      </c>
      <c r="W1215" s="31">
        <v>46035</v>
      </c>
      <c r="X1215" s="22"/>
      <c r="Y1215" s="19" t="s">
        <v>52</v>
      </c>
      <c r="Z1215" s="19" t="s">
        <v>52</v>
      </c>
      <c r="AA1215" s="19" t="s">
        <v>52</v>
      </c>
      <c r="AB1215" s="42"/>
    </row>
    <row r="1216" spans="1:33" s="29" customFormat="1" ht="15" customHeight="1" x14ac:dyDescent="0.25">
      <c r="A1216" s="14">
        <v>11</v>
      </c>
      <c r="B1216" s="15">
        <v>46046</v>
      </c>
      <c r="C1216" s="15">
        <f t="shared" ref="C1216" si="1157">B1216+8</f>
        <v>46054</v>
      </c>
      <c r="D1216" s="14">
        <v>14250</v>
      </c>
      <c r="E1216" s="16" t="s">
        <v>663</v>
      </c>
      <c r="F1216" s="40" t="s">
        <v>664</v>
      </c>
      <c r="G1216" s="17" t="s">
        <v>75</v>
      </c>
      <c r="H1216" s="18" t="s">
        <v>133</v>
      </c>
      <c r="I1216" s="19" t="s">
        <v>198</v>
      </c>
      <c r="J1216" s="20">
        <v>46020</v>
      </c>
      <c r="K1216" s="20">
        <v>46054</v>
      </c>
      <c r="L1216" s="21">
        <v>170000</v>
      </c>
      <c r="M1216" s="22">
        <f t="shared" si="1155"/>
        <v>168000</v>
      </c>
      <c r="N1216" s="23">
        <v>0</v>
      </c>
      <c r="O1216" s="23">
        <v>168000</v>
      </c>
      <c r="P1216" s="24">
        <f t="shared" ref="P1216:P1217" si="1158">L1216-N1216</f>
        <v>170000</v>
      </c>
      <c r="Q1216" s="25">
        <v>168000</v>
      </c>
      <c r="R1216" s="26">
        <v>150000</v>
      </c>
      <c r="S1216" s="91">
        <f t="shared" si="1152"/>
        <v>1.1333333333333333</v>
      </c>
      <c r="T1216" s="91">
        <f t="shared" si="1153"/>
        <v>1.1200000000000001</v>
      </c>
      <c r="U1216" s="27" t="s">
        <v>56</v>
      </c>
      <c r="V1216" s="30" t="s">
        <v>59</v>
      </c>
      <c r="W1216" s="31">
        <v>46043</v>
      </c>
      <c r="X1216" s="22"/>
      <c r="Y1216" s="19" t="s">
        <v>52</v>
      </c>
      <c r="Z1216" s="19" t="s">
        <v>52</v>
      </c>
      <c r="AA1216" s="19" t="s">
        <v>52</v>
      </c>
      <c r="AB1216" s="28"/>
    </row>
    <row r="1217" spans="1:33" s="29" customFormat="1" ht="15" customHeight="1" x14ac:dyDescent="0.25">
      <c r="A1217" s="14">
        <v>9</v>
      </c>
      <c r="B1217" s="15">
        <v>46046</v>
      </c>
      <c r="C1217" s="15">
        <f t="shared" ref="C1217" si="1159">B1217+8</f>
        <v>46054</v>
      </c>
      <c r="D1217" s="14">
        <v>14188</v>
      </c>
      <c r="E1217" s="16" t="s">
        <v>422</v>
      </c>
      <c r="F1217" s="40" t="s">
        <v>476</v>
      </c>
      <c r="G1217" s="17" t="s">
        <v>75</v>
      </c>
      <c r="H1217" s="18" t="s">
        <v>78</v>
      </c>
      <c r="I1217" s="19" t="s">
        <v>79</v>
      </c>
      <c r="J1217" s="20">
        <v>46006</v>
      </c>
      <c r="K1217" s="20">
        <v>46038</v>
      </c>
      <c r="L1217" s="21">
        <v>550000</v>
      </c>
      <c r="M1217" s="22">
        <f t="shared" si="1155"/>
        <v>640000</v>
      </c>
      <c r="N1217" s="23">
        <v>450000</v>
      </c>
      <c r="O1217" s="23">
        <v>190000</v>
      </c>
      <c r="P1217" s="24">
        <f t="shared" si="1158"/>
        <v>100000</v>
      </c>
      <c r="Q1217" s="25">
        <v>145000</v>
      </c>
      <c r="R1217" s="26">
        <v>150000</v>
      </c>
      <c r="S1217" s="91">
        <f t="shared" si="1152"/>
        <v>0.66666666666666663</v>
      </c>
      <c r="T1217" s="91">
        <f t="shared" si="1153"/>
        <v>0.96666666666666667</v>
      </c>
      <c r="U1217" s="27" t="s">
        <v>56</v>
      </c>
      <c r="V1217" s="19" t="s">
        <v>51</v>
      </c>
      <c r="W1217" s="20">
        <v>46017</v>
      </c>
      <c r="X1217" s="22"/>
      <c r="Y1217" s="19" t="s">
        <v>52</v>
      </c>
      <c r="Z1217" s="19" t="s">
        <v>52</v>
      </c>
      <c r="AA1217" s="19" t="s">
        <v>52</v>
      </c>
      <c r="AB1217" s="28"/>
    </row>
    <row r="1218" spans="1:33" ht="15" customHeight="1" x14ac:dyDescent="0.25">
      <c r="A1218" s="33" t="s">
        <v>71</v>
      </c>
      <c r="B1218" s="34"/>
      <c r="C1218" s="34"/>
      <c r="D1218" s="34"/>
      <c r="E1218" s="34"/>
      <c r="F1218" s="35"/>
      <c r="G1218" s="35"/>
      <c r="H1218" s="34"/>
      <c r="I1218" s="34"/>
      <c r="J1218" s="34"/>
      <c r="K1218" s="34"/>
      <c r="L1218" s="36"/>
      <c r="M1218" s="36"/>
      <c r="N1218" s="36"/>
      <c r="O1218" s="36"/>
      <c r="P1218" s="36"/>
      <c r="Q1218" s="36">
        <f>SUM(Q1210:Q1217)</f>
        <v>1650000</v>
      </c>
      <c r="R1218" s="36"/>
      <c r="S1218" s="92"/>
      <c r="T1218" s="93">
        <f>SUM(T1210:T1217)</f>
        <v>20.076111111111111</v>
      </c>
      <c r="U1218" s="37"/>
      <c r="V1218" s="38"/>
      <c r="W1218" s="38"/>
      <c r="X1218" s="38"/>
      <c r="Y1218" s="34"/>
      <c r="Z1218" s="34"/>
      <c r="AA1218" s="39"/>
      <c r="AB1218" s="29" t="s">
        <v>1085</v>
      </c>
      <c r="AC1218" s="81" t="s">
        <v>1093</v>
      </c>
      <c r="AD1218" s="83">
        <v>5000</v>
      </c>
      <c r="AF1218" s="83">
        <v>0</v>
      </c>
      <c r="AG1218" s="83">
        <f>SUM(AD1218,AF1218)</f>
        <v>5000</v>
      </c>
    </row>
    <row r="1219" spans="1:33" s="29" customFormat="1" ht="15" customHeight="1" x14ac:dyDescent="0.25">
      <c r="A1219" s="14">
        <v>2</v>
      </c>
      <c r="B1219" s="15">
        <v>46046</v>
      </c>
      <c r="C1219" s="15">
        <f t="shared" ref="C1219" si="1160">B1219+8</f>
        <v>46054</v>
      </c>
      <c r="D1219" s="14">
        <v>14215</v>
      </c>
      <c r="E1219" s="16" t="s">
        <v>684</v>
      </c>
      <c r="F1219" s="40" t="s">
        <v>720</v>
      </c>
      <c r="G1219" s="17" t="s">
        <v>75</v>
      </c>
      <c r="H1219" s="18" t="s">
        <v>57</v>
      </c>
      <c r="I1219" s="19" t="s">
        <v>94</v>
      </c>
      <c r="J1219" s="20">
        <v>46009</v>
      </c>
      <c r="K1219" s="20">
        <v>46043</v>
      </c>
      <c r="L1219" s="21">
        <v>250000</v>
      </c>
      <c r="M1219" s="22">
        <f t="shared" ref="M1219" si="1161">SUM(N1219:O1219)</f>
        <v>200000</v>
      </c>
      <c r="N1219" s="23">
        <v>0</v>
      </c>
      <c r="O1219" s="23">
        <v>200000</v>
      </c>
      <c r="P1219" s="24">
        <f t="shared" ref="P1219" si="1162">L1219-N1219</f>
        <v>250000</v>
      </c>
      <c r="Q1219" s="25">
        <v>100000</v>
      </c>
      <c r="R1219" s="26">
        <v>100000</v>
      </c>
      <c r="S1219" s="91">
        <f t="shared" ref="S1219:S1223" si="1163">IF(P1219&gt;0,P1219/$R1219,0)</f>
        <v>2.5</v>
      </c>
      <c r="T1219" s="91">
        <f t="shared" ref="T1219:T1223" si="1164">IF(Q1219&gt;0,Q1219/$R1219,0)</f>
        <v>1</v>
      </c>
      <c r="U1219" s="27" t="s">
        <v>192</v>
      </c>
      <c r="V1219" s="30" t="s">
        <v>59</v>
      </c>
      <c r="W1219" s="31">
        <v>46043</v>
      </c>
      <c r="X1219" s="22"/>
      <c r="Y1219" s="19" t="s">
        <v>52</v>
      </c>
      <c r="Z1219" s="19" t="s">
        <v>52</v>
      </c>
      <c r="AA1219" s="19" t="s">
        <v>52</v>
      </c>
      <c r="AB1219" s="28"/>
    </row>
    <row r="1220" spans="1:33" s="29" customFormat="1" ht="15" customHeight="1" x14ac:dyDescent="0.25">
      <c r="A1220" s="14">
        <v>3</v>
      </c>
      <c r="B1220" s="15">
        <v>46046</v>
      </c>
      <c r="C1220" s="15">
        <f>B1220+8</f>
        <v>46054</v>
      </c>
      <c r="D1220" s="14">
        <v>14214</v>
      </c>
      <c r="E1220" s="16" t="s">
        <v>808</v>
      </c>
      <c r="F1220" s="40" t="s">
        <v>657</v>
      </c>
      <c r="G1220" s="17" t="s">
        <v>75</v>
      </c>
      <c r="H1220" s="18" t="s">
        <v>57</v>
      </c>
      <c r="I1220" s="19" t="s">
        <v>94</v>
      </c>
      <c r="J1220" s="20">
        <v>46009</v>
      </c>
      <c r="K1220" s="20">
        <v>46043</v>
      </c>
      <c r="L1220" s="21">
        <v>1250000</v>
      </c>
      <c r="M1220" s="22">
        <f>SUM(N1220:O1220)</f>
        <v>300000</v>
      </c>
      <c r="N1220" s="23">
        <v>0</v>
      </c>
      <c r="O1220" s="23">
        <v>300000</v>
      </c>
      <c r="P1220" s="24">
        <f>L1220-N1220</f>
        <v>1250000</v>
      </c>
      <c r="Q1220" s="25">
        <v>250000</v>
      </c>
      <c r="R1220" s="26">
        <v>100000</v>
      </c>
      <c r="S1220" s="91">
        <f t="shared" si="1163"/>
        <v>12.5</v>
      </c>
      <c r="T1220" s="91">
        <f t="shared" si="1164"/>
        <v>2.5</v>
      </c>
      <c r="U1220" s="27" t="s">
        <v>192</v>
      </c>
      <c r="V1220" s="30" t="s">
        <v>59</v>
      </c>
      <c r="W1220" s="31">
        <v>46043</v>
      </c>
      <c r="X1220" s="22"/>
      <c r="Y1220" s="19" t="s">
        <v>52</v>
      </c>
      <c r="Z1220" s="19" t="s">
        <v>52</v>
      </c>
      <c r="AA1220" s="19" t="s">
        <v>52</v>
      </c>
      <c r="AB1220" s="28"/>
    </row>
    <row r="1221" spans="1:33" s="29" customFormat="1" ht="15" customHeight="1" x14ac:dyDescent="0.25">
      <c r="A1221" s="14">
        <v>4</v>
      </c>
      <c r="B1221" s="15">
        <v>46046</v>
      </c>
      <c r="C1221" s="15">
        <f>B1221+8</f>
        <v>46054</v>
      </c>
      <c r="D1221" s="14">
        <v>14226</v>
      </c>
      <c r="E1221" s="16" t="s">
        <v>1048</v>
      </c>
      <c r="F1221" s="17" t="s">
        <v>106</v>
      </c>
      <c r="G1221" s="17" t="s">
        <v>102</v>
      </c>
      <c r="H1221" s="18" t="s">
        <v>542</v>
      </c>
      <c r="I1221" s="19" t="s">
        <v>1049</v>
      </c>
      <c r="J1221" s="20">
        <v>46014</v>
      </c>
      <c r="K1221" s="20">
        <v>46050</v>
      </c>
      <c r="L1221" s="21">
        <v>1800000</v>
      </c>
      <c r="M1221" s="22">
        <f>SUM(N1221:O1221)</f>
        <v>150000</v>
      </c>
      <c r="N1221" s="23">
        <v>0</v>
      </c>
      <c r="O1221" s="23">
        <v>150000</v>
      </c>
      <c r="P1221" s="24">
        <f>L1221-N1221</f>
        <v>1800000</v>
      </c>
      <c r="Q1221" s="25">
        <v>150000</v>
      </c>
      <c r="R1221" s="26">
        <v>50000</v>
      </c>
      <c r="S1221" s="91">
        <f t="shared" si="1163"/>
        <v>36</v>
      </c>
      <c r="T1221" s="91">
        <f t="shared" si="1164"/>
        <v>3</v>
      </c>
      <c r="U1221" s="27" t="s">
        <v>192</v>
      </c>
      <c r="V1221" s="30" t="s">
        <v>59</v>
      </c>
      <c r="W1221" s="31">
        <v>46043</v>
      </c>
      <c r="X1221" s="22"/>
      <c r="Y1221" s="19" t="s">
        <v>52</v>
      </c>
      <c r="Z1221" s="19" t="s">
        <v>52</v>
      </c>
      <c r="AA1221" s="19" t="s">
        <v>52</v>
      </c>
      <c r="AB1221" s="28"/>
    </row>
    <row r="1222" spans="1:33" s="29" customFormat="1" ht="15" customHeight="1" x14ac:dyDescent="0.25">
      <c r="A1222" s="14">
        <v>10</v>
      </c>
      <c r="B1222" s="15">
        <v>46046</v>
      </c>
      <c r="C1222" s="15">
        <f t="shared" ref="C1222:C1223" si="1165">B1222+8</f>
        <v>46054</v>
      </c>
      <c r="D1222" s="14">
        <v>14379</v>
      </c>
      <c r="E1222" s="16" t="s">
        <v>295</v>
      </c>
      <c r="F1222" s="40" t="s">
        <v>296</v>
      </c>
      <c r="G1222" s="17" t="s">
        <v>75</v>
      </c>
      <c r="H1222" s="18" t="s">
        <v>542</v>
      </c>
      <c r="I1222" s="19" t="s">
        <v>1049</v>
      </c>
      <c r="J1222" s="20">
        <v>46038</v>
      </c>
      <c r="K1222" s="20">
        <v>46043</v>
      </c>
      <c r="L1222" s="21">
        <v>150000</v>
      </c>
      <c r="M1222" s="22">
        <f t="shared" ref="M1222:M1223" si="1166">SUM(N1222:O1222)</f>
        <v>150000</v>
      </c>
      <c r="N1222" s="23">
        <v>0</v>
      </c>
      <c r="O1222" s="23">
        <v>150000</v>
      </c>
      <c r="P1222" s="24">
        <f t="shared" ref="P1222:P1223" si="1167">L1222-N1222</f>
        <v>150000</v>
      </c>
      <c r="Q1222" s="25">
        <v>150000</v>
      </c>
      <c r="R1222" s="26">
        <v>150000</v>
      </c>
      <c r="S1222" s="91">
        <f t="shared" si="1163"/>
        <v>1</v>
      </c>
      <c r="T1222" s="91">
        <f t="shared" si="1164"/>
        <v>1</v>
      </c>
      <c r="U1222" s="27" t="s">
        <v>192</v>
      </c>
      <c r="V1222" s="30" t="s">
        <v>59</v>
      </c>
      <c r="W1222" s="31">
        <v>46052</v>
      </c>
      <c r="X1222" s="22"/>
      <c r="Y1222" s="19" t="s">
        <v>52</v>
      </c>
      <c r="Z1222" s="19" t="s">
        <v>52</v>
      </c>
      <c r="AA1222" s="19" t="s">
        <v>52</v>
      </c>
      <c r="AB1222" s="28"/>
    </row>
    <row r="1223" spans="1:33" s="29" customFormat="1" ht="15" customHeight="1" x14ac:dyDescent="0.25">
      <c r="A1223" s="14">
        <v>10</v>
      </c>
      <c r="B1223" s="15">
        <v>46046</v>
      </c>
      <c r="C1223" s="15">
        <f t="shared" si="1165"/>
        <v>46054</v>
      </c>
      <c r="D1223" s="14">
        <v>14184</v>
      </c>
      <c r="E1223" s="16" t="s">
        <v>156</v>
      </c>
      <c r="F1223" s="17" t="s">
        <v>157</v>
      </c>
      <c r="G1223" s="17" t="s">
        <v>132</v>
      </c>
      <c r="H1223" s="18" t="s">
        <v>775</v>
      </c>
      <c r="I1223" s="19" t="s">
        <v>135</v>
      </c>
      <c r="J1223" s="20">
        <v>46006</v>
      </c>
      <c r="K1223" s="20">
        <v>46057</v>
      </c>
      <c r="L1223" s="21">
        <v>310000</v>
      </c>
      <c r="M1223" s="22">
        <f t="shared" si="1166"/>
        <v>57330</v>
      </c>
      <c r="N1223" s="23">
        <v>0</v>
      </c>
      <c r="O1223" s="23">
        <v>57330</v>
      </c>
      <c r="P1223" s="24">
        <f t="shared" si="1167"/>
        <v>310000</v>
      </c>
      <c r="Q1223" s="25">
        <v>340790</v>
      </c>
      <c r="R1223" s="26">
        <v>57330</v>
      </c>
      <c r="S1223" s="91">
        <f t="shared" si="1163"/>
        <v>5.4072911215768356</v>
      </c>
      <c r="T1223" s="91">
        <f t="shared" si="1164"/>
        <v>5.9443572300715157</v>
      </c>
      <c r="U1223" s="27" t="s">
        <v>56</v>
      </c>
      <c r="V1223" s="30" t="s">
        <v>59</v>
      </c>
      <c r="W1223" s="31">
        <v>46043</v>
      </c>
      <c r="X1223" s="22"/>
      <c r="Y1223" s="19" t="s">
        <v>52</v>
      </c>
      <c r="Z1223" s="19" t="s">
        <v>52</v>
      </c>
      <c r="AA1223" s="19" t="s">
        <v>52</v>
      </c>
      <c r="AB1223" s="28"/>
    </row>
    <row r="1224" spans="1:33" ht="15" customHeight="1" x14ac:dyDescent="0.25">
      <c r="A1224" s="33" t="s">
        <v>71</v>
      </c>
      <c r="B1224" s="34"/>
      <c r="C1224" s="34"/>
      <c r="D1224" s="34"/>
      <c r="E1224" s="34"/>
      <c r="F1224" s="35"/>
      <c r="G1224" s="35"/>
      <c r="H1224" s="34"/>
      <c r="I1224" s="34"/>
      <c r="J1224" s="34"/>
      <c r="K1224" s="34"/>
      <c r="L1224" s="36"/>
      <c r="M1224" s="36"/>
      <c r="N1224" s="36"/>
      <c r="O1224" s="36"/>
      <c r="P1224" s="36"/>
      <c r="Q1224" s="36">
        <f>SUM(Q1219:Q1223)</f>
        <v>990790</v>
      </c>
      <c r="R1224" s="36"/>
      <c r="S1224" s="92"/>
      <c r="T1224" s="93">
        <f>SUM(T1219:T1223)</f>
        <v>13.444357230071516</v>
      </c>
      <c r="U1224" s="37"/>
      <c r="V1224" s="38"/>
      <c r="W1224" s="38"/>
      <c r="X1224" s="38"/>
      <c r="Y1224" s="34"/>
      <c r="Z1224" s="34"/>
      <c r="AA1224" s="39"/>
      <c r="AB1224" s="29" t="s">
        <v>1086</v>
      </c>
      <c r="AC1224" s="81" t="s">
        <v>1095</v>
      </c>
      <c r="AD1224" s="83">
        <v>2916.67</v>
      </c>
      <c r="AF1224" s="83">
        <v>0</v>
      </c>
      <c r="AG1224" s="83">
        <f>SUM(AD1224,AF1224)</f>
        <v>2916.67</v>
      </c>
    </row>
    <row r="1225" spans="1:33" s="29" customFormat="1" ht="15" customHeight="1" x14ac:dyDescent="0.25">
      <c r="A1225" s="14">
        <v>7</v>
      </c>
      <c r="B1225" s="15">
        <v>46050</v>
      </c>
      <c r="C1225" s="15">
        <f t="shared" ref="C1225:C1226" si="1168">B1225+8</f>
        <v>46058</v>
      </c>
      <c r="D1225" s="14">
        <v>14201</v>
      </c>
      <c r="E1225" s="16" t="s">
        <v>1042</v>
      </c>
      <c r="F1225" s="40" t="s">
        <v>1043</v>
      </c>
      <c r="G1225" s="17" t="s">
        <v>75</v>
      </c>
      <c r="H1225" s="18" t="s">
        <v>57</v>
      </c>
      <c r="I1225" s="19" t="s">
        <v>64</v>
      </c>
      <c r="J1225" s="20">
        <v>46007</v>
      </c>
      <c r="K1225" s="20">
        <v>46034</v>
      </c>
      <c r="L1225" s="21">
        <v>500000</v>
      </c>
      <c r="M1225" s="22">
        <f t="shared" ref="M1225:M1228" si="1169">SUM(N1225:O1225)</f>
        <v>485000</v>
      </c>
      <c r="N1225" s="23">
        <v>450000</v>
      </c>
      <c r="O1225" s="23">
        <v>35000</v>
      </c>
      <c r="P1225" s="24">
        <f t="shared" ref="P1225:P1235" si="1170">L1225-N1225</f>
        <v>50000</v>
      </c>
      <c r="Q1225" s="25">
        <v>35000</v>
      </c>
      <c r="R1225" s="26">
        <v>50000</v>
      </c>
      <c r="S1225" s="91">
        <f t="shared" ref="S1225" si="1171">IF(P1225&gt;0,P1225/$R1225,0)</f>
        <v>1</v>
      </c>
      <c r="T1225" s="91">
        <f t="shared" ref="T1225" si="1172">IF(Q1225&gt;0,Q1225/$R1225,0)</f>
        <v>0.7</v>
      </c>
      <c r="U1225" s="27" t="s">
        <v>192</v>
      </c>
      <c r="V1225" s="19" t="s">
        <v>51</v>
      </c>
      <c r="W1225" s="20">
        <v>46035</v>
      </c>
      <c r="X1225" s="22"/>
      <c r="Y1225" s="19" t="s">
        <v>52</v>
      </c>
      <c r="Z1225" s="19" t="s">
        <v>52</v>
      </c>
      <c r="AA1225" s="19" t="s">
        <v>52</v>
      </c>
      <c r="AB1225" s="28"/>
    </row>
    <row r="1226" spans="1:33" s="29" customFormat="1" ht="15" customHeight="1" x14ac:dyDescent="0.25">
      <c r="A1226" s="14">
        <v>3</v>
      </c>
      <c r="B1226" s="15">
        <v>46050</v>
      </c>
      <c r="C1226" s="15">
        <f t="shared" si="1168"/>
        <v>46058</v>
      </c>
      <c r="D1226" s="14">
        <v>14214</v>
      </c>
      <c r="E1226" s="16" t="s">
        <v>808</v>
      </c>
      <c r="F1226" s="40" t="s">
        <v>657</v>
      </c>
      <c r="G1226" s="17" t="s">
        <v>75</v>
      </c>
      <c r="H1226" s="18" t="s">
        <v>57</v>
      </c>
      <c r="I1226" s="19" t="s">
        <v>94</v>
      </c>
      <c r="J1226" s="20">
        <v>46009</v>
      </c>
      <c r="K1226" s="20">
        <v>46043</v>
      </c>
      <c r="L1226" s="21">
        <v>1250000</v>
      </c>
      <c r="M1226" s="22">
        <f t="shared" si="1169"/>
        <v>700000</v>
      </c>
      <c r="N1226" s="23">
        <v>200000</v>
      </c>
      <c r="O1226" s="23">
        <v>500000</v>
      </c>
      <c r="P1226" s="24">
        <f t="shared" si="1170"/>
        <v>1050000</v>
      </c>
      <c r="Q1226" s="25">
        <v>500000</v>
      </c>
      <c r="R1226" s="26">
        <v>100000</v>
      </c>
      <c r="S1226" s="91">
        <f t="shared" ref="S1226:S1236" si="1173">IF(P1226&gt;0,P1226/$R1226,0)</f>
        <v>10.5</v>
      </c>
      <c r="T1226" s="91">
        <f t="shared" ref="T1226:T1236" si="1174">IF(Q1226&gt;0,Q1226/$R1226,0)</f>
        <v>5</v>
      </c>
      <c r="U1226" s="27" t="s">
        <v>192</v>
      </c>
      <c r="V1226" s="30" t="s">
        <v>59</v>
      </c>
      <c r="W1226" s="31">
        <v>46043</v>
      </c>
      <c r="X1226" s="22"/>
      <c r="Y1226" s="19" t="s">
        <v>52</v>
      </c>
      <c r="Z1226" s="19" t="s">
        <v>52</v>
      </c>
      <c r="AA1226" s="19" t="s">
        <v>52</v>
      </c>
      <c r="AB1226" s="28"/>
    </row>
    <row r="1227" spans="1:33" s="29" customFormat="1" ht="15" customHeight="1" x14ac:dyDescent="0.25">
      <c r="A1227" s="14">
        <v>4</v>
      </c>
      <c r="B1227" s="15">
        <v>46050</v>
      </c>
      <c r="C1227" s="15">
        <f>B1227+8</f>
        <v>46058</v>
      </c>
      <c r="D1227" s="14">
        <v>14226</v>
      </c>
      <c r="E1227" s="16" t="s">
        <v>1048</v>
      </c>
      <c r="F1227" s="17" t="s">
        <v>106</v>
      </c>
      <c r="G1227" s="17" t="s">
        <v>102</v>
      </c>
      <c r="H1227" s="18" t="s">
        <v>542</v>
      </c>
      <c r="I1227" s="19" t="s">
        <v>1049</v>
      </c>
      <c r="J1227" s="20">
        <v>46014</v>
      </c>
      <c r="K1227" s="20">
        <v>46050</v>
      </c>
      <c r="L1227" s="21">
        <v>1800000</v>
      </c>
      <c r="M1227" s="22">
        <f t="shared" si="1169"/>
        <v>650000</v>
      </c>
      <c r="N1227" s="23">
        <v>450000</v>
      </c>
      <c r="O1227" s="23">
        <v>200000</v>
      </c>
      <c r="P1227" s="24">
        <f t="shared" si="1170"/>
        <v>1350000</v>
      </c>
      <c r="Q1227" s="25">
        <v>200000</v>
      </c>
      <c r="R1227" s="26">
        <v>50000</v>
      </c>
      <c r="S1227" s="91">
        <f t="shared" si="1173"/>
        <v>27</v>
      </c>
      <c r="T1227" s="91">
        <f t="shared" si="1174"/>
        <v>4</v>
      </c>
      <c r="U1227" s="27" t="s">
        <v>192</v>
      </c>
      <c r="V1227" s="30" t="s">
        <v>59</v>
      </c>
      <c r="W1227" s="31">
        <v>46043</v>
      </c>
      <c r="X1227" s="22"/>
      <c r="Y1227" s="19" t="s">
        <v>52</v>
      </c>
      <c r="Z1227" s="19" t="s">
        <v>52</v>
      </c>
      <c r="AA1227" s="19" t="s">
        <v>52</v>
      </c>
      <c r="AB1227" s="28"/>
    </row>
    <row r="1228" spans="1:33" s="29" customFormat="1" ht="15" customHeight="1" x14ac:dyDescent="0.25">
      <c r="A1228" s="14">
        <v>5</v>
      </c>
      <c r="B1228" s="15">
        <v>46050</v>
      </c>
      <c r="C1228" s="15">
        <f t="shared" ref="C1228:C1235" si="1175">B1228+8</f>
        <v>46058</v>
      </c>
      <c r="D1228" s="14">
        <v>14290</v>
      </c>
      <c r="E1228" s="16" t="s">
        <v>410</v>
      </c>
      <c r="F1228" s="40" t="s">
        <v>411</v>
      </c>
      <c r="G1228" s="17" t="s">
        <v>75</v>
      </c>
      <c r="H1228" s="18" t="s">
        <v>542</v>
      </c>
      <c r="I1228" s="19" t="s">
        <v>104</v>
      </c>
      <c r="J1228" s="20">
        <v>46029</v>
      </c>
      <c r="K1228" s="20">
        <v>46064</v>
      </c>
      <c r="L1228" s="21">
        <v>450000</v>
      </c>
      <c r="M1228" s="22">
        <f t="shared" si="1169"/>
        <v>150000</v>
      </c>
      <c r="N1228" s="23">
        <v>0</v>
      </c>
      <c r="O1228" s="23">
        <v>150000</v>
      </c>
      <c r="P1228" s="24">
        <f t="shared" si="1170"/>
        <v>450000</v>
      </c>
      <c r="Q1228" s="25">
        <v>150000</v>
      </c>
      <c r="R1228" s="26">
        <v>150000</v>
      </c>
      <c r="S1228" s="91">
        <f t="shared" si="1173"/>
        <v>3</v>
      </c>
      <c r="T1228" s="91">
        <f t="shared" si="1174"/>
        <v>1</v>
      </c>
      <c r="U1228" s="27" t="s">
        <v>192</v>
      </c>
      <c r="V1228" s="30" t="s">
        <v>59</v>
      </c>
      <c r="W1228" s="31">
        <v>46049</v>
      </c>
      <c r="X1228" s="22"/>
      <c r="Y1228" s="19" t="s">
        <v>52</v>
      </c>
      <c r="Z1228" s="19" t="s">
        <v>52</v>
      </c>
      <c r="AA1228" s="19" t="s">
        <v>52</v>
      </c>
      <c r="AB1228" s="28"/>
    </row>
    <row r="1229" spans="1:33" s="29" customFormat="1" ht="15" customHeight="1" x14ac:dyDescent="0.25">
      <c r="A1229" s="14">
        <v>44</v>
      </c>
      <c r="B1229" s="15">
        <v>46050</v>
      </c>
      <c r="C1229" s="15">
        <f t="shared" ref="C1229:C1234" si="1176">B1229+8</f>
        <v>46058</v>
      </c>
      <c r="D1229" s="14">
        <v>14052</v>
      </c>
      <c r="E1229" s="16" t="s">
        <v>841</v>
      </c>
      <c r="F1229" s="17" t="s">
        <v>842</v>
      </c>
      <c r="G1229" s="17" t="s">
        <v>102</v>
      </c>
      <c r="H1229" s="18" t="s">
        <v>54</v>
      </c>
      <c r="I1229" s="19" t="s">
        <v>135</v>
      </c>
      <c r="J1229" s="20">
        <v>45981</v>
      </c>
      <c r="K1229" s="20">
        <v>46036</v>
      </c>
      <c r="L1229" s="21">
        <v>75000</v>
      </c>
      <c r="M1229" s="22">
        <f t="shared" ref="M1229:M1234" si="1177">SUM(N1229:O1229)</f>
        <v>92000</v>
      </c>
      <c r="N1229" s="23">
        <v>42000</v>
      </c>
      <c r="O1229" s="23">
        <v>50000</v>
      </c>
      <c r="P1229" s="24">
        <f t="shared" ref="P1229:P1234" si="1178">L1229-N1229</f>
        <v>33000</v>
      </c>
      <c r="Q1229" s="25">
        <v>42000</v>
      </c>
      <c r="R1229" s="26">
        <v>42000</v>
      </c>
      <c r="S1229" s="91">
        <f t="shared" si="1173"/>
        <v>0.7857142857142857</v>
      </c>
      <c r="T1229" s="91">
        <f t="shared" si="1174"/>
        <v>1</v>
      </c>
      <c r="U1229" s="27" t="s">
        <v>56</v>
      </c>
      <c r="V1229" s="19" t="s">
        <v>51</v>
      </c>
      <c r="W1229" s="20">
        <v>46037</v>
      </c>
      <c r="X1229" s="22"/>
      <c r="Y1229" s="19" t="s">
        <v>52</v>
      </c>
      <c r="Z1229" s="19" t="s">
        <v>52</v>
      </c>
      <c r="AA1229" s="19" t="s">
        <v>52</v>
      </c>
      <c r="AB1229" s="28"/>
    </row>
    <row r="1230" spans="1:33" s="29" customFormat="1" ht="15" customHeight="1" x14ac:dyDescent="0.25">
      <c r="A1230" s="14">
        <v>5</v>
      </c>
      <c r="B1230" s="15">
        <v>46050</v>
      </c>
      <c r="C1230" s="15">
        <f t="shared" si="1176"/>
        <v>46058</v>
      </c>
      <c r="D1230" s="14">
        <v>14179</v>
      </c>
      <c r="E1230" s="16" t="s">
        <v>665</v>
      </c>
      <c r="F1230" s="17" t="s">
        <v>666</v>
      </c>
      <c r="G1230" s="17" t="s">
        <v>132</v>
      </c>
      <c r="H1230" s="18" t="s">
        <v>775</v>
      </c>
      <c r="I1230" s="19" t="s">
        <v>135</v>
      </c>
      <c r="J1230" s="20">
        <v>46006</v>
      </c>
      <c r="K1230" s="20">
        <v>46057</v>
      </c>
      <c r="L1230" s="21">
        <v>25000</v>
      </c>
      <c r="M1230" s="22">
        <f t="shared" si="1177"/>
        <v>30880</v>
      </c>
      <c r="N1230" s="23">
        <v>0</v>
      </c>
      <c r="O1230" s="23">
        <v>30880</v>
      </c>
      <c r="P1230" s="24">
        <f t="shared" si="1178"/>
        <v>25000</v>
      </c>
      <c r="Q1230" s="25">
        <v>30880</v>
      </c>
      <c r="R1230" s="26">
        <v>57330</v>
      </c>
      <c r="S1230" s="91">
        <f t="shared" si="1173"/>
        <v>0.43607186464329323</v>
      </c>
      <c r="T1230" s="91">
        <f t="shared" si="1174"/>
        <v>0.53863596720739582</v>
      </c>
      <c r="U1230" s="27" t="s">
        <v>56</v>
      </c>
      <c r="V1230" s="30" t="s">
        <v>59</v>
      </c>
      <c r="W1230" s="31">
        <v>46043</v>
      </c>
      <c r="X1230" s="22"/>
      <c r="Y1230" s="19" t="s">
        <v>52</v>
      </c>
      <c r="Z1230" s="19" t="s">
        <v>52</v>
      </c>
      <c r="AA1230" s="19" t="s">
        <v>52</v>
      </c>
      <c r="AB1230" s="28"/>
    </row>
    <row r="1231" spans="1:33" s="29" customFormat="1" ht="15" customHeight="1" x14ac:dyDescent="0.25">
      <c r="A1231" s="14">
        <v>6</v>
      </c>
      <c r="B1231" s="15">
        <v>46050</v>
      </c>
      <c r="C1231" s="15">
        <f t="shared" si="1176"/>
        <v>46058</v>
      </c>
      <c r="D1231" s="14">
        <v>14180</v>
      </c>
      <c r="E1231" s="16" t="s">
        <v>152</v>
      </c>
      <c r="F1231" s="17" t="s">
        <v>153</v>
      </c>
      <c r="G1231" s="17" t="s">
        <v>132</v>
      </c>
      <c r="H1231" s="18" t="s">
        <v>775</v>
      </c>
      <c r="I1231" s="19" t="s">
        <v>135</v>
      </c>
      <c r="J1231" s="20">
        <v>46006</v>
      </c>
      <c r="K1231" s="20">
        <v>46057</v>
      </c>
      <c r="L1231" s="21">
        <v>110000</v>
      </c>
      <c r="M1231" s="22">
        <f t="shared" si="1177"/>
        <v>82010</v>
      </c>
      <c r="N1231" s="23">
        <v>0</v>
      </c>
      <c r="O1231" s="23">
        <v>82010</v>
      </c>
      <c r="P1231" s="24">
        <f t="shared" si="1178"/>
        <v>110000</v>
      </c>
      <c r="Q1231" s="25">
        <v>82000</v>
      </c>
      <c r="R1231" s="26">
        <v>57330</v>
      </c>
      <c r="S1231" s="91">
        <f t="shared" si="1173"/>
        <v>1.9187162044304902</v>
      </c>
      <c r="T1231" s="91">
        <f t="shared" si="1174"/>
        <v>1.4303157160300017</v>
      </c>
      <c r="U1231" s="27" t="s">
        <v>56</v>
      </c>
      <c r="V1231" s="30" t="s">
        <v>59</v>
      </c>
      <c r="W1231" s="31">
        <v>46043</v>
      </c>
      <c r="X1231" s="22"/>
      <c r="Y1231" s="19" t="s">
        <v>52</v>
      </c>
      <c r="Z1231" s="19" t="s">
        <v>52</v>
      </c>
      <c r="AA1231" s="19" t="s">
        <v>52</v>
      </c>
      <c r="AB1231" s="28"/>
    </row>
    <row r="1232" spans="1:33" s="29" customFormat="1" ht="15" customHeight="1" x14ac:dyDescent="0.25">
      <c r="A1232" s="14">
        <v>7</v>
      </c>
      <c r="B1232" s="15">
        <v>46050</v>
      </c>
      <c r="C1232" s="15">
        <f t="shared" si="1176"/>
        <v>46058</v>
      </c>
      <c r="D1232" s="14">
        <v>14181</v>
      </c>
      <c r="E1232" s="16" t="s">
        <v>228</v>
      </c>
      <c r="F1232" s="17" t="s">
        <v>229</v>
      </c>
      <c r="G1232" s="17" t="s">
        <v>132</v>
      </c>
      <c r="H1232" s="18" t="s">
        <v>775</v>
      </c>
      <c r="I1232" s="19" t="s">
        <v>135</v>
      </c>
      <c r="J1232" s="20">
        <v>46006</v>
      </c>
      <c r="K1232" s="20">
        <v>46057</v>
      </c>
      <c r="L1232" s="21">
        <v>100000</v>
      </c>
      <c r="M1232" s="22">
        <f t="shared" si="1177"/>
        <v>114660</v>
      </c>
      <c r="N1232" s="23">
        <v>0</v>
      </c>
      <c r="O1232" s="23">
        <v>114660</v>
      </c>
      <c r="P1232" s="24">
        <f t="shared" si="1178"/>
        <v>100000</v>
      </c>
      <c r="Q1232" s="25">
        <v>114660</v>
      </c>
      <c r="R1232" s="26">
        <v>57330</v>
      </c>
      <c r="S1232" s="91">
        <f t="shared" si="1173"/>
        <v>1.7442874585731729</v>
      </c>
      <c r="T1232" s="91">
        <f t="shared" si="1174"/>
        <v>2</v>
      </c>
      <c r="U1232" s="27" t="s">
        <v>56</v>
      </c>
      <c r="V1232" s="30" t="s">
        <v>59</v>
      </c>
      <c r="W1232" s="31">
        <v>46043</v>
      </c>
      <c r="X1232" s="22"/>
      <c r="Y1232" s="19" t="s">
        <v>52</v>
      </c>
      <c r="Z1232" s="19" t="s">
        <v>52</v>
      </c>
      <c r="AA1232" s="19" t="s">
        <v>52</v>
      </c>
      <c r="AB1232" s="28"/>
    </row>
    <row r="1233" spans="1:33" s="29" customFormat="1" ht="15" customHeight="1" x14ac:dyDescent="0.25">
      <c r="A1233" s="14">
        <v>8</v>
      </c>
      <c r="B1233" s="15">
        <v>46050</v>
      </c>
      <c r="C1233" s="15">
        <f t="shared" si="1176"/>
        <v>46058</v>
      </c>
      <c r="D1233" s="14">
        <v>14182</v>
      </c>
      <c r="E1233" s="16" t="s">
        <v>258</v>
      </c>
      <c r="F1233" s="17" t="s">
        <v>259</v>
      </c>
      <c r="G1233" s="17" t="s">
        <v>132</v>
      </c>
      <c r="H1233" s="18" t="s">
        <v>775</v>
      </c>
      <c r="I1233" s="19" t="s">
        <v>135</v>
      </c>
      <c r="J1233" s="20">
        <v>46006</v>
      </c>
      <c r="K1233" s="20">
        <v>46057</v>
      </c>
      <c r="L1233" s="21">
        <v>25000</v>
      </c>
      <c r="M1233" s="22">
        <f t="shared" si="1177"/>
        <v>32960</v>
      </c>
      <c r="N1233" s="23">
        <v>0</v>
      </c>
      <c r="O1233" s="23">
        <v>32960</v>
      </c>
      <c r="P1233" s="24">
        <f t="shared" si="1178"/>
        <v>25000</v>
      </c>
      <c r="Q1233" s="25">
        <v>32960</v>
      </c>
      <c r="R1233" s="26">
        <v>57330</v>
      </c>
      <c r="S1233" s="91">
        <f t="shared" si="1173"/>
        <v>0.43607186464329323</v>
      </c>
      <c r="T1233" s="91">
        <f t="shared" si="1174"/>
        <v>0.57491714634571778</v>
      </c>
      <c r="U1233" s="27" t="s">
        <v>56</v>
      </c>
      <c r="V1233" s="30" t="s">
        <v>59</v>
      </c>
      <c r="W1233" s="31">
        <v>46043</v>
      </c>
      <c r="X1233" s="22"/>
      <c r="Y1233" s="19" t="s">
        <v>52</v>
      </c>
      <c r="Z1233" s="19" t="s">
        <v>52</v>
      </c>
      <c r="AA1233" s="19" t="s">
        <v>52</v>
      </c>
      <c r="AB1233" s="28"/>
    </row>
    <row r="1234" spans="1:33" s="29" customFormat="1" ht="15" customHeight="1" x14ac:dyDescent="0.25">
      <c r="A1234" s="14">
        <v>9</v>
      </c>
      <c r="B1234" s="15">
        <v>46050</v>
      </c>
      <c r="C1234" s="15">
        <f t="shared" si="1176"/>
        <v>46058</v>
      </c>
      <c r="D1234" s="14">
        <v>14183</v>
      </c>
      <c r="E1234" s="16" t="s">
        <v>245</v>
      </c>
      <c r="F1234" s="17" t="s">
        <v>246</v>
      </c>
      <c r="G1234" s="17" t="s">
        <v>132</v>
      </c>
      <c r="H1234" s="18" t="s">
        <v>775</v>
      </c>
      <c r="I1234" s="19" t="s">
        <v>135</v>
      </c>
      <c r="J1234" s="20">
        <v>46006</v>
      </c>
      <c r="K1234" s="20">
        <v>46057</v>
      </c>
      <c r="L1234" s="21">
        <v>25000</v>
      </c>
      <c r="M1234" s="22">
        <f t="shared" si="1177"/>
        <v>28670</v>
      </c>
      <c r="N1234" s="23">
        <v>0</v>
      </c>
      <c r="O1234" s="23">
        <v>28670</v>
      </c>
      <c r="P1234" s="24">
        <f t="shared" si="1178"/>
        <v>25000</v>
      </c>
      <c r="Q1234" s="25">
        <v>28660</v>
      </c>
      <c r="R1234" s="26">
        <v>53442</v>
      </c>
      <c r="S1234" s="91">
        <f t="shared" si="1173"/>
        <v>0.4677968638898245</v>
      </c>
      <c r="T1234" s="91">
        <f t="shared" si="1174"/>
        <v>0.53628232476329474</v>
      </c>
      <c r="U1234" s="27" t="s">
        <v>56</v>
      </c>
      <c r="V1234" s="30" t="s">
        <v>59</v>
      </c>
      <c r="W1234" s="31">
        <v>46043</v>
      </c>
      <c r="X1234" s="22"/>
      <c r="Y1234" s="19" t="s">
        <v>52</v>
      </c>
      <c r="Z1234" s="19" t="s">
        <v>52</v>
      </c>
      <c r="AA1234" s="19" t="s">
        <v>52</v>
      </c>
      <c r="AB1234" s="28"/>
    </row>
    <row r="1235" spans="1:33" s="29" customFormat="1" ht="15" customHeight="1" x14ac:dyDescent="0.25">
      <c r="A1235" s="14">
        <v>6</v>
      </c>
      <c r="B1235" s="15">
        <v>46050</v>
      </c>
      <c r="C1235" s="15">
        <f t="shared" si="1175"/>
        <v>46058</v>
      </c>
      <c r="D1235" s="14">
        <v>13944</v>
      </c>
      <c r="E1235" s="16" t="s">
        <v>951</v>
      </c>
      <c r="F1235" s="40" t="s">
        <v>84</v>
      </c>
      <c r="G1235" s="17" t="s">
        <v>75</v>
      </c>
      <c r="H1235" s="18" t="s">
        <v>54</v>
      </c>
      <c r="I1235" s="19" t="s">
        <v>85</v>
      </c>
      <c r="J1235" s="20">
        <v>45973</v>
      </c>
      <c r="K1235" s="20">
        <v>46004</v>
      </c>
      <c r="L1235" s="21">
        <v>500000</v>
      </c>
      <c r="M1235" s="22">
        <f t="shared" ref="M1235:M1236" si="1179">SUM(N1235:O1235)</f>
        <v>320000</v>
      </c>
      <c r="N1235" s="23">
        <v>80000</v>
      </c>
      <c r="O1235" s="23">
        <v>240000</v>
      </c>
      <c r="P1235" s="24">
        <f t="shared" si="1170"/>
        <v>420000</v>
      </c>
      <c r="Q1235" s="25">
        <v>240000</v>
      </c>
      <c r="R1235" s="26">
        <v>80000</v>
      </c>
      <c r="S1235" s="91">
        <f t="shared" si="1173"/>
        <v>5.25</v>
      </c>
      <c r="T1235" s="91">
        <f t="shared" si="1174"/>
        <v>3</v>
      </c>
      <c r="U1235" s="27" t="s">
        <v>56</v>
      </c>
      <c r="V1235" s="19" t="s">
        <v>51</v>
      </c>
      <c r="W1235" s="20">
        <v>46037</v>
      </c>
      <c r="X1235" s="22"/>
      <c r="Y1235" s="19" t="s">
        <v>52</v>
      </c>
      <c r="Z1235" s="19" t="s">
        <v>52</v>
      </c>
      <c r="AA1235" s="19" t="s">
        <v>52</v>
      </c>
      <c r="AB1235" s="28"/>
    </row>
    <row r="1236" spans="1:33" s="29" customFormat="1" ht="15" customHeight="1" x14ac:dyDescent="0.25">
      <c r="A1236" s="14">
        <v>70</v>
      </c>
      <c r="B1236" s="15">
        <v>46050</v>
      </c>
      <c r="C1236" s="15">
        <f>B1236+8</f>
        <v>46058</v>
      </c>
      <c r="D1236" s="14">
        <v>13620</v>
      </c>
      <c r="E1236" s="16" t="s">
        <v>859</v>
      </c>
      <c r="F1236" s="17" t="s">
        <v>860</v>
      </c>
      <c r="G1236" s="17" t="s">
        <v>102</v>
      </c>
      <c r="H1236" s="18" t="s">
        <v>775</v>
      </c>
      <c r="I1236" s="19" t="s">
        <v>135</v>
      </c>
      <c r="J1236" s="20">
        <v>45919</v>
      </c>
      <c r="K1236" s="20">
        <v>45970</v>
      </c>
      <c r="L1236" s="21">
        <v>50000</v>
      </c>
      <c r="M1236" s="22">
        <f t="shared" si="1179"/>
        <v>66000</v>
      </c>
      <c r="N1236" s="23">
        <v>42000</v>
      </c>
      <c r="O1236" s="23">
        <v>24000</v>
      </c>
      <c r="P1236" s="24">
        <f>L1236-N1236</f>
        <v>8000</v>
      </c>
      <c r="Q1236" s="25">
        <v>24000</v>
      </c>
      <c r="R1236" s="26">
        <v>24000</v>
      </c>
      <c r="S1236" s="91">
        <f t="shared" si="1173"/>
        <v>0.33333333333333331</v>
      </c>
      <c r="T1236" s="91">
        <f t="shared" si="1174"/>
        <v>1</v>
      </c>
      <c r="U1236" s="27" t="s">
        <v>56</v>
      </c>
      <c r="V1236" s="19" t="s">
        <v>51</v>
      </c>
      <c r="W1236" s="20">
        <v>45953</v>
      </c>
      <c r="X1236" s="22"/>
      <c r="Y1236" s="19" t="s">
        <v>52</v>
      </c>
      <c r="Z1236" s="19" t="s">
        <v>52</v>
      </c>
      <c r="AA1236" s="19" t="s">
        <v>52</v>
      </c>
      <c r="AB1236" s="28"/>
    </row>
    <row r="1237" spans="1:33" ht="15" customHeight="1" x14ac:dyDescent="0.25">
      <c r="A1237" s="33" t="s">
        <v>71</v>
      </c>
      <c r="B1237" s="34"/>
      <c r="C1237" s="34"/>
      <c r="D1237" s="34"/>
      <c r="E1237" s="34"/>
      <c r="F1237" s="35"/>
      <c r="G1237" s="35"/>
      <c r="H1237" s="34"/>
      <c r="I1237" s="34"/>
      <c r="J1237" s="34"/>
      <c r="K1237" s="34"/>
      <c r="L1237" s="36"/>
      <c r="M1237" s="36"/>
      <c r="N1237" s="36"/>
      <c r="O1237" s="36"/>
      <c r="P1237" s="36"/>
      <c r="Q1237" s="36">
        <f>SUM(Q1225:Q1236)</f>
        <v>1480160</v>
      </c>
      <c r="R1237" s="36"/>
      <c r="S1237" s="92"/>
      <c r="T1237" s="93">
        <f>SUM(T1225:T1236)</f>
        <v>20.780151154346409</v>
      </c>
      <c r="U1237" s="37"/>
      <c r="V1237" s="38"/>
      <c r="W1237" s="38"/>
      <c r="X1237" s="38"/>
      <c r="Y1237" s="34"/>
      <c r="Z1237" s="34"/>
      <c r="AA1237" s="39"/>
      <c r="AB1237" s="29" t="s">
        <v>1094</v>
      </c>
      <c r="AC1237" s="81" t="s">
        <v>1101</v>
      </c>
      <c r="AD1237" s="83">
        <v>4791.67</v>
      </c>
      <c r="AF1237" s="83">
        <v>0</v>
      </c>
      <c r="AG1237" s="83">
        <f>SUM(AD1237,AF1237)</f>
        <v>4791.67</v>
      </c>
    </row>
    <row r="1238" spans="1:33" s="29" customFormat="1" ht="15" customHeight="1" x14ac:dyDescent="0.25">
      <c r="A1238" s="14">
        <v>1</v>
      </c>
      <c r="B1238" s="15">
        <v>46052</v>
      </c>
      <c r="C1238" s="15">
        <f t="shared" ref="C1238:C1241" si="1180">B1238+8</f>
        <v>46060</v>
      </c>
      <c r="D1238" s="14">
        <v>14215</v>
      </c>
      <c r="E1238" s="16" t="s">
        <v>684</v>
      </c>
      <c r="F1238" s="40" t="s">
        <v>720</v>
      </c>
      <c r="G1238" s="17" t="s">
        <v>75</v>
      </c>
      <c r="H1238" s="18" t="s">
        <v>57</v>
      </c>
      <c r="I1238" s="19" t="s">
        <v>94</v>
      </c>
      <c r="J1238" s="20">
        <v>46009</v>
      </c>
      <c r="K1238" s="20">
        <v>46043</v>
      </c>
      <c r="L1238" s="21">
        <v>250000</v>
      </c>
      <c r="M1238" s="22">
        <f t="shared" ref="M1238" si="1181">SUM(N1238:O1238)</f>
        <v>250000</v>
      </c>
      <c r="N1238" s="23">
        <v>100000</v>
      </c>
      <c r="O1238" s="23">
        <v>150000</v>
      </c>
      <c r="P1238" s="24">
        <f t="shared" ref="P1238:P1241" si="1182">L1238-N1238</f>
        <v>150000</v>
      </c>
      <c r="Q1238" s="25">
        <v>150000</v>
      </c>
      <c r="R1238" s="26">
        <v>100000</v>
      </c>
      <c r="S1238" s="91">
        <f t="shared" ref="S1238:S1244" si="1183">IF(P1238&gt;0,P1238/$R1238,0)</f>
        <v>1.5</v>
      </c>
      <c r="T1238" s="91">
        <f t="shared" ref="T1238:T1244" si="1184">IF(Q1238&gt;0,Q1238/$R1238,0)</f>
        <v>1.5</v>
      </c>
      <c r="U1238" s="27" t="s">
        <v>192</v>
      </c>
      <c r="V1238" s="19" t="s">
        <v>51</v>
      </c>
      <c r="W1238" s="20">
        <v>46043</v>
      </c>
      <c r="X1238" s="22"/>
      <c r="Y1238" s="19" t="s">
        <v>52</v>
      </c>
      <c r="Z1238" s="19" t="s">
        <v>52</v>
      </c>
      <c r="AA1238" s="19" t="s">
        <v>52</v>
      </c>
      <c r="AB1238" s="28"/>
    </row>
    <row r="1239" spans="1:33" s="29" customFormat="1" ht="15" customHeight="1" x14ac:dyDescent="0.25">
      <c r="A1239" s="14">
        <v>2</v>
      </c>
      <c r="B1239" s="15">
        <v>46052</v>
      </c>
      <c r="C1239" s="15">
        <f>B1239+8</f>
        <v>46060</v>
      </c>
      <c r="D1239" s="14">
        <v>14214</v>
      </c>
      <c r="E1239" s="16" t="s">
        <v>808</v>
      </c>
      <c r="F1239" s="40" t="s">
        <v>657</v>
      </c>
      <c r="G1239" s="17" t="s">
        <v>75</v>
      </c>
      <c r="H1239" s="18" t="s">
        <v>57</v>
      </c>
      <c r="I1239" s="19" t="s">
        <v>94</v>
      </c>
      <c r="J1239" s="20">
        <v>46009</v>
      </c>
      <c r="K1239" s="20">
        <v>46043</v>
      </c>
      <c r="L1239" s="21">
        <v>1250000</v>
      </c>
      <c r="M1239" s="22">
        <f>SUM(N1239:O1239)</f>
        <v>600000</v>
      </c>
      <c r="N1239" s="23">
        <v>250000</v>
      </c>
      <c r="O1239" s="23">
        <v>350000</v>
      </c>
      <c r="P1239" s="24">
        <f>L1239-N1239</f>
        <v>1000000</v>
      </c>
      <c r="Q1239" s="25">
        <v>350000</v>
      </c>
      <c r="R1239" s="26">
        <v>100000</v>
      </c>
      <c r="S1239" s="91">
        <f t="shared" si="1183"/>
        <v>10</v>
      </c>
      <c r="T1239" s="91">
        <f t="shared" si="1184"/>
        <v>3.5</v>
      </c>
      <c r="U1239" s="27" t="s">
        <v>192</v>
      </c>
      <c r="V1239" s="19" t="s">
        <v>51</v>
      </c>
      <c r="W1239" s="20">
        <v>46043</v>
      </c>
      <c r="X1239" s="22"/>
      <c r="Y1239" s="19" t="s">
        <v>52</v>
      </c>
      <c r="Z1239" s="19" t="s">
        <v>52</v>
      </c>
      <c r="AA1239" s="19" t="s">
        <v>52</v>
      </c>
      <c r="AB1239" s="28"/>
    </row>
    <row r="1240" spans="1:33" s="29" customFormat="1" ht="15" customHeight="1" x14ac:dyDescent="0.25">
      <c r="A1240" s="14">
        <v>9</v>
      </c>
      <c r="B1240" s="15">
        <v>46052</v>
      </c>
      <c r="C1240" s="15">
        <f>B1240+8</f>
        <v>46060</v>
      </c>
      <c r="D1240" s="14">
        <v>14270</v>
      </c>
      <c r="E1240" s="16" t="s">
        <v>303</v>
      </c>
      <c r="F1240" s="40" t="s">
        <v>304</v>
      </c>
      <c r="G1240" s="17" t="s">
        <v>75</v>
      </c>
      <c r="H1240" s="18" t="s">
        <v>57</v>
      </c>
      <c r="I1240" s="19" t="s">
        <v>64</v>
      </c>
      <c r="J1240" s="20">
        <v>46024</v>
      </c>
      <c r="K1240" s="20">
        <v>46059</v>
      </c>
      <c r="L1240" s="21">
        <v>400000</v>
      </c>
      <c r="M1240" s="22">
        <f>SUM(N1240:O1240)</f>
        <v>407000</v>
      </c>
      <c r="N1240" s="23">
        <v>250000</v>
      </c>
      <c r="O1240" s="23">
        <v>157000</v>
      </c>
      <c r="P1240" s="24">
        <f>L1240-N1240</f>
        <v>150000</v>
      </c>
      <c r="Q1240" s="25">
        <v>157000</v>
      </c>
      <c r="R1240" s="26">
        <v>48000</v>
      </c>
      <c r="S1240" s="91">
        <f t="shared" si="1183"/>
        <v>3.125</v>
      </c>
      <c r="T1240" s="91">
        <f t="shared" si="1184"/>
        <v>3.2708333333333335</v>
      </c>
      <c r="U1240" s="27" t="s">
        <v>192</v>
      </c>
      <c r="V1240" s="19" t="s">
        <v>51</v>
      </c>
      <c r="W1240" s="20">
        <v>46043</v>
      </c>
      <c r="X1240" s="22"/>
      <c r="Y1240" s="19" t="s">
        <v>52</v>
      </c>
      <c r="Z1240" s="19" t="s">
        <v>52</v>
      </c>
      <c r="AA1240" s="19" t="s">
        <v>52</v>
      </c>
      <c r="AB1240" s="28"/>
    </row>
    <row r="1241" spans="1:33" s="29" customFormat="1" ht="15" customHeight="1" x14ac:dyDescent="0.25">
      <c r="A1241" s="14">
        <v>11</v>
      </c>
      <c r="B1241" s="15">
        <v>46052</v>
      </c>
      <c r="C1241" s="15">
        <f t="shared" si="1180"/>
        <v>46060</v>
      </c>
      <c r="D1241" s="14">
        <v>14297</v>
      </c>
      <c r="E1241" s="16" t="s">
        <v>717</v>
      </c>
      <c r="F1241" s="40" t="s">
        <v>80</v>
      </c>
      <c r="G1241" s="17" t="s">
        <v>75</v>
      </c>
      <c r="H1241" s="18" t="s">
        <v>57</v>
      </c>
      <c r="I1241" s="19" t="s">
        <v>58</v>
      </c>
      <c r="J1241" s="20">
        <v>46029</v>
      </c>
      <c r="K1241" s="20">
        <v>46064</v>
      </c>
      <c r="L1241" s="21">
        <v>450000</v>
      </c>
      <c r="M1241" s="22">
        <f t="shared" ref="M1241:M1244" si="1185">SUM(N1241:O1241)</f>
        <v>279000</v>
      </c>
      <c r="N1241" s="23">
        <v>0</v>
      </c>
      <c r="O1241" s="23">
        <v>279000</v>
      </c>
      <c r="P1241" s="24">
        <f t="shared" si="1182"/>
        <v>450000</v>
      </c>
      <c r="Q1241" s="25">
        <v>279000</v>
      </c>
      <c r="R1241" s="26">
        <v>150000</v>
      </c>
      <c r="S1241" s="91">
        <f t="shared" si="1183"/>
        <v>3</v>
      </c>
      <c r="T1241" s="91">
        <f t="shared" si="1184"/>
        <v>1.86</v>
      </c>
      <c r="U1241" s="27" t="s">
        <v>192</v>
      </c>
      <c r="V1241" s="30" t="s">
        <v>59</v>
      </c>
      <c r="W1241" s="31">
        <v>46050</v>
      </c>
      <c r="X1241" s="22"/>
      <c r="Y1241" s="19" t="s">
        <v>52</v>
      </c>
      <c r="Z1241" s="19" t="s">
        <v>52</v>
      </c>
      <c r="AA1241" s="19" t="s">
        <v>52</v>
      </c>
      <c r="AB1241" s="28"/>
    </row>
    <row r="1242" spans="1:33" s="29" customFormat="1" ht="15" customHeight="1" x14ac:dyDescent="0.25">
      <c r="A1242" s="14">
        <v>3</v>
      </c>
      <c r="B1242" s="15">
        <v>46052</v>
      </c>
      <c r="C1242" s="15">
        <f t="shared" ref="C1242:C1244" si="1186">B1242+8</f>
        <v>46060</v>
      </c>
      <c r="D1242" s="14">
        <v>14290</v>
      </c>
      <c r="E1242" s="16" t="s">
        <v>410</v>
      </c>
      <c r="F1242" s="40" t="s">
        <v>411</v>
      </c>
      <c r="G1242" s="17" t="s">
        <v>75</v>
      </c>
      <c r="H1242" s="18" t="s">
        <v>542</v>
      </c>
      <c r="I1242" s="19" t="s">
        <v>104</v>
      </c>
      <c r="J1242" s="20">
        <v>46029</v>
      </c>
      <c r="K1242" s="20">
        <v>46064</v>
      </c>
      <c r="L1242" s="21">
        <v>450000</v>
      </c>
      <c r="M1242" s="22">
        <f t="shared" si="1185"/>
        <v>300000</v>
      </c>
      <c r="N1242" s="23">
        <v>0</v>
      </c>
      <c r="O1242" s="23">
        <v>300000</v>
      </c>
      <c r="P1242" s="24">
        <f t="shared" ref="P1242:P1244" si="1187">L1242-N1242</f>
        <v>450000</v>
      </c>
      <c r="Q1242" s="25">
        <v>300000</v>
      </c>
      <c r="R1242" s="26">
        <v>150000</v>
      </c>
      <c r="S1242" s="91">
        <f t="shared" si="1183"/>
        <v>3</v>
      </c>
      <c r="T1242" s="91">
        <f t="shared" si="1184"/>
        <v>2</v>
      </c>
      <c r="U1242" s="27" t="s">
        <v>192</v>
      </c>
      <c r="V1242" s="19" t="s">
        <v>51</v>
      </c>
      <c r="W1242" s="20">
        <v>46046</v>
      </c>
      <c r="X1242" s="22"/>
      <c r="Y1242" s="19" t="s">
        <v>52</v>
      </c>
      <c r="Z1242" s="19" t="s">
        <v>52</v>
      </c>
      <c r="AA1242" s="19" t="s">
        <v>52</v>
      </c>
      <c r="AB1242" s="28"/>
    </row>
    <row r="1243" spans="1:33" s="29" customFormat="1" ht="15" customHeight="1" x14ac:dyDescent="0.25">
      <c r="A1243" s="14">
        <v>17</v>
      </c>
      <c r="B1243" s="15">
        <v>46052</v>
      </c>
      <c r="C1243" s="15">
        <f>B1243+8</f>
        <v>46060</v>
      </c>
      <c r="D1243" s="14">
        <v>14356</v>
      </c>
      <c r="E1243" s="16" t="s">
        <v>436</v>
      </c>
      <c r="F1243" s="40" t="s">
        <v>437</v>
      </c>
      <c r="G1243" s="17" t="s">
        <v>75</v>
      </c>
      <c r="H1243" s="18" t="s">
        <v>57</v>
      </c>
      <c r="I1243" s="19" t="s">
        <v>94</v>
      </c>
      <c r="J1243" s="20">
        <v>46036</v>
      </c>
      <c r="K1243" s="20">
        <v>46078</v>
      </c>
      <c r="L1243" s="21">
        <v>750000</v>
      </c>
      <c r="M1243" s="22">
        <f t="shared" si="1185"/>
        <v>300000</v>
      </c>
      <c r="N1243" s="23">
        <v>0</v>
      </c>
      <c r="O1243" s="23">
        <v>300000</v>
      </c>
      <c r="P1243" s="24">
        <f>L1243-N1243</f>
        <v>750000</v>
      </c>
      <c r="Q1243" s="25">
        <v>300000</v>
      </c>
      <c r="R1243" s="26">
        <v>150000</v>
      </c>
      <c r="S1243" s="91">
        <f t="shared" si="1183"/>
        <v>5</v>
      </c>
      <c r="T1243" s="91">
        <f t="shared" si="1184"/>
        <v>2</v>
      </c>
      <c r="U1243" s="27" t="s">
        <v>192</v>
      </c>
      <c r="V1243" s="30" t="s">
        <v>59</v>
      </c>
      <c r="W1243" s="31">
        <v>46052</v>
      </c>
      <c r="X1243" s="22"/>
      <c r="Y1243" s="19" t="s">
        <v>52</v>
      </c>
      <c r="Z1243" s="19" t="s">
        <v>52</v>
      </c>
      <c r="AA1243" s="19" t="s">
        <v>52</v>
      </c>
      <c r="AB1243" s="28"/>
    </row>
    <row r="1244" spans="1:33" s="29" customFormat="1" ht="15" customHeight="1" x14ac:dyDescent="0.25">
      <c r="A1244" s="14">
        <v>4</v>
      </c>
      <c r="B1244" s="15">
        <v>46052</v>
      </c>
      <c r="C1244" s="15">
        <f t="shared" si="1186"/>
        <v>46060</v>
      </c>
      <c r="D1244" s="14">
        <v>13944</v>
      </c>
      <c r="E1244" s="16" t="s">
        <v>951</v>
      </c>
      <c r="F1244" s="40" t="s">
        <v>84</v>
      </c>
      <c r="G1244" s="17" t="s">
        <v>75</v>
      </c>
      <c r="H1244" s="18" t="s">
        <v>54</v>
      </c>
      <c r="I1244" s="19" t="s">
        <v>85</v>
      </c>
      <c r="J1244" s="20">
        <v>45973</v>
      </c>
      <c r="K1244" s="20">
        <v>46004</v>
      </c>
      <c r="L1244" s="21">
        <v>500000</v>
      </c>
      <c r="M1244" s="22">
        <f t="shared" si="1185"/>
        <v>400000</v>
      </c>
      <c r="N1244" s="23">
        <v>320000</v>
      </c>
      <c r="O1244" s="23">
        <v>80000</v>
      </c>
      <c r="P1244" s="24">
        <f t="shared" si="1187"/>
        <v>180000</v>
      </c>
      <c r="Q1244" s="25">
        <v>80000</v>
      </c>
      <c r="R1244" s="26">
        <v>80000</v>
      </c>
      <c r="S1244" s="91">
        <f t="shared" si="1183"/>
        <v>2.25</v>
      </c>
      <c r="T1244" s="91">
        <f t="shared" si="1184"/>
        <v>1</v>
      </c>
      <c r="U1244" s="27" t="s">
        <v>56</v>
      </c>
      <c r="V1244" s="19" t="s">
        <v>51</v>
      </c>
      <c r="W1244" s="20">
        <v>46037</v>
      </c>
      <c r="X1244" s="22"/>
      <c r="Y1244" s="19" t="s">
        <v>52</v>
      </c>
      <c r="Z1244" s="19" t="s">
        <v>52</v>
      </c>
      <c r="AA1244" s="19" t="s">
        <v>52</v>
      </c>
      <c r="AB1244" s="28"/>
    </row>
    <row r="1245" spans="1:33" ht="15" customHeight="1" x14ac:dyDescent="0.25">
      <c r="A1245" s="33" t="s">
        <v>71</v>
      </c>
      <c r="B1245" s="34"/>
      <c r="C1245" s="34"/>
      <c r="D1245" s="34"/>
      <c r="E1245" s="34"/>
      <c r="F1245" s="35"/>
      <c r="G1245" s="35"/>
      <c r="H1245" s="34"/>
      <c r="I1245" s="34"/>
      <c r="J1245" s="34"/>
      <c r="K1245" s="34"/>
      <c r="L1245" s="36"/>
      <c r="M1245" s="36"/>
      <c r="N1245" s="36"/>
      <c r="O1245" s="36"/>
      <c r="P1245" s="36"/>
      <c r="Q1245" s="36">
        <f>SUM(Q1238:Q1244)</f>
        <v>1616000</v>
      </c>
      <c r="R1245" s="36"/>
      <c r="S1245" s="92"/>
      <c r="T1245" s="93">
        <f>SUM(T1238:T1244)</f>
        <v>15.130833333333333</v>
      </c>
      <c r="U1245" s="37"/>
      <c r="V1245" s="38"/>
      <c r="W1245" s="38"/>
      <c r="X1245" s="38"/>
      <c r="Y1245" s="34"/>
      <c r="Z1245" s="34"/>
      <c r="AA1245" s="39"/>
      <c r="AB1245" s="29" t="s">
        <v>1099</v>
      </c>
      <c r="AC1245" s="81" t="s">
        <v>1150</v>
      </c>
      <c r="AD1245" s="83">
        <v>3541.67</v>
      </c>
      <c r="AF1245" s="83">
        <v>0</v>
      </c>
      <c r="AG1245" s="83">
        <f>SUM(AD1245,AF1245)</f>
        <v>3541.67</v>
      </c>
    </row>
    <row r="1246" spans="1:33" s="29" customFormat="1" ht="15" customHeight="1" x14ac:dyDescent="0.25">
      <c r="A1246" s="14">
        <v>7</v>
      </c>
      <c r="B1246" s="15">
        <v>46058</v>
      </c>
      <c r="C1246" s="15">
        <f>B1246+8</f>
        <v>46066</v>
      </c>
      <c r="D1246" s="14">
        <v>14226</v>
      </c>
      <c r="E1246" s="16" t="s">
        <v>1048</v>
      </c>
      <c r="F1246" s="17" t="s">
        <v>106</v>
      </c>
      <c r="G1246" s="17" t="s">
        <v>102</v>
      </c>
      <c r="H1246" s="18" t="s">
        <v>542</v>
      </c>
      <c r="I1246" s="19" t="s">
        <v>1049</v>
      </c>
      <c r="J1246" s="20">
        <v>46014</v>
      </c>
      <c r="K1246" s="20">
        <v>46050</v>
      </c>
      <c r="L1246" s="21">
        <v>1800000</v>
      </c>
      <c r="M1246" s="22">
        <f>SUM(N1246:O1246)</f>
        <v>1650000</v>
      </c>
      <c r="N1246" s="23">
        <v>650000</v>
      </c>
      <c r="O1246" s="23">
        <v>1000000</v>
      </c>
      <c r="P1246" s="24">
        <f>L1246-N1246</f>
        <v>1150000</v>
      </c>
      <c r="Q1246" s="25">
        <v>1000000</v>
      </c>
      <c r="R1246" s="26">
        <v>50000</v>
      </c>
      <c r="S1246" s="91">
        <f t="shared" ref="S1246:S1247" si="1188">IF(P1246&gt;0,P1246/$R1246,0)</f>
        <v>23</v>
      </c>
      <c r="T1246" s="91">
        <f t="shared" ref="T1246:T1247" si="1189">IF(Q1246&gt;0,Q1246/$R1246,0)</f>
        <v>20</v>
      </c>
      <c r="U1246" s="27" t="s">
        <v>192</v>
      </c>
      <c r="V1246" s="19" t="s">
        <v>51</v>
      </c>
      <c r="W1246" s="20">
        <v>46043</v>
      </c>
      <c r="X1246" s="113" t="s">
        <v>1100</v>
      </c>
      <c r="Y1246" s="19" t="s">
        <v>52</v>
      </c>
      <c r="Z1246" s="19" t="s">
        <v>52</v>
      </c>
      <c r="AA1246" s="19" t="s">
        <v>52</v>
      </c>
      <c r="AB1246" s="28"/>
    </row>
    <row r="1247" spans="1:33" s="29" customFormat="1" ht="15" customHeight="1" x14ac:dyDescent="0.25">
      <c r="A1247" s="14">
        <v>7</v>
      </c>
      <c r="B1247" s="15">
        <v>46058</v>
      </c>
      <c r="C1247" s="15">
        <f t="shared" ref="C1247" si="1190">B1247+8</f>
        <v>46066</v>
      </c>
      <c r="D1247" s="14">
        <v>14257</v>
      </c>
      <c r="E1247" s="16" t="s">
        <v>385</v>
      </c>
      <c r="F1247" s="40" t="s">
        <v>386</v>
      </c>
      <c r="G1247" s="17" t="s">
        <v>75</v>
      </c>
      <c r="H1247" s="18" t="s">
        <v>542</v>
      </c>
      <c r="I1247" s="19" t="s">
        <v>70</v>
      </c>
      <c r="J1247" s="20">
        <v>46021</v>
      </c>
      <c r="K1247" s="20">
        <v>46055</v>
      </c>
      <c r="L1247" s="21">
        <v>1000000</v>
      </c>
      <c r="M1247" s="22">
        <f t="shared" ref="M1247" si="1191">SUM(N1247:O1247)</f>
        <v>990000</v>
      </c>
      <c r="N1247" s="23">
        <v>0</v>
      </c>
      <c r="O1247" s="23">
        <v>990000</v>
      </c>
      <c r="P1247" s="24">
        <f t="shared" ref="P1247" si="1192">L1247-N1247</f>
        <v>1000000</v>
      </c>
      <c r="Q1247" s="25">
        <v>990000</v>
      </c>
      <c r="R1247" s="26">
        <v>150000</v>
      </c>
      <c r="S1247" s="91">
        <f t="shared" si="1188"/>
        <v>6.666666666666667</v>
      </c>
      <c r="T1247" s="91">
        <f t="shared" si="1189"/>
        <v>6.6</v>
      </c>
      <c r="U1247" s="27" t="s">
        <v>192</v>
      </c>
      <c r="V1247" s="19" t="s">
        <v>51</v>
      </c>
      <c r="W1247" s="20">
        <v>46043</v>
      </c>
      <c r="X1247" s="22"/>
      <c r="Y1247" s="19" t="s">
        <v>52</v>
      </c>
      <c r="Z1247" s="19" t="s">
        <v>52</v>
      </c>
      <c r="AA1247" s="19" t="s">
        <v>52</v>
      </c>
      <c r="AB1247" s="28"/>
    </row>
    <row r="1248" spans="1:33" ht="15" customHeight="1" x14ac:dyDescent="0.25">
      <c r="A1248" s="33" t="s">
        <v>71</v>
      </c>
      <c r="B1248" s="34"/>
      <c r="C1248" s="34"/>
      <c r="D1248" s="34"/>
      <c r="E1248" s="34"/>
      <c r="F1248" s="35"/>
      <c r="G1248" s="35"/>
      <c r="H1248" s="34"/>
      <c r="I1248" s="34"/>
      <c r="J1248" s="34"/>
      <c r="K1248" s="34"/>
      <c r="L1248" s="36"/>
      <c r="M1248" s="36"/>
      <c r="N1248" s="36"/>
      <c r="O1248" s="36"/>
      <c r="P1248" s="36"/>
      <c r="Q1248" s="36">
        <f>SUM(Q1246:Q1247)</f>
        <v>1990000</v>
      </c>
      <c r="R1248" s="36"/>
      <c r="S1248" s="92"/>
      <c r="T1248" s="93">
        <f>SUM(T1246:T1247)</f>
        <v>26.6</v>
      </c>
      <c r="U1248" s="37"/>
      <c r="V1248" s="38"/>
      <c r="W1248" s="38"/>
      <c r="X1248" s="38"/>
      <c r="Y1248" s="34"/>
      <c r="Z1248" s="34"/>
      <c r="AA1248" s="39"/>
      <c r="AB1248" s="29" t="s">
        <v>1114</v>
      </c>
      <c r="AC1248" s="81" t="s">
        <v>1128</v>
      </c>
      <c r="AD1248" s="83">
        <v>5000</v>
      </c>
      <c r="AF1248" s="83">
        <v>0</v>
      </c>
      <c r="AG1248" s="83">
        <f>SUM(AD1248,AF1248)</f>
        <v>5000</v>
      </c>
    </row>
    <row r="1249" spans="1:33" s="29" customFormat="1" ht="15" customHeight="1" x14ac:dyDescent="0.25">
      <c r="A1249" s="14">
        <v>6</v>
      </c>
      <c r="B1249" s="15">
        <v>46060</v>
      </c>
      <c r="C1249" s="15">
        <f>B1249+8</f>
        <v>46068</v>
      </c>
      <c r="D1249" s="14">
        <v>14255</v>
      </c>
      <c r="E1249" s="16" t="s">
        <v>341</v>
      </c>
      <c r="F1249" s="40" t="s">
        <v>348</v>
      </c>
      <c r="G1249" s="17" t="s">
        <v>75</v>
      </c>
      <c r="H1249" s="18" t="s">
        <v>542</v>
      </c>
      <c r="I1249" s="19" t="s">
        <v>70</v>
      </c>
      <c r="J1249" s="20">
        <v>46021</v>
      </c>
      <c r="K1249" s="20">
        <v>46055</v>
      </c>
      <c r="L1249" s="21">
        <v>1500000</v>
      </c>
      <c r="M1249" s="22">
        <f>SUM(N1249:O1249)</f>
        <v>1443000</v>
      </c>
      <c r="N1249" s="23">
        <v>0</v>
      </c>
      <c r="O1249" s="23">
        <v>1443000</v>
      </c>
      <c r="P1249" s="24">
        <f>L1249-N1249</f>
        <v>1500000</v>
      </c>
      <c r="Q1249" s="25">
        <v>900000</v>
      </c>
      <c r="R1249" s="26">
        <v>150000</v>
      </c>
      <c r="S1249" s="91">
        <f t="shared" ref="S1249:S1254" si="1193">IF(P1249&gt;0,P1249/$R1249,0)</f>
        <v>10</v>
      </c>
      <c r="T1249" s="91">
        <f t="shared" ref="T1249:T1254" si="1194">IF(Q1249&gt;0,Q1249/$R1249,0)</f>
        <v>6</v>
      </c>
      <c r="U1249" s="27" t="s">
        <v>192</v>
      </c>
      <c r="V1249" s="19" t="s">
        <v>51</v>
      </c>
      <c r="W1249" s="20">
        <v>46043</v>
      </c>
      <c r="X1249" s="22"/>
      <c r="Y1249" s="19" t="s">
        <v>52</v>
      </c>
      <c r="Z1249" s="19" t="s">
        <v>52</v>
      </c>
      <c r="AA1249" s="19" t="s">
        <v>52</v>
      </c>
      <c r="AB1249" s="28"/>
    </row>
    <row r="1250" spans="1:33" s="29" customFormat="1" ht="15" customHeight="1" x14ac:dyDescent="0.25">
      <c r="A1250" s="14">
        <v>3</v>
      </c>
      <c r="B1250" s="15">
        <v>46060</v>
      </c>
      <c r="C1250" s="15">
        <f t="shared" ref="C1250:C1251" si="1195">B1250+8</f>
        <v>46068</v>
      </c>
      <c r="D1250" s="14">
        <v>14298</v>
      </c>
      <c r="E1250" s="16" t="s">
        <v>756</v>
      </c>
      <c r="F1250" s="17" t="s">
        <v>483</v>
      </c>
      <c r="G1250" s="17" t="s">
        <v>47</v>
      </c>
      <c r="H1250" s="18" t="s">
        <v>57</v>
      </c>
      <c r="I1250" s="19" t="s">
        <v>58</v>
      </c>
      <c r="J1250" s="20">
        <v>46030</v>
      </c>
      <c r="K1250" s="20">
        <v>46064</v>
      </c>
      <c r="L1250" s="21">
        <v>2000000</v>
      </c>
      <c r="M1250" s="22">
        <f t="shared" ref="M1250:M1254" si="1196">SUM(N1250:O1250)</f>
        <v>650000</v>
      </c>
      <c r="N1250" s="23">
        <v>0</v>
      </c>
      <c r="O1250" s="23">
        <v>650000</v>
      </c>
      <c r="P1250" s="24">
        <f t="shared" ref="P1250:P1254" si="1197">L1250-N1250</f>
        <v>2000000</v>
      </c>
      <c r="Q1250" s="25">
        <v>650000</v>
      </c>
      <c r="R1250" s="26">
        <v>50000</v>
      </c>
      <c r="S1250" s="91">
        <f t="shared" si="1193"/>
        <v>40</v>
      </c>
      <c r="T1250" s="91">
        <f t="shared" si="1194"/>
        <v>13</v>
      </c>
      <c r="U1250" s="27" t="s">
        <v>192</v>
      </c>
      <c r="V1250" s="30" t="s">
        <v>59</v>
      </c>
      <c r="W1250" s="31">
        <v>46058</v>
      </c>
      <c r="X1250" s="22"/>
      <c r="Y1250" s="19" t="s">
        <v>52</v>
      </c>
      <c r="Z1250" s="19" t="s">
        <v>52</v>
      </c>
      <c r="AA1250" s="19" t="s">
        <v>52</v>
      </c>
      <c r="AB1250" s="42"/>
    </row>
    <row r="1251" spans="1:33" s="29" customFormat="1" ht="15" customHeight="1" x14ac:dyDescent="0.25">
      <c r="A1251" s="14">
        <v>6</v>
      </c>
      <c r="B1251" s="15">
        <v>46060</v>
      </c>
      <c r="C1251" s="15">
        <f t="shared" si="1195"/>
        <v>46068</v>
      </c>
      <c r="D1251" s="14">
        <v>13623</v>
      </c>
      <c r="E1251" s="16" t="s">
        <v>865</v>
      </c>
      <c r="F1251" s="17" t="s">
        <v>866</v>
      </c>
      <c r="G1251" s="17" t="s">
        <v>102</v>
      </c>
      <c r="H1251" s="18" t="s">
        <v>775</v>
      </c>
      <c r="I1251" s="19" t="s">
        <v>135</v>
      </c>
      <c r="J1251" s="20">
        <v>45919</v>
      </c>
      <c r="K1251" s="20">
        <v>46048</v>
      </c>
      <c r="L1251" s="21">
        <v>60000</v>
      </c>
      <c r="M1251" s="22">
        <f t="shared" si="1196"/>
        <v>54000</v>
      </c>
      <c r="N1251" s="23">
        <v>0</v>
      </c>
      <c r="O1251" s="23">
        <v>54000</v>
      </c>
      <c r="P1251" s="24">
        <f t="shared" si="1197"/>
        <v>60000</v>
      </c>
      <c r="Q1251" s="25">
        <v>27000</v>
      </c>
      <c r="R1251" s="26">
        <v>24000</v>
      </c>
      <c r="S1251" s="91">
        <f t="shared" si="1193"/>
        <v>2.5</v>
      </c>
      <c r="T1251" s="91">
        <f t="shared" si="1194"/>
        <v>1.125</v>
      </c>
      <c r="U1251" s="27" t="s">
        <v>56</v>
      </c>
      <c r="V1251" s="19" t="s">
        <v>51</v>
      </c>
      <c r="W1251" s="20">
        <v>46053</v>
      </c>
      <c r="X1251" s="113" t="s">
        <v>1100</v>
      </c>
      <c r="Y1251" s="19" t="s">
        <v>52</v>
      </c>
      <c r="Z1251" s="19" t="s">
        <v>52</v>
      </c>
      <c r="AA1251" s="41" t="s">
        <v>82</v>
      </c>
      <c r="AB1251" s="28"/>
    </row>
    <row r="1252" spans="1:33" s="29" customFormat="1" ht="15" customHeight="1" x14ac:dyDescent="0.25">
      <c r="A1252" s="14">
        <v>9</v>
      </c>
      <c r="B1252" s="15">
        <v>46060</v>
      </c>
      <c r="C1252" s="15">
        <f t="shared" ref="C1252" si="1198">B1252+8</f>
        <v>46068</v>
      </c>
      <c r="D1252" s="14">
        <v>14320</v>
      </c>
      <c r="E1252" s="16" t="s">
        <v>139</v>
      </c>
      <c r="F1252" s="17" t="s">
        <v>265</v>
      </c>
      <c r="G1252" s="17" t="s">
        <v>132</v>
      </c>
      <c r="H1252" s="18" t="s">
        <v>54</v>
      </c>
      <c r="I1252" s="19" t="s">
        <v>135</v>
      </c>
      <c r="J1252" s="20">
        <v>46035</v>
      </c>
      <c r="K1252" s="20">
        <v>46081</v>
      </c>
      <c r="L1252" s="21">
        <v>350000</v>
      </c>
      <c r="M1252" s="22">
        <f t="shared" si="1196"/>
        <v>377000</v>
      </c>
      <c r="N1252" s="23">
        <v>0</v>
      </c>
      <c r="O1252" s="23">
        <v>377000</v>
      </c>
      <c r="P1252" s="24">
        <f>L1252-N1252</f>
        <v>350000</v>
      </c>
      <c r="Q1252" s="25">
        <v>377000</v>
      </c>
      <c r="R1252" s="26">
        <v>175500</v>
      </c>
      <c r="S1252" s="91">
        <f t="shared" si="1193"/>
        <v>1.9943019943019944</v>
      </c>
      <c r="T1252" s="91">
        <f t="shared" si="1194"/>
        <v>2.1481481481481484</v>
      </c>
      <c r="U1252" s="27" t="s">
        <v>56</v>
      </c>
      <c r="V1252" s="30" t="s">
        <v>59</v>
      </c>
      <c r="W1252" s="31">
        <v>46063</v>
      </c>
      <c r="X1252" s="22"/>
      <c r="Y1252" s="19" t="s">
        <v>52</v>
      </c>
      <c r="Z1252" s="19" t="s">
        <v>52</v>
      </c>
      <c r="AA1252" s="19" t="s">
        <v>52</v>
      </c>
      <c r="AB1252" s="28"/>
    </row>
    <row r="1253" spans="1:33" s="29" customFormat="1" ht="15" customHeight="1" x14ac:dyDescent="0.25">
      <c r="A1253" s="14">
        <v>16</v>
      </c>
      <c r="B1253" s="15">
        <v>46060</v>
      </c>
      <c r="C1253" s="15">
        <f>B1253+8</f>
        <v>46068</v>
      </c>
      <c r="D1253" s="14">
        <v>14367</v>
      </c>
      <c r="E1253" s="16" t="s">
        <v>1076</v>
      </c>
      <c r="F1253" s="17" t="s">
        <v>1077</v>
      </c>
      <c r="G1253" s="17" t="s">
        <v>102</v>
      </c>
      <c r="H1253" s="18" t="s">
        <v>54</v>
      </c>
      <c r="I1253" s="19" t="s">
        <v>135</v>
      </c>
      <c r="J1253" s="20">
        <v>46040</v>
      </c>
      <c r="K1253" s="20">
        <v>46069</v>
      </c>
      <c r="L1253" s="21">
        <v>25000</v>
      </c>
      <c r="M1253" s="22">
        <f t="shared" si="1196"/>
        <v>23000</v>
      </c>
      <c r="N1253" s="23">
        <v>0</v>
      </c>
      <c r="O1253" s="23">
        <v>23000</v>
      </c>
      <c r="P1253" s="24">
        <f>L1253-N1253</f>
        <v>25000</v>
      </c>
      <c r="Q1253" s="25">
        <v>23000</v>
      </c>
      <c r="R1253" s="26">
        <v>42000</v>
      </c>
      <c r="S1253" s="91">
        <f t="shared" si="1193"/>
        <v>0.59523809523809523</v>
      </c>
      <c r="T1253" s="91">
        <f t="shared" si="1194"/>
        <v>0.54761904761904767</v>
      </c>
      <c r="U1253" s="27" t="s">
        <v>56</v>
      </c>
      <c r="V1253" s="30" t="s">
        <v>59</v>
      </c>
      <c r="W1253" s="31">
        <v>46059</v>
      </c>
      <c r="X1253" s="113" t="s">
        <v>477</v>
      </c>
      <c r="Y1253" s="19" t="s">
        <v>52</v>
      </c>
      <c r="Z1253" s="19" t="s">
        <v>52</v>
      </c>
      <c r="AA1253" s="41" t="s">
        <v>82</v>
      </c>
      <c r="AB1253" s="28"/>
    </row>
    <row r="1254" spans="1:33" s="29" customFormat="1" ht="15" customHeight="1" x14ac:dyDescent="0.25">
      <c r="A1254" s="14">
        <v>15</v>
      </c>
      <c r="B1254" s="15">
        <v>46060</v>
      </c>
      <c r="C1254" s="15">
        <f>B1254+8</f>
        <v>46068</v>
      </c>
      <c r="D1254" s="14">
        <v>14366</v>
      </c>
      <c r="E1254" s="16" t="s">
        <v>1075</v>
      </c>
      <c r="F1254" s="17" t="s">
        <v>826</v>
      </c>
      <c r="G1254" s="17" t="s">
        <v>102</v>
      </c>
      <c r="H1254" s="18" t="s">
        <v>54</v>
      </c>
      <c r="I1254" s="19" t="s">
        <v>135</v>
      </c>
      <c r="J1254" s="20">
        <v>46040</v>
      </c>
      <c r="K1254" s="20">
        <v>46069</v>
      </c>
      <c r="L1254" s="21">
        <v>30000</v>
      </c>
      <c r="M1254" s="22">
        <f t="shared" si="1196"/>
        <v>38000</v>
      </c>
      <c r="N1254" s="23">
        <v>0</v>
      </c>
      <c r="O1254" s="23">
        <v>38000</v>
      </c>
      <c r="P1254" s="24">
        <f t="shared" si="1197"/>
        <v>30000</v>
      </c>
      <c r="Q1254" s="25">
        <v>38000</v>
      </c>
      <c r="R1254" s="26">
        <v>42000</v>
      </c>
      <c r="S1254" s="91">
        <f t="shared" si="1193"/>
        <v>0.7142857142857143</v>
      </c>
      <c r="T1254" s="91">
        <f t="shared" si="1194"/>
        <v>0.90476190476190477</v>
      </c>
      <c r="U1254" s="27" t="s">
        <v>56</v>
      </c>
      <c r="V1254" s="30" t="s">
        <v>59</v>
      </c>
      <c r="W1254" s="31">
        <v>46059</v>
      </c>
      <c r="X1254" s="113" t="s">
        <v>477</v>
      </c>
      <c r="Y1254" s="19" t="s">
        <v>52</v>
      </c>
      <c r="Z1254" s="19" t="s">
        <v>52</v>
      </c>
      <c r="AA1254" s="41" t="s">
        <v>82</v>
      </c>
      <c r="AB1254" s="28"/>
    </row>
    <row r="1255" spans="1:33" ht="15" customHeight="1" x14ac:dyDescent="0.25">
      <c r="A1255" s="33" t="s">
        <v>71</v>
      </c>
      <c r="B1255" s="34"/>
      <c r="C1255" s="34"/>
      <c r="D1255" s="34"/>
      <c r="E1255" s="34"/>
      <c r="F1255" s="35"/>
      <c r="G1255" s="35"/>
      <c r="H1255" s="34"/>
      <c r="I1255" s="34"/>
      <c r="J1255" s="34"/>
      <c r="K1255" s="34"/>
      <c r="L1255" s="36"/>
      <c r="M1255" s="36"/>
      <c r="N1255" s="36"/>
      <c r="O1255" s="36"/>
      <c r="P1255" s="36"/>
      <c r="Q1255" s="36">
        <f>SUM(Q1249:Q1254)</f>
        <v>2015000</v>
      </c>
      <c r="R1255" s="36"/>
      <c r="S1255" s="92"/>
      <c r="T1255" s="93">
        <f>SUM(T1249:T1254)</f>
        <v>23.725529100529101</v>
      </c>
      <c r="U1255" s="37"/>
      <c r="V1255" s="38"/>
      <c r="W1255" s="38"/>
      <c r="X1255" s="38"/>
      <c r="Y1255" s="34"/>
      <c r="Z1255" s="34"/>
      <c r="AA1255" s="39"/>
      <c r="AB1255" s="29" t="s">
        <v>1122</v>
      </c>
      <c r="AC1255" s="81" t="s">
        <v>1137</v>
      </c>
      <c r="AD1255" s="83">
        <v>5000</v>
      </c>
      <c r="AF1255" s="83">
        <v>0</v>
      </c>
      <c r="AG1255" s="83">
        <f>SUM(AD1255,AF1255)</f>
        <v>5000</v>
      </c>
    </row>
    <row r="1256" spans="1:33" s="29" customFormat="1" ht="15" customHeight="1" x14ac:dyDescent="0.25">
      <c r="A1256" s="14">
        <v>3</v>
      </c>
      <c r="B1256" s="15">
        <v>46060</v>
      </c>
      <c r="C1256" s="15">
        <f t="shared" ref="C1256:C1261" si="1199">B1256+8</f>
        <v>46068</v>
      </c>
      <c r="D1256" s="14">
        <v>14262</v>
      </c>
      <c r="E1256" s="16" t="s">
        <v>45</v>
      </c>
      <c r="F1256" s="17" t="s">
        <v>46</v>
      </c>
      <c r="G1256" s="17" t="s">
        <v>47</v>
      </c>
      <c r="H1256" s="18" t="s">
        <v>542</v>
      </c>
      <c r="I1256" s="19" t="s">
        <v>49</v>
      </c>
      <c r="J1256" s="20">
        <v>46024</v>
      </c>
      <c r="K1256" s="20">
        <v>46076</v>
      </c>
      <c r="L1256" s="21">
        <v>200000</v>
      </c>
      <c r="M1256" s="22">
        <f>SUM(N1256:O1256)</f>
        <v>200000</v>
      </c>
      <c r="N1256" s="23">
        <v>0</v>
      </c>
      <c r="O1256" s="23">
        <v>200000</v>
      </c>
      <c r="P1256" s="24">
        <f>L1256-N1256</f>
        <v>200000</v>
      </c>
      <c r="Q1256" s="25">
        <v>200000</v>
      </c>
      <c r="R1256" s="26">
        <v>60000</v>
      </c>
      <c r="S1256" s="91">
        <f t="shared" ref="S1256:S1261" si="1200">IF(P1256&gt;0,P1256/$R1256,0)</f>
        <v>3.3333333333333335</v>
      </c>
      <c r="T1256" s="91">
        <f t="shared" ref="T1256:T1261" si="1201">IF(Q1256&gt;0,Q1256/$R1256,0)</f>
        <v>3.3333333333333335</v>
      </c>
      <c r="U1256" s="27" t="s">
        <v>192</v>
      </c>
      <c r="V1256" s="19" t="s">
        <v>51</v>
      </c>
      <c r="W1256" s="20">
        <v>46050</v>
      </c>
      <c r="X1256" s="113" t="s">
        <v>1136</v>
      </c>
      <c r="Y1256" s="19" t="s">
        <v>52</v>
      </c>
      <c r="Z1256" s="19" t="s">
        <v>52</v>
      </c>
      <c r="AA1256" s="19" t="s">
        <v>52</v>
      </c>
      <c r="AB1256" s="42"/>
    </row>
    <row r="1257" spans="1:33" s="29" customFormat="1" ht="15" customHeight="1" x14ac:dyDescent="0.25">
      <c r="A1257" s="14">
        <v>51</v>
      </c>
      <c r="B1257" s="15">
        <v>46060</v>
      </c>
      <c r="C1257" s="15">
        <f t="shared" si="1199"/>
        <v>46068</v>
      </c>
      <c r="D1257" s="14">
        <v>14259</v>
      </c>
      <c r="E1257" s="16" t="s">
        <v>940</v>
      </c>
      <c r="F1257" s="17" t="s">
        <v>1056</v>
      </c>
      <c r="G1257" s="17" t="s">
        <v>102</v>
      </c>
      <c r="H1257" s="18" t="s">
        <v>542</v>
      </c>
      <c r="I1257" s="19" t="s">
        <v>70</v>
      </c>
      <c r="J1257" s="20">
        <v>46027</v>
      </c>
      <c r="K1257" s="20">
        <v>46064</v>
      </c>
      <c r="L1257" s="21">
        <v>200000</v>
      </c>
      <c r="M1257" s="22">
        <f>SUM(N1257:O1257)</f>
        <v>144000</v>
      </c>
      <c r="N1257" s="23">
        <v>0</v>
      </c>
      <c r="O1257" s="23">
        <v>144000</v>
      </c>
      <c r="P1257" s="24">
        <f>L1257-N1257</f>
        <v>200000</v>
      </c>
      <c r="Q1257" s="25">
        <v>144000</v>
      </c>
      <c r="R1257" s="26">
        <v>16000</v>
      </c>
      <c r="S1257" s="91">
        <f t="shared" si="1200"/>
        <v>12.5</v>
      </c>
      <c r="T1257" s="91">
        <f t="shared" si="1201"/>
        <v>9</v>
      </c>
      <c r="U1257" s="27" t="s">
        <v>254</v>
      </c>
      <c r="V1257" s="19" t="s">
        <v>51</v>
      </c>
      <c r="W1257" s="20">
        <v>46049</v>
      </c>
      <c r="X1257" s="113" t="s">
        <v>477</v>
      </c>
      <c r="Y1257" s="19" t="s">
        <v>52</v>
      </c>
      <c r="Z1257" s="19" t="s">
        <v>52</v>
      </c>
      <c r="AA1257" s="19" t="s">
        <v>52</v>
      </c>
      <c r="AB1257" s="28"/>
    </row>
    <row r="1258" spans="1:33" s="29" customFormat="1" ht="15" customHeight="1" x14ac:dyDescent="0.25">
      <c r="A1258" s="14">
        <v>7</v>
      </c>
      <c r="B1258" s="15">
        <v>46060</v>
      </c>
      <c r="C1258" s="15">
        <f t="shared" si="1199"/>
        <v>46068</v>
      </c>
      <c r="D1258" s="14">
        <v>14244</v>
      </c>
      <c r="E1258" s="16" t="s">
        <v>349</v>
      </c>
      <c r="F1258" s="40" t="s">
        <v>350</v>
      </c>
      <c r="G1258" s="17" t="s">
        <v>75</v>
      </c>
      <c r="H1258" s="18" t="s">
        <v>78</v>
      </c>
      <c r="I1258" s="19" t="s">
        <v>79</v>
      </c>
      <c r="J1258" s="20">
        <v>46015</v>
      </c>
      <c r="K1258" s="20">
        <v>46056</v>
      </c>
      <c r="L1258" s="21">
        <v>1500000</v>
      </c>
      <c r="M1258" s="22">
        <f>SUM(N1258:O1258)</f>
        <v>760000</v>
      </c>
      <c r="N1258" s="23">
        <v>10000</v>
      </c>
      <c r="O1258" s="23">
        <v>750000</v>
      </c>
      <c r="P1258" s="24">
        <f>L1258-N1258</f>
        <v>1490000</v>
      </c>
      <c r="Q1258" s="25">
        <v>750000</v>
      </c>
      <c r="R1258" s="26">
        <v>150000</v>
      </c>
      <c r="S1258" s="91">
        <f t="shared" si="1200"/>
        <v>9.9333333333333336</v>
      </c>
      <c r="T1258" s="91">
        <f t="shared" si="1201"/>
        <v>5</v>
      </c>
      <c r="U1258" s="27" t="s">
        <v>56</v>
      </c>
      <c r="V1258" s="19" t="s">
        <v>51</v>
      </c>
      <c r="W1258" s="20">
        <v>46041</v>
      </c>
      <c r="X1258" s="22"/>
      <c r="Y1258" s="19" t="s">
        <v>52</v>
      </c>
      <c r="Z1258" s="19" t="s">
        <v>52</v>
      </c>
      <c r="AA1258" s="19" t="s">
        <v>52</v>
      </c>
      <c r="AB1258" s="28"/>
    </row>
    <row r="1259" spans="1:33" s="29" customFormat="1" ht="15" customHeight="1" x14ac:dyDescent="0.25">
      <c r="A1259" s="14">
        <v>4</v>
      </c>
      <c r="B1259" s="15">
        <v>46060</v>
      </c>
      <c r="C1259" s="15">
        <f t="shared" si="1199"/>
        <v>46068</v>
      </c>
      <c r="D1259" s="14">
        <v>13964</v>
      </c>
      <c r="E1259" s="16" t="s">
        <v>358</v>
      </c>
      <c r="F1259" s="17" t="s">
        <v>359</v>
      </c>
      <c r="G1259" s="17" t="s">
        <v>132</v>
      </c>
      <c r="H1259" s="18" t="s">
        <v>162</v>
      </c>
      <c r="I1259" s="19" t="s">
        <v>135</v>
      </c>
      <c r="J1259" s="20">
        <v>46010</v>
      </c>
      <c r="K1259" s="20">
        <v>46007</v>
      </c>
      <c r="L1259" s="21">
        <v>484000</v>
      </c>
      <c r="M1259" s="22">
        <f t="shared" ref="M1259" si="1202">SUM(N1259:O1259)</f>
        <v>168000</v>
      </c>
      <c r="N1259" s="23">
        <v>0</v>
      </c>
      <c r="O1259" s="23">
        <v>168000</v>
      </c>
      <c r="P1259" s="24">
        <f t="shared" ref="P1259" si="1203">L1259-N1259</f>
        <v>484000</v>
      </c>
      <c r="Q1259" s="25">
        <v>168000</v>
      </c>
      <c r="R1259" s="26">
        <v>175500</v>
      </c>
      <c r="S1259" s="91">
        <f t="shared" si="1200"/>
        <v>2.757834757834758</v>
      </c>
      <c r="T1259" s="91">
        <f t="shared" si="1201"/>
        <v>0.95726495726495731</v>
      </c>
      <c r="U1259" s="27" t="s">
        <v>56</v>
      </c>
      <c r="V1259" s="30" t="s">
        <v>68</v>
      </c>
      <c r="W1259" s="31" t="s">
        <v>68</v>
      </c>
      <c r="X1259" s="22"/>
      <c r="Y1259" s="19" t="s">
        <v>52</v>
      </c>
      <c r="Z1259" s="19" t="s">
        <v>52</v>
      </c>
      <c r="AA1259" s="19" t="s">
        <v>52</v>
      </c>
      <c r="AB1259" s="28"/>
    </row>
    <row r="1260" spans="1:33" s="29" customFormat="1" ht="15" customHeight="1" x14ac:dyDescent="0.25">
      <c r="A1260" s="14">
        <v>4</v>
      </c>
      <c r="B1260" s="15">
        <v>46060</v>
      </c>
      <c r="C1260" s="15">
        <f t="shared" si="1199"/>
        <v>46068</v>
      </c>
      <c r="D1260" s="14">
        <v>14289</v>
      </c>
      <c r="E1260" s="16" t="s">
        <v>310</v>
      </c>
      <c r="F1260" s="17" t="s">
        <v>311</v>
      </c>
      <c r="G1260" s="17" t="s">
        <v>132</v>
      </c>
      <c r="H1260" s="18" t="s">
        <v>133</v>
      </c>
      <c r="I1260" s="19" t="s">
        <v>198</v>
      </c>
      <c r="J1260" s="20">
        <v>46030</v>
      </c>
      <c r="K1260" s="20">
        <v>46056</v>
      </c>
      <c r="L1260" s="21">
        <v>200000</v>
      </c>
      <c r="M1260" s="22">
        <f>SUM(N1260:O1260)</f>
        <v>200000</v>
      </c>
      <c r="N1260" s="23">
        <v>0</v>
      </c>
      <c r="O1260" s="23">
        <v>200000</v>
      </c>
      <c r="P1260" s="24">
        <f>L1260-N1260</f>
        <v>200000</v>
      </c>
      <c r="Q1260" s="25">
        <v>120000</v>
      </c>
      <c r="R1260" s="26">
        <v>160000</v>
      </c>
      <c r="S1260" s="91">
        <f t="shared" si="1200"/>
        <v>1.25</v>
      </c>
      <c r="T1260" s="91">
        <f t="shared" si="1201"/>
        <v>0.75</v>
      </c>
      <c r="U1260" s="27" t="s">
        <v>56</v>
      </c>
      <c r="V1260" s="30" t="s">
        <v>59</v>
      </c>
      <c r="W1260" s="31">
        <v>46058</v>
      </c>
      <c r="X1260" s="22"/>
      <c r="Y1260" s="19" t="s">
        <v>52</v>
      </c>
      <c r="Z1260" s="19" t="s">
        <v>52</v>
      </c>
      <c r="AA1260" s="19" t="s">
        <v>52</v>
      </c>
      <c r="AB1260" s="28"/>
    </row>
    <row r="1261" spans="1:33" s="29" customFormat="1" ht="15" customHeight="1" x14ac:dyDescent="0.25">
      <c r="A1261" s="14">
        <v>17</v>
      </c>
      <c r="B1261" s="15">
        <v>46060</v>
      </c>
      <c r="C1261" s="15">
        <f t="shared" si="1199"/>
        <v>46068</v>
      </c>
      <c r="D1261" s="14">
        <v>14356</v>
      </c>
      <c r="E1261" s="16" t="s">
        <v>436</v>
      </c>
      <c r="F1261" s="40" t="s">
        <v>437</v>
      </c>
      <c r="G1261" s="17" t="s">
        <v>75</v>
      </c>
      <c r="H1261" s="18" t="s">
        <v>57</v>
      </c>
      <c r="I1261" s="19" t="s">
        <v>94</v>
      </c>
      <c r="J1261" s="20">
        <v>46036</v>
      </c>
      <c r="K1261" s="20">
        <v>46078</v>
      </c>
      <c r="L1261" s="21">
        <v>750000</v>
      </c>
      <c r="M1261" s="22">
        <f t="shared" ref="M1261" si="1204">SUM(N1261:O1261)</f>
        <v>750000</v>
      </c>
      <c r="N1261" s="23">
        <v>300000</v>
      </c>
      <c r="O1261" s="23">
        <v>450000</v>
      </c>
      <c r="P1261" s="24">
        <f>L1261-N1261</f>
        <v>450000</v>
      </c>
      <c r="Q1261" s="25">
        <v>450000</v>
      </c>
      <c r="R1261" s="26">
        <v>150000</v>
      </c>
      <c r="S1261" s="91">
        <f t="shared" si="1200"/>
        <v>3</v>
      </c>
      <c r="T1261" s="91">
        <f t="shared" si="1201"/>
        <v>3</v>
      </c>
      <c r="U1261" s="27" t="s">
        <v>193</v>
      </c>
      <c r="V1261" s="19" t="s">
        <v>51</v>
      </c>
      <c r="W1261" s="20">
        <v>46052</v>
      </c>
      <c r="X1261" s="22"/>
      <c r="Y1261" s="19" t="s">
        <v>52</v>
      </c>
      <c r="Z1261" s="19" t="s">
        <v>52</v>
      </c>
      <c r="AA1261" s="19" t="s">
        <v>52</v>
      </c>
      <c r="AB1261" s="28"/>
    </row>
    <row r="1262" spans="1:33" ht="15" customHeight="1" x14ac:dyDescent="0.25">
      <c r="A1262" s="33" t="s">
        <v>71</v>
      </c>
      <c r="B1262" s="34"/>
      <c r="C1262" s="34"/>
      <c r="D1262" s="34"/>
      <c r="E1262" s="34"/>
      <c r="F1262" s="35"/>
      <c r="G1262" s="35"/>
      <c r="H1262" s="34"/>
      <c r="I1262" s="34"/>
      <c r="J1262" s="34"/>
      <c r="K1262" s="34"/>
      <c r="L1262" s="36"/>
      <c r="M1262" s="36"/>
      <c r="N1262" s="36"/>
      <c r="O1262" s="36"/>
      <c r="P1262" s="36"/>
      <c r="Q1262" s="36">
        <f>SUM(Q1256:Q1261)</f>
        <v>1832000</v>
      </c>
      <c r="R1262" s="36"/>
      <c r="S1262" s="92"/>
      <c r="T1262" s="93">
        <f>SUM(T1256:T1261)</f>
        <v>22.040598290598293</v>
      </c>
      <c r="U1262" s="37"/>
      <c r="V1262" s="38"/>
      <c r="W1262" s="38"/>
      <c r="X1262" s="38"/>
      <c r="Y1262" s="34"/>
      <c r="Z1262" s="34"/>
      <c r="AA1262" s="39"/>
      <c r="AB1262" s="29" t="s">
        <v>1126</v>
      </c>
      <c r="AC1262" s="81" t="s">
        <v>1151</v>
      </c>
      <c r="AD1262" s="83">
        <v>4791.67</v>
      </c>
      <c r="AF1262" s="83">
        <v>0</v>
      </c>
      <c r="AG1262" s="83">
        <f>SUM(AD1262,AF1262)</f>
        <v>4791.67</v>
      </c>
    </row>
    <row r="1263" spans="1:33" s="29" customFormat="1" ht="15" customHeight="1" x14ac:dyDescent="0.25">
      <c r="A1263" s="14">
        <v>5</v>
      </c>
      <c r="B1263" s="15">
        <v>46064</v>
      </c>
      <c r="C1263" s="15">
        <f t="shared" ref="C1263" si="1205">B1263+8</f>
        <v>46072</v>
      </c>
      <c r="D1263" s="14">
        <v>14104</v>
      </c>
      <c r="E1263" s="16" t="s">
        <v>111</v>
      </c>
      <c r="F1263" s="17" t="s">
        <v>481</v>
      </c>
      <c r="G1263" s="17" t="s">
        <v>102</v>
      </c>
      <c r="H1263" s="18" t="s">
        <v>57</v>
      </c>
      <c r="I1263" s="19" t="s">
        <v>94</v>
      </c>
      <c r="J1263" s="20">
        <v>45992</v>
      </c>
      <c r="K1263" s="20">
        <v>46034</v>
      </c>
      <c r="L1263" s="21">
        <v>100000</v>
      </c>
      <c r="M1263" s="22">
        <f>SUM(N1263:O1263)</f>
        <v>101000</v>
      </c>
      <c r="N1263" s="23">
        <v>0</v>
      </c>
      <c r="O1263" s="23">
        <v>101000</v>
      </c>
      <c r="P1263" s="24">
        <f>L1263-N1263</f>
        <v>100000</v>
      </c>
      <c r="Q1263" s="25">
        <v>101000</v>
      </c>
      <c r="R1263" s="26">
        <v>42000</v>
      </c>
      <c r="S1263" s="91">
        <f>IF(P1263&gt;0,P1263/$R1263,0)</f>
        <v>2.3809523809523809</v>
      </c>
      <c r="T1263" s="91">
        <f>IF(Q1263&gt;0,Q1263/$R1263,0)</f>
        <v>2.4047619047619047</v>
      </c>
      <c r="U1263" s="27" t="s">
        <v>192</v>
      </c>
      <c r="V1263" s="30" t="s">
        <v>59</v>
      </c>
      <c r="W1263" s="31">
        <v>46059</v>
      </c>
      <c r="X1263" s="113" t="s">
        <v>1142</v>
      </c>
      <c r="Y1263" s="19" t="s">
        <v>52</v>
      </c>
      <c r="Z1263" s="19" t="s">
        <v>52</v>
      </c>
      <c r="AA1263" s="19" t="s">
        <v>52</v>
      </c>
      <c r="AB1263" s="28"/>
    </row>
    <row r="1264" spans="1:33" s="29" customFormat="1" ht="15" customHeight="1" x14ac:dyDescent="0.25">
      <c r="A1264" s="14">
        <v>6</v>
      </c>
      <c r="B1264" s="15">
        <v>46064</v>
      </c>
      <c r="C1264" s="15">
        <f>B1264+8</f>
        <v>46072</v>
      </c>
      <c r="D1264" s="14">
        <v>14284</v>
      </c>
      <c r="E1264" s="16" t="s">
        <v>728</v>
      </c>
      <c r="F1264" s="17" t="s">
        <v>469</v>
      </c>
      <c r="G1264" s="17" t="s">
        <v>47</v>
      </c>
      <c r="H1264" s="18" t="s">
        <v>57</v>
      </c>
      <c r="I1264" s="19" t="s">
        <v>58</v>
      </c>
      <c r="J1264" s="20">
        <v>46029</v>
      </c>
      <c r="K1264" s="20">
        <v>46070</v>
      </c>
      <c r="L1264" s="21">
        <v>2000000</v>
      </c>
      <c r="M1264" s="22">
        <f>SUM(N1264:O1264)</f>
        <v>600000</v>
      </c>
      <c r="N1264" s="23">
        <v>0</v>
      </c>
      <c r="O1264" s="23">
        <v>600000</v>
      </c>
      <c r="P1264" s="24">
        <f>L1264-N1264</f>
        <v>2000000</v>
      </c>
      <c r="Q1264" s="25">
        <v>600000</v>
      </c>
      <c r="R1264" s="26">
        <v>96000</v>
      </c>
      <c r="S1264" s="91">
        <f>IF(P1264&gt;0,P1264/$R1264,0)</f>
        <v>20.833333333333332</v>
      </c>
      <c r="T1264" s="91">
        <f>IF(Q1264&gt;0,Q1264/$R1264,0)</f>
        <v>6.25</v>
      </c>
      <c r="U1264" s="27" t="s">
        <v>192</v>
      </c>
      <c r="V1264" s="30" t="s">
        <v>59</v>
      </c>
      <c r="W1264" s="31">
        <v>46058</v>
      </c>
      <c r="X1264" s="22"/>
      <c r="Y1264" s="19" t="s">
        <v>52</v>
      </c>
      <c r="Z1264" s="19" t="s">
        <v>52</v>
      </c>
      <c r="AA1264" s="19" t="s">
        <v>52</v>
      </c>
      <c r="AB1264" s="42"/>
    </row>
    <row r="1265" spans="1:33" s="29" customFormat="1" ht="15" customHeight="1" x14ac:dyDescent="0.25">
      <c r="A1265" s="14">
        <v>4</v>
      </c>
      <c r="B1265" s="15">
        <v>46064</v>
      </c>
      <c r="C1265" s="15">
        <f t="shared" ref="C1265" si="1206">B1265+8</f>
        <v>46072</v>
      </c>
      <c r="D1265" s="14">
        <v>14298</v>
      </c>
      <c r="E1265" s="16" t="s">
        <v>756</v>
      </c>
      <c r="F1265" s="17" t="s">
        <v>483</v>
      </c>
      <c r="G1265" s="17" t="s">
        <v>47</v>
      </c>
      <c r="H1265" s="18" t="s">
        <v>57</v>
      </c>
      <c r="I1265" s="19" t="s">
        <v>58</v>
      </c>
      <c r="J1265" s="20">
        <v>46030</v>
      </c>
      <c r="K1265" s="20">
        <v>46064</v>
      </c>
      <c r="L1265" s="21">
        <v>2000000</v>
      </c>
      <c r="M1265" s="22">
        <f t="shared" ref="M1265:M1266" si="1207">SUM(N1265:O1265)</f>
        <v>1400000</v>
      </c>
      <c r="N1265" s="23">
        <v>650000</v>
      </c>
      <c r="O1265" s="23">
        <v>750000</v>
      </c>
      <c r="P1265" s="24">
        <f t="shared" ref="P1265:P1266" si="1208">L1265-N1265</f>
        <v>1350000</v>
      </c>
      <c r="Q1265" s="25">
        <v>750000</v>
      </c>
      <c r="R1265" s="26">
        <v>50000</v>
      </c>
      <c r="S1265" s="91">
        <f t="shared" ref="S1265:S1266" si="1209">IF(P1265&gt;0,P1265/$R1265,0)</f>
        <v>27</v>
      </c>
      <c r="T1265" s="91">
        <f t="shared" ref="T1265:T1266" si="1210">IF(Q1265&gt;0,Q1265/$R1265,0)</f>
        <v>15</v>
      </c>
      <c r="U1265" s="27" t="s">
        <v>192</v>
      </c>
      <c r="V1265" s="30" t="s">
        <v>59</v>
      </c>
      <c r="W1265" s="31">
        <v>46058</v>
      </c>
      <c r="X1265" s="22"/>
      <c r="Y1265" s="19" t="s">
        <v>52</v>
      </c>
      <c r="Z1265" s="19" t="s">
        <v>52</v>
      </c>
      <c r="AA1265" s="19" t="s">
        <v>52</v>
      </c>
      <c r="AB1265" s="42"/>
    </row>
    <row r="1266" spans="1:33" s="29" customFormat="1" ht="15" customHeight="1" x14ac:dyDescent="0.25">
      <c r="A1266" s="14">
        <v>12</v>
      </c>
      <c r="B1266" s="15">
        <v>46064</v>
      </c>
      <c r="C1266" s="15">
        <f>B1266+8</f>
        <v>46072</v>
      </c>
      <c r="D1266" s="14">
        <v>14355</v>
      </c>
      <c r="E1266" s="16" t="s">
        <v>232</v>
      </c>
      <c r="F1266" s="40" t="s">
        <v>233</v>
      </c>
      <c r="G1266" s="17" t="s">
        <v>75</v>
      </c>
      <c r="H1266" s="18" t="s">
        <v>542</v>
      </c>
      <c r="I1266" s="19" t="s">
        <v>104</v>
      </c>
      <c r="J1266" s="20">
        <v>46036</v>
      </c>
      <c r="K1266" s="20">
        <v>46071</v>
      </c>
      <c r="L1266" s="21">
        <v>600000</v>
      </c>
      <c r="M1266" s="22">
        <f t="shared" si="1207"/>
        <v>450000</v>
      </c>
      <c r="N1266" s="23">
        <v>0</v>
      </c>
      <c r="O1266" s="23">
        <v>450000</v>
      </c>
      <c r="P1266" s="24">
        <f t="shared" si="1208"/>
        <v>600000</v>
      </c>
      <c r="Q1266" s="25">
        <v>450000</v>
      </c>
      <c r="R1266" s="26">
        <v>150000</v>
      </c>
      <c r="S1266" s="91">
        <f t="shared" si="1209"/>
        <v>4</v>
      </c>
      <c r="T1266" s="91">
        <f t="shared" si="1210"/>
        <v>3</v>
      </c>
      <c r="U1266" s="27" t="s">
        <v>192</v>
      </c>
      <c r="V1266" s="30" t="s">
        <v>59</v>
      </c>
      <c r="W1266" s="31">
        <v>46059</v>
      </c>
      <c r="X1266" s="22"/>
      <c r="Y1266" s="19" t="s">
        <v>52</v>
      </c>
      <c r="Z1266" s="19" t="s">
        <v>52</v>
      </c>
      <c r="AA1266" s="19" t="s">
        <v>52</v>
      </c>
      <c r="AB1266" s="28"/>
    </row>
    <row r="1267" spans="1:33" ht="15" customHeight="1" x14ac:dyDescent="0.25">
      <c r="A1267" s="33" t="s">
        <v>71</v>
      </c>
      <c r="B1267" s="34"/>
      <c r="C1267" s="34"/>
      <c r="D1267" s="34"/>
      <c r="E1267" s="34"/>
      <c r="F1267" s="35"/>
      <c r="G1267" s="35"/>
      <c r="H1267" s="34"/>
      <c r="I1267" s="34"/>
      <c r="J1267" s="34"/>
      <c r="K1267" s="34"/>
      <c r="L1267" s="36"/>
      <c r="M1267" s="36"/>
      <c r="N1267" s="36"/>
      <c r="O1267" s="36"/>
      <c r="P1267" s="36"/>
      <c r="Q1267" s="36">
        <f>SUM(Q1263:Q1266)</f>
        <v>1901000</v>
      </c>
      <c r="R1267" s="36"/>
      <c r="S1267" s="92"/>
      <c r="T1267" s="93">
        <f>SUM(T1263:T1266)</f>
        <v>26.654761904761905</v>
      </c>
      <c r="U1267" s="37"/>
      <c r="V1267" s="38"/>
      <c r="W1267" s="38"/>
      <c r="X1267" s="38"/>
      <c r="Y1267" s="34"/>
      <c r="Z1267" s="34"/>
      <c r="AA1267" s="39"/>
      <c r="AB1267" s="29" t="s">
        <v>1143</v>
      </c>
      <c r="AC1267" s="81" t="s">
        <v>1152</v>
      </c>
      <c r="AD1267" s="83">
        <v>5000</v>
      </c>
      <c r="AF1267" s="83">
        <v>0</v>
      </c>
      <c r="AG1267" s="83">
        <f>SUM(AD1267,AF1267)</f>
        <v>5000</v>
      </c>
    </row>
    <row r="1268" spans="1:33" s="29" customFormat="1" ht="15" customHeight="1" x14ac:dyDescent="0.25">
      <c r="A1268" s="14">
        <v>4</v>
      </c>
      <c r="B1268" s="15">
        <v>46067</v>
      </c>
      <c r="C1268" s="15">
        <f>B1268+8</f>
        <v>46075</v>
      </c>
      <c r="D1268" s="14">
        <v>14298</v>
      </c>
      <c r="E1268" s="16" t="s">
        <v>756</v>
      </c>
      <c r="F1268" s="17" t="s">
        <v>483</v>
      </c>
      <c r="G1268" s="17" t="s">
        <v>47</v>
      </c>
      <c r="H1268" s="18" t="s">
        <v>57</v>
      </c>
      <c r="I1268" s="19" t="s">
        <v>58</v>
      </c>
      <c r="J1268" s="20">
        <v>46030</v>
      </c>
      <c r="K1268" s="20">
        <v>46064</v>
      </c>
      <c r="L1268" s="21">
        <v>2000000</v>
      </c>
      <c r="M1268" s="22">
        <f>SUM(N1268:O1268)</f>
        <v>1750000</v>
      </c>
      <c r="N1268" s="23">
        <v>1400000</v>
      </c>
      <c r="O1268" s="23">
        <v>350000</v>
      </c>
      <c r="P1268" s="24">
        <f>L1268-N1268</f>
        <v>600000</v>
      </c>
      <c r="Q1268" s="25">
        <v>350000</v>
      </c>
      <c r="R1268" s="26">
        <v>50000</v>
      </c>
      <c r="S1268" s="91">
        <f>IF(P1268&gt;0,P1268/$R1268,0)</f>
        <v>12</v>
      </c>
      <c r="T1268" s="91">
        <f>IF(Q1268&gt;0,Q1268/$R1268,0)</f>
        <v>7</v>
      </c>
      <c r="U1268" s="27" t="s">
        <v>192</v>
      </c>
      <c r="V1268" s="19" t="s">
        <v>51</v>
      </c>
      <c r="W1268" s="20">
        <v>46058</v>
      </c>
      <c r="X1268" s="22"/>
      <c r="Y1268" s="19" t="s">
        <v>52</v>
      </c>
      <c r="Z1268" s="19" t="s">
        <v>52</v>
      </c>
      <c r="AA1268" s="19" t="s">
        <v>52</v>
      </c>
      <c r="AB1268" s="42"/>
    </row>
    <row r="1269" spans="1:33" s="29" customFormat="1" ht="15" customHeight="1" x14ac:dyDescent="0.25">
      <c r="A1269" s="14">
        <v>68</v>
      </c>
      <c r="B1269" s="15">
        <v>46067</v>
      </c>
      <c r="C1269" s="15">
        <f>B1269+8</f>
        <v>46075</v>
      </c>
      <c r="D1269" s="14">
        <v>14373</v>
      </c>
      <c r="E1269" s="16" t="s">
        <v>737</v>
      </c>
      <c r="F1269" s="17" t="s">
        <v>478</v>
      </c>
      <c r="G1269" s="17" t="s">
        <v>102</v>
      </c>
      <c r="H1269" s="18" t="s">
        <v>57</v>
      </c>
      <c r="I1269" s="19" t="s">
        <v>58</v>
      </c>
      <c r="J1269" s="20">
        <v>46038</v>
      </c>
      <c r="K1269" s="20">
        <v>46093</v>
      </c>
      <c r="L1269" s="21">
        <v>1500000</v>
      </c>
      <c r="M1269" s="22">
        <f>SUM(N1269:O1269)</f>
        <v>378000</v>
      </c>
      <c r="N1269" s="23">
        <v>0</v>
      </c>
      <c r="O1269" s="23">
        <v>378000</v>
      </c>
      <c r="P1269" s="24">
        <f>L1269-N1269</f>
        <v>1500000</v>
      </c>
      <c r="Q1269" s="25">
        <v>378000</v>
      </c>
      <c r="R1269" s="26">
        <v>42000</v>
      </c>
      <c r="S1269" s="91">
        <f>IF(P1269&gt;0,P1269/$R1269,0)</f>
        <v>35.714285714285715</v>
      </c>
      <c r="T1269" s="91">
        <f>IF(Q1269&gt;0,Q1269/$R1269,0)</f>
        <v>9</v>
      </c>
      <c r="U1269" s="27" t="s">
        <v>192</v>
      </c>
      <c r="V1269" s="30" t="s">
        <v>68</v>
      </c>
      <c r="W1269" s="31" t="s">
        <v>68</v>
      </c>
      <c r="X1269" s="22"/>
      <c r="Y1269" s="19" t="s">
        <v>52</v>
      </c>
      <c r="Z1269" s="19" t="s">
        <v>52</v>
      </c>
      <c r="AA1269" s="19" t="s">
        <v>52</v>
      </c>
      <c r="AB1269" s="28"/>
    </row>
    <row r="1270" spans="1:33" s="29" customFormat="1" ht="15" customHeight="1" x14ac:dyDescent="0.25">
      <c r="A1270" s="14">
        <v>7</v>
      </c>
      <c r="B1270" s="15">
        <v>46067</v>
      </c>
      <c r="C1270" s="15">
        <f t="shared" ref="C1270" si="1211">B1270+8</f>
        <v>46075</v>
      </c>
      <c r="D1270" s="14">
        <v>14351</v>
      </c>
      <c r="E1270" s="16" t="s">
        <v>808</v>
      </c>
      <c r="F1270" s="40" t="s">
        <v>657</v>
      </c>
      <c r="G1270" s="17" t="s">
        <v>75</v>
      </c>
      <c r="H1270" s="18" t="s">
        <v>57</v>
      </c>
      <c r="I1270" s="19" t="s">
        <v>94</v>
      </c>
      <c r="J1270" s="20">
        <v>46042</v>
      </c>
      <c r="K1270" s="20">
        <v>46078</v>
      </c>
      <c r="L1270" s="21">
        <v>1500000</v>
      </c>
      <c r="M1270" s="22">
        <f t="shared" ref="M1270" si="1212">SUM(N1270:O1270)</f>
        <v>200000</v>
      </c>
      <c r="N1270" s="23">
        <v>0</v>
      </c>
      <c r="O1270" s="23">
        <v>200000</v>
      </c>
      <c r="P1270" s="24">
        <f t="shared" ref="P1270:P1273" si="1213">L1270-N1270</f>
        <v>1500000</v>
      </c>
      <c r="Q1270" s="25">
        <v>200000</v>
      </c>
      <c r="R1270" s="26">
        <v>100000</v>
      </c>
      <c r="S1270" s="91">
        <f t="shared" ref="S1270:T1273" si="1214">IF(P1270&gt;0,P1270/$R1270,0)</f>
        <v>15</v>
      </c>
      <c r="T1270" s="91">
        <f t="shared" si="1214"/>
        <v>2</v>
      </c>
      <c r="U1270" s="27" t="s">
        <v>192</v>
      </c>
      <c r="V1270" s="30" t="s">
        <v>59</v>
      </c>
      <c r="W1270" s="31">
        <v>46064</v>
      </c>
      <c r="X1270" s="113" t="s">
        <v>1084</v>
      </c>
      <c r="Y1270" s="19" t="s">
        <v>52</v>
      </c>
      <c r="Z1270" s="19" t="s">
        <v>52</v>
      </c>
      <c r="AA1270" s="19" t="s">
        <v>52</v>
      </c>
      <c r="AB1270" s="28"/>
    </row>
    <row r="1271" spans="1:33" s="29" customFormat="1" ht="15" customHeight="1" x14ac:dyDescent="0.25">
      <c r="A1271" s="14">
        <v>2</v>
      </c>
      <c r="B1271" s="15">
        <v>46067</v>
      </c>
      <c r="C1271" s="15">
        <f>B1271+8</f>
        <v>46075</v>
      </c>
      <c r="D1271" s="14">
        <v>14360</v>
      </c>
      <c r="E1271" s="16" t="s">
        <v>73</v>
      </c>
      <c r="F1271" s="40" t="s">
        <v>74</v>
      </c>
      <c r="G1271" s="17" t="s">
        <v>75</v>
      </c>
      <c r="H1271" s="18" t="s">
        <v>542</v>
      </c>
      <c r="I1271" s="19" t="s">
        <v>1049</v>
      </c>
      <c r="J1271" s="20">
        <v>46042</v>
      </c>
      <c r="K1271" s="20">
        <v>46063</v>
      </c>
      <c r="L1271" s="21">
        <v>475000</v>
      </c>
      <c r="M1271" s="22">
        <f>SUM(N1271:O1271)</f>
        <v>72000</v>
      </c>
      <c r="N1271" s="23">
        <v>0</v>
      </c>
      <c r="O1271" s="23">
        <v>72000</v>
      </c>
      <c r="P1271" s="24">
        <f>L1271-N1271</f>
        <v>475000</v>
      </c>
      <c r="Q1271" s="25">
        <v>72000</v>
      </c>
      <c r="R1271" s="26">
        <v>36000</v>
      </c>
      <c r="S1271" s="91">
        <f>IF(P1271&gt;0,P1271/$R1271,0)</f>
        <v>13.194444444444445</v>
      </c>
      <c r="T1271" s="91">
        <f>IF(Q1271&gt;0,Q1271/$R1271,0)</f>
        <v>2</v>
      </c>
      <c r="U1271" s="27" t="s">
        <v>192</v>
      </c>
      <c r="V1271" s="19" t="s">
        <v>51</v>
      </c>
      <c r="W1271" s="20">
        <v>46058</v>
      </c>
      <c r="X1271" s="113" t="s">
        <v>1144</v>
      </c>
      <c r="Y1271" s="19" t="s">
        <v>52</v>
      </c>
      <c r="Z1271" s="19" t="s">
        <v>52</v>
      </c>
      <c r="AA1271" s="19" t="s">
        <v>52</v>
      </c>
      <c r="AB1271" s="28"/>
    </row>
    <row r="1272" spans="1:33" s="29" customFormat="1" ht="15" customHeight="1" x14ac:dyDescent="0.25">
      <c r="A1272" s="14">
        <v>2</v>
      </c>
      <c r="B1272" s="15">
        <v>46067</v>
      </c>
      <c r="C1272" s="15">
        <f t="shared" ref="C1272:C1273" si="1215">B1272+8</f>
        <v>46075</v>
      </c>
      <c r="D1272" s="14">
        <v>14414</v>
      </c>
      <c r="E1272" s="16" t="s">
        <v>944</v>
      </c>
      <c r="F1272" s="17" t="s">
        <v>710</v>
      </c>
      <c r="G1272" s="17" t="s">
        <v>47</v>
      </c>
      <c r="H1272" s="18" t="s">
        <v>542</v>
      </c>
      <c r="I1272" s="19" t="s">
        <v>49</v>
      </c>
      <c r="J1272" s="20">
        <v>46044</v>
      </c>
      <c r="K1272" s="20">
        <v>46064</v>
      </c>
      <c r="L1272" s="21">
        <v>100000</v>
      </c>
      <c r="M1272" s="22">
        <f t="shared" ref="M1272:M1273" si="1216">SUM(N1272:O1272)</f>
        <v>100000</v>
      </c>
      <c r="N1272" s="23">
        <v>0</v>
      </c>
      <c r="O1272" s="23">
        <v>100000</v>
      </c>
      <c r="P1272" s="24">
        <f t="shared" si="1213"/>
        <v>100000</v>
      </c>
      <c r="Q1272" s="25">
        <v>26000</v>
      </c>
      <c r="R1272" s="26">
        <v>72000</v>
      </c>
      <c r="S1272" s="91">
        <f t="shared" si="1214"/>
        <v>1.3888888888888888</v>
      </c>
      <c r="T1272" s="91">
        <f t="shared" si="1214"/>
        <v>0.3611111111111111</v>
      </c>
      <c r="U1272" s="27" t="s">
        <v>192</v>
      </c>
      <c r="V1272" s="30" t="s">
        <v>59</v>
      </c>
      <c r="W1272" s="31">
        <v>46064</v>
      </c>
      <c r="X1272" s="113" t="s">
        <v>1144</v>
      </c>
      <c r="Y1272" s="19" t="s">
        <v>52</v>
      </c>
      <c r="Z1272" s="19" t="s">
        <v>52</v>
      </c>
      <c r="AA1272" s="19" t="s">
        <v>52</v>
      </c>
      <c r="AB1272" s="42"/>
    </row>
    <row r="1273" spans="1:33" s="29" customFormat="1" ht="15" customHeight="1" x14ac:dyDescent="0.25">
      <c r="A1273" s="14">
        <v>8</v>
      </c>
      <c r="B1273" s="15">
        <v>46067</v>
      </c>
      <c r="C1273" s="15">
        <f t="shared" si="1215"/>
        <v>46075</v>
      </c>
      <c r="D1273" s="14">
        <v>14460</v>
      </c>
      <c r="E1273" s="16" t="s">
        <v>1104</v>
      </c>
      <c r="F1273" s="17" t="s">
        <v>1105</v>
      </c>
      <c r="G1273" s="17" t="s">
        <v>47</v>
      </c>
      <c r="H1273" s="18" t="s">
        <v>542</v>
      </c>
      <c r="I1273" s="19" t="s">
        <v>1049</v>
      </c>
      <c r="J1273" s="20">
        <v>46052</v>
      </c>
      <c r="K1273" s="20">
        <v>46079</v>
      </c>
      <c r="L1273" s="21">
        <v>150000</v>
      </c>
      <c r="M1273" s="22">
        <f t="shared" si="1216"/>
        <v>150000</v>
      </c>
      <c r="N1273" s="23">
        <v>0</v>
      </c>
      <c r="O1273" s="23">
        <v>150000</v>
      </c>
      <c r="P1273" s="24">
        <f t="shared" si="1213"/>
        <v>150000</v>
      </c>
      <c r="Q1273" s="25">
        <v>150000</v>
      </c>
      <c r="R1273" s="26">
        <v>150000</v>
      </c>
      <c r="S1273" s="91">
        <f t="shared" si="1214"/>
        <v>1</v>
      </c>
      <c r="T1273" s="91">
        <f t="shared" si="1214"/>
        <v>1</v>
      </c>
      <c r="U1273" s="27" t="s">
        <v>192</v>
      </c>
      <c r="V1273" s="30" t="s">
        <v>59</v>
      </c>
      <c r="W1273" s="31">
        <v>46064</v>
      </c>
      <c r="X1273" s="113" t="s">
        <v>480</v>
      </c>
      <c r="Y1273" s="19" t="s">
        <v>52</v>
      </c>
      <c r="Z1273" s="19" t="s">
        <v>52</v>
      </c>
      <c r="AA1273" s="19" t="s">
        <v>52</v>
      </c>
      <c r="AB1273" s="42"/>
    </row>
    <row r="1274" spans="1:33" ht="15" customHeight="1" x14ac:dyDescent="0.25">
      <c r="A1274" s="33" t="s">
        <v>71</v>
      </c>
      <c r="B1274" s="34"/>
      <c r="C1274" s="34"/>
      <c r="D1274" s="34"/>
      <c r="E1274" s="34"/>
      <c r="F1274" s="35"/>
      <c r="G1274" s="35"/>
      <c r="H1274" s="34"/>
      <c r="I1274" s="34"/>
      <c r="J1274" s="34"/>
      <c r="K1274" s="34"/>
      <c r="L1274" s="36"/>
      <c r="M1274" s="36"/>
      <c r="N1274" s="36"/>
      <c r="O1274" s="36"/>
      <c r="P1274" s="36"/>
      <c r="Q1274" s="36">
        <f>SUM(Q1268:Q1273)</f>
        <v>1176000</v>
      </c>
      <c r="R1274" s="36"/>
      <c r="S1274" s="92"/>
      <c r="T1274" s="93">
        <f>SUM(T1268:T1273)</f>
        <v>21.361111111111111</v>
      </c>
      <c r="U1274" s="37"/>
      <c r="V1274" s="38"/>
      <c r="W1274" s="38"/>
      <c r="X1274" s="38"/>
      <c r="Y1274" s="34"/>
      <c r="Z1274" s="34"/>
      <c r="AA1274" s="39"/>
      <c r="AB1274" s="29" t="s">
        <v>1157</v>
      </c>
      <c r="AC1274" s="81" t="s">
        <v>1160</v>
      </c>
      <c r="AD1274" s="83">
        <v>1583.33</v>
      </c>
      <c r="AF1274" s="83">
        <v>0</v>
      </c>
      <c r="AG1274" s="83">
        <f>SUM(AD1274,AF1274)</f>
        <v>1583.33</v>
      </c>
    </row>
    <row r="1275" spans="1:33" s="29" customFormat="1" ht="15" customHeight="1" x14ac:dyDescent="0.25">
      <c r="A1275" s="14">
        <v>14</v>
      </c>
      <c r="B1275" s="15">
        <v>46069</v>
      </c>
      <c r="C1275" s="15">
        <f>B1275+8</f>
        <v>46077</v>
      </c>
      <c r="D1275" s="14">
        <v>14372</v>
      </c>
      <c r="E1275" s="16" t="s">
        <v>761</v>
      </c>
      <c r="F1275" s="17" t="s">
        <v>1072</v>
      </c>
      <c r="G1275" s="17" t="s">
        <v>47</v>
      </c>
      <c r="H1275" s="18" t="s">
        <v>57</v>
      </c>
      <c r="I1275" s="19" t="s">
        <v>58</v>
      </c>
      <c r="J1275" s="20">
        <v>46038</v>
      </c>
      <c r="K1275" s="20">
        <v>46093</v>
      </c>
      <c r="L1275" s="21">
        <v>500000</v>
      </c>
      <c r="M1275" s="22">
        <f>SUM(N1275:O1275)</f>
        <v>150000</v>
      </c>
      <c r="N1275" s="23">
        <v>0</v>
      </c>
      <c r="O1275" s="23">
        <v>150000</v>
      </c>
      <c r="P1275" s="24">
        <f>L1275-N1275</f>
        <v>500000</v>
      </c>
      <c r="Q1275" s="25">
        <v>150000</v>
      </c>
      <c r="R1275" s="26">
        <v>50000</v>
      </c>
      <c r="S1275" s="91">
        <f t="shared" ref="S1275:T1277" si="1217">IF(P1275&gt;0,P1275/$R1275,0)</f>
        <v>10</v>
      </c>
      <c r="T1275" s="91">
        <f t="shared" si="1217"/>
        <v>3</v>
      </c>
      <c r="U1275" s="27" t="s">
        <v>192</v>
      </c>
      <c r="V1275" s="30" t="s">
        <v>59</v>
      </c>
      <c r="W1275" s="31">
        <v>46064</v>
      </c>
      <c r="X1275" s="22"/>
      <c r="Y1275" s="19" t="s">
        <v>52</v>
      </c>
      <c r="Z1275" s="19" t="s">
        <v>52</v>
      </c>
      <c r="AA1275" s="19" t="s">
        <v>52</v>
      </c>
      <c r="AB1275" s="42"/>
    </row>
    <row r="1276" spans="1:33" s="29" customFormat="1" ht="15" customHeight="1" x14ac:dyDescent="0.25">
      <c r="A1276" s="14">
        <v>2</v>
      </c>
      <c r="B1276" s="15">
        <v>46069</v>
      </c>
      <c r="C1276" s="15">
        <f t="shared" ref="C1276" si="1218">B1276+8</f>
        <v>46077</v>
      </c>
      <c r="D1276" s="14">
        <v>14414</v>
      </c>
      <c r="E1276" s="16" t="s">
        <v>944</v>
      </c>
      <c r="F1276" s="17" t="s">
        <v>710</v>
      </c>
      <c r="G1276" s="17" t="s">
        <v>47</v>
      </c>
      <c r="H1276" s="18" t="s">
        <v>542</v>
      </c>
      <c r="I1276" s="19" t="s">
        <v>49</v>
      </c>
      <c r="J1276" s="20">
        <v>46044</v>
      </c>
      <c r="K1276" s="20">
        <v>46064</v>
      </c>
      <c r="L1276" s="21">
        <v>100000</v>
      </c>
      <c r="M1276" s="22">
        <f>SUM(N1276:O1276)</f>
        <v>24000</v>
      </c>
      <c r="N1276" s="23">
        <v>0</v>
      </c>
      <c r="O1276" s="23">
        <v>24000</v>
      </c>
      <c r="P1276" s="24">
        <f>L1276-N1276</f>
        <v>100000</v>
      </c>
      <c r="Q1276" s="25">
        <v>24000</v>
      </c>
      <c r="R1276" s="26">
        <v>72000</v>
      </c>
      <c r="S1276" s="91">
        <f t="shared" si="1217"/>
        <v>1.3888888888888888</v>
      </c>
      <c r="T1276" s="91">
        <f t="shared" si="1217"/>
        <v>0.33333333333333331</v>
      </c>
      <c r="U1276" s="27" t="s">
        <v>192</v>
      </c>
      <c r="V1276" s="30" t="s">
        <v>59</v>
      </c>
      <c r="W1276" s="31">
        <v>46064</v>
      </c>
      <c r="X1276" s="113" t="s">
        <v>1084</v>
      </c>
      <c r="Y1276" s="19" t="s">
        <v>52</v>
      </c>
      <c r="Z1276" s="19" t="s">
        <v>52</v>
      </c>
      <c r="AA1276" s="19" t="s">
        <v>52</v>
      </c>
      <c r="AB1276" s="42"/>
    </row>
    <row r="1277" spans="1:33" s="29" customFormat="1" ht="15" customHeight="1" x14ac:dyDescent="0.25">
      <c r="A1277" s="14">
        <v>16</v>
      </c>
      <c r="B1277" s="15">
        <v>46069</v>
      </c>
      <c r="C1277" s="15">
        <f>B1277+8</f>
        <v>46077</v>
      </c>
      <c r="D1277" s="14">
        <v>14439</v>
      </c>
      <c r="E1277" s="16" t="s">
        <v>287</v>
      </c>
      <c r="F1277" s="17" t="s">
        <v>288</v>
      </c>
      <c r="G1277" s="17" t="s">
        <v>102</v>
      </c>
      <c r="H1277" s="18" t="s">
        <v>784</v>
      </c>
      <c r="I1277" s="19" t="s">
        <v>63</v>
      </c>
      <c r="J1277" s="20">
        <v>46049</v>
      </c>
      <c r="K1277" s="20">
        <v>46072</v>
      </c>
      <c r="L1277" s="21">
        <v>500000</v>
      </c>
      <c r="M1277" s="22">
        <f>SUM(N1277:O1277)</f>
        <v>252000</v>
      </c>
      <c r="N1277" s="23">
        <v>0</v>
      </c>
      <c r="O1277" s="23">
        <v>252000</v>
      </c>
      <c r="P1277" s="24">
        <f>L1277-N1277</f>
        <v>500000</v>
      </c>
      <c r="Q1277" s="25">
        <v>252000</v>
      </c>
      <c r="R1277" s="26">
        <v>84000</v>
      </c>
      <c r="S1277" s="91">
        <f t="shared" si="1217"/>
        <v>5.9523809523809526</v>
      </c>
      <c r="T1277" s="91">
        <f t="shared" si="1217"/>
        <v>3</v>
      </c>
      <c r="U1277" s="27" t="s">
        <v>192</v>
      </c>
      <c r="V1277" s="30" t="s">
        <v>68</v>
      </c>
      <c r="W1277" s="31" t="s">
        <v>68</v>
      </c>
      <c r="X1277" s="113" t="s">
        <v>1145</v>
      </c>
      <c r="Y1277" s="19" t="s">
        <v>52</v>
      </c>
      <c r="Z1277" s="19" t="s">
        <v>52</v>
      </c>
      <c r="AA1277" s="19" t="s">
        <v>52</v>
      </c>
      <c r="AB1277" s="28"/>
    </row>
    <row r="1278" spans="1:33" s="29" customFormat="1" ht="15" customHeight="1" x14ac:dyDescent="0.25">
      <c r="A1278" s="14">
        <v>5</v>
      </c>
      <c r="B1278" s="15">
        <v>46069</v>
      </c>
      <c r="C1278" s="15">
        <f t="shared" ref="C1278" si="1219">B1278+8</f>
        <v>46077</v>
      </c>
      <c r="D1278" s="14">
        <v>14234</v>
      </c>
      <c r="E1278" s="16" t="s">
        <v>314</v>
      </c>
      <c r="F1278" s="17" t="s">
        <v>315</v>
      </c>
      <c r="G1278" s="17" t="s">
        <v>47</v>
      </c>
      <c r="H1278" s="18" t="s">
        <v>1050</v>
      </c>
      <c r="I1278" s="19" t="s">
        <v>198</v>
      </c>
      <c r="J1278" s="20">
        <v>46014</v>
      </c>
      <c r="K1278" s="20">
        <v>46065</v>
      </c>
      <c r="L1278" s="21">
        <v>1250000</v>
      </c>
      <c r="M1278" s="22">
        <f t="shared" ref="M1278:M1281" si="1220">SUM(N1278:O1278)</f>
        <v>72000</v>
      </c>
      <c r="N1278" s="23">
        <v>0</v>
      </c>
      <c r="O1278" s="23">
        <v>72000</v>
      </c>
      <c r="P1278" s="24">
        <f t="shared" ref="P1278" si="1221">L1278-N1278</f>
        <v>1250000</v>
      </c>
      <c r="Q1278" s="25">
        <v>72000</v>
      </c>
      <c r="R1278" s="26">
        <v>32000</v>
      </c>
      <c r="S1278" s="91">
        <f t="shared" ref="S1278:T1278" si="1222">IF(P1278&gt;0,P1278/$R1278,0)</f>
        <v>39.0625</v>
      </c>
      <c r="T1278" s="91">
        <f t="shared" si="1222"/>
        <v>2.25</v>
      </c>
      <c r="U1278" s="27" t="s">
        <v>56</v>
      </c>
      <c r="V1278" s="19" t="s">
        <v>51</v>
      </c>
      <c r="W1278" s="20">
        <v>46058</v>
      </c>
      <c r="X1278" s="22"/>
      <c r="Y1278" s="19" t="s">
        <v>52</v>
      </c>
      <c r="Z1278" s="19" t="s">
        <v>52</v>
      </c>
      <c r="AA1278" s="19" t="s">
        <v>52</v>
      </c>
      <c r="AB1278" s="42"/>
    </row>
    <row r="1279" spans="1:33" s="29" customFormat="1" ht="15" customHeight="1" x14ac:dyDescent="0.25">
      <c r="A1279" s="14">
        <v>54</v>
      </c>
      <c r="B1279" s="15">
        <v>46069</v>
      </c>
      <c r="C1279" s="15">
        <f>B1279+8</f>
        <v>46077</v>
      </c>
      <c r="D1279" s="14">
        <v>14313</v>
      </c>
      <c r="E1279" s="16" t="s">
        <v>1062</v>
      </c>
      <c r="F1279" s="17" t="s">
        <v>1063</v>
      </c>
      <c r="G1279" s="17" t="s">
        <v>102</v>
      </c>
      <c r="H1279" s="18" t="s">
        <v>542</v>
      </c>
      <c r="I1279" s="19" t="s">
        <v>104</v>
      </c>
      <c r="J1279" s="20">
        <v>46031</v>
      </c>
      <c r="K1279" s="20">
        <v>46070</v>
      </c>
      <c r="L1279" s="21">
        <v>100000</v>
      </c>
      <c r="M1279" s="22">
        <f>SUM(N1279:O1279)</f>
        <v>116000</v>
      </c>
      <c r="N1279" s="23">
        <v>0</v>
      </c>
      <c r="O1279" s="23">
        <v>116000</v>
      </c>
      <c r="P1279" s="24">
        <f t="shared" ref="P1279" si="1223">L1279-N1279</f>
        <v>100000</v>
      </c>
      <c r="Q1279" s="25">
        <v>110500</v>
      </c>
      <c r="R1279" s="26">
        <v>18000</v>
      </c>
      <c r="S1279" s="91">
        <f t="shared" ref="S1279:T1281" si="1224">IF(P1279&gt;0,P1279/$R1279,0)</f>
        <v>5.5555555555555554</v>
      </c>
      <c r="T1279" s="91">
        <f t="shared" si="1224"/>
        <v>6.1388888888888893</v>
      </c>
      <c r="U1279" s="27" t="s">
        <v>193</v>
      </c>
      <c r="V1279" s="30" t="s">
        <v>59</v>
      </c>
      <c r="W1279" s="31">
        <v>46064</v>
      </c>
      <c r="X1279" s="22"/>
      <c r="Y1279" s="19" t="s">
        <v>52</v>
      </c>
      <c r="Z1279" s="19" t="s">
        <v>52</v>
      </c>
      <c r="AA1279" s="19" t="s">
        <v>52</v>
      </c>
      <c r="AB1279" s="28"/>
    </row>
    <row r="1280" spans="1:33" s="29" customFormat="1" ht="15" customHeight="1" x14ac:dyDescent="0.25">
      <c r="A1280" s="14">
        <v>1</v>
      </c>
      <c r="B1280" s="15">
        <v>46069</v>
      </c>
      <c r="C1280" s="15">
        <f t="shared" ref="C1280" si="1225">B1280+8</f>
        <v>46077</v>
      </c>
      <c r="D1280" s="14">
        <v>14301</v>
      </c>
      <c r="E1280" s="16" t="s">
        <v>1070</v>
      </c>
      <c r="F1280" s="17" t="s">
        <v>1071</v>
      </c>
      <c r="G1280" s="17" t="s">
        <v>47</v>
      </c>
      <c r="H1280" s="18" t="s">
        <v>542</v>
      </c>
      <c r="I1280" s="19" t="s">
        <v>104</v>
      </c>
      <c r="J1280" s="20">
        <v>46037</v>
      </c>
      <c r="K1280" s="20">
        <v>46062</v>
      </c>
      <c r="L1280" s="21">
        <v>100000</v>
      </c>
      <c r="M1280" s="22">
        <f>SUM(N1280:O1280)</f>
        <v>105000</v>
      </c>
      <c r="N1280" s="23">
        <v>0</v>
      </c>
      <c r="O1280" s="23">
        <v>105000</v>
      </c>
      <c r="P1280" s="24">
        <f t="shared" ref="P1280" si="1226">L1280-N1280</f>
        <v>100000</v>
      </c>
      <c r="Q1280" s="25">
        <v>105000</v>
      </c>
      <c r="R1280" s="26">
        <v>50000</v>
      </c>
      <c r="S1280" s="91">
        <f t="shared" si="1224"/>
        <v>2</v>
      </c>
      <c r="T1280" s="91">
        <f t="shared" si="1224"/>
        <v>2.1</v>
      </c>
      <c r="U1280" s="27" t="s">
        <v>193</v>
      </c>
      <c r="V1280" s="19" t="s">
        <v>51</v>
      </c>
      <c r="W1280" s="20">
        <v>46058</v>
      </c>
      <c r="X1280" s="113" t="s">
        <v>1084</v>
      </c>
      <c r="Y1280" s="19" t="s">
        <v>52</v>
      </c>
      <c r="Z1280" s="19" t="s">
        <v>52</v>
      </c>
      <c r="AA1280" s="19" t="s">
        <v>52</v>
      </c>
      <c r="AB1280" s="42"/>
    </row>
    <row r="1281" spans="1:33" s="29" customFormat="1" ht="15" customHeight="1" x14ac:dyDescent="0.25">
      <c r="A1281" s="14">
        <v>7</v>
      </c>
      <c r="B1281" s="15">
        <v>46069</v>
      </c>
      <c r="C1281" s="15">
        <f>B1281+8</f>
        <v>46077</v>
      </c>
      <c r="D1281" s="14">
        <v>14351</v>
      </c>
      <c r="E1281" s="16" t="s">
        <v>808</v>
      </c>
      <c r="F1281" s="40" t="s">
        <v>657</v>
      </c>
      <c r="G1281" s="17" t="s">
        <v>75</v>
      </c>
      <c r="H1281" s="18" t="s">
        <v>57</v>
      </c>
      <c r="I1281" s="19" t="s">
        <v>94</v>
      </c>
      <c r="J1281" s="20">
        <v>46042</v>
      </c>
      <c r="K1281" s="20">
        <v>46078</v>
      </c>
      <c r="L1281" s="21">
        <v>1500000</v>
      </c>
      <c r="M1281" s="22">
        <f t="shared" si="1220"/>
        <v>500000</v>
      </c>
      <c r="N1281" s="23">
        <v>0</v>
      </c>
      <c r="O1281" s="23">
        <v>500000</v>
      </c>
      <c r="P1281" s="24">
        <f>L1281-N1281</f>
        <v>1500000</v>
      </c>
      <c r="Q1281" s="25">
        <v>500000</v>
      </c>
      <c r="R1281" s="26">
        <v>100000</v>
      </c>
      <c r="S1281" s="91">
        <f t="shared" si="1224"/>
        <v>15</v>
      </c>
      <c r="T1281" s="91">
        <f t="shared" si="1224"/>
        <v>5</v>
      </c>
      <c r="U1281" s="27" t="s">
        <v>193</v>
      </c>
      <c r="V1281" s="30" t="s">
        <v>59</v>
      </c>
      <c r="W1281" s="31">
        <v>46064</v>
      </c>
      <c r="X1281" s="113" t="s">
        <v>1084</v>
      </c>
      <c r="Y1281" s="19" t="s">
        <v>52</v>
      </c>
      <c r="Z1281" s="19" t="s">
        <v>52</v>
      </c>
      <c r="AA1281" s="19" t="s">
        <v>52</v>
      </c>
      <c r="AB1281" s="28"/>
    </row>
    <row r="1282" spans="1:33" ht="15" customHeight="1" x14ac:dyDescent="0.25">
      <c r="A1282" s="33" t="s">
        <v>71</v>
      </c>
      <c r="B1282" s="34"/>
      <c r="C1282" s="34"/>
      <c r="D1282" s="34"/>
      <c r="E1282" s="34"/>
      <c r="F1282" s="35"/>
      <c r="G1282" s="35"/>
      <c r="H1282" s="34"/>
      <c r="I1282" s="34"/>
      <c r="J1282" s="34"/>
      <c r="K1282" s="34"/>
      <c r="L1282" s="36"/>
      <c r="M1282" s="36"/>
      <c r="N1282" s="36"/>
      <c r="O1282" s="36"/>
      <c r="P1282" s="36"/>
      <c r="Q1282" s="36">
        <f>SUM(Q1275:Q1281)</f>
        <v>1213500</v>
      </c>
      <c r="R1282" s="36"/>
      <c r="S1282" s="92"/>
      <c r="T1282" s="93">
        <f>SUM(T1275:T1281)</f>
        <v>21.822222222222223</v>
      </c>
      <c r="U1282" s="37"/>
      <c r="V1282" s="38"/>
      <c r="W1282" s="38"/>
      <c r="X1282" s="38"/>
      <c r="Y1282" s="34"/>
      <c r="Z1282" s="34"/>
      <c r="AA1282" s="39"/>
      <c r="AB1282" s="29" t="s">
        <v>1158</v>
      </c>
      <c r="AC1282" s="81" t="s">
        <v>1171</v>
      </c>
      <c r="AD1282" s="83">
        <v>5000</v>
      </c>
      <c r="AF1282" s="83">
        <v>0</v>
      </c>
      <c r="AG1282" s="83">
        <f>SUM(AD1282,AF1282)</f>
        <v>5000</v>
      </c>
    </row>
    <row r="1283" spans="1:33" s="29" customFormat="1" ht="15" customHeight="1" x14ac:dyDescent="0.25">
      <c r="A1283" s="14">
        <v>12</v>
      </c>
      <c r="B1283" s="15">
        <v>46071</v>
      </c>
      <c r="C1283" s="15">
        <f t="shared" ref="C1283" si="1227">B1283+8</f>
        <v>46079</v>
      </c>
      <c r="D1283" s="14">
        <v>14384</v>
      </c>
      <c r="E1283" s="16" t="s">
        <v>297</v>
      </c>
      <c r="F1283" s="17" t="s">
        <v>298</v>
      </c>
      <c r="G1283" s="17" t="s">
        <v>102</v>
      </c>
      <c r="H1283" s="18" t="s">
        <v>57</v>
      </c>
      <c r="I1283" s="19" t="s">
        <v>94</v>
      </c>
      <c r="J1283" s="20">
        <v>46041</v>
      </c>
      <c r="K1283" s="20">
        <v>46059</v>
      </c>
      <c r="L1283" s="21">
        <v>400000</v>
      </c>
      <c r="M1283" s="22">
        <f t="shared" ref="M1283:M1284" si="1228">SUM(N1283:O1283)</f>
        <v>50000</v>
      </c>
      <c r="N1283" s="23">
        <v>30000</v>
      </c>
      <c r="O1283" s="23">
        <v>20000</v>
      </c>
      <c r="P1283" s="24">
        <f t="shared" ref="P1283" si="1229">L1283-N1283</f>
        <v>370000</v>
      </c>
      <c r="Q1283" s="25">
        <v>20000</v>
      </c>
      <c r="R1283" s="26">
        <v>30000</v>
      </c>
      <c r="S1283" s="91">
        <f t="shared" ref="S1283:T1283" si="1230">IF(P1283&gt;0,P1283/$R1283,0)</f>
        <v>12.333333333333334</v>
      </c>
      <c r="T1283" s="91">
        <f t="shared" si="1230"/>
        <v>0.66666666666666663</v>
      </c>
      <c r="U1283" s="27" t="s">
        <v>192</v>
      </c>
      <c r="V1283" s="19" t="s">
        <v>51</v>
      </c>
      <c r="W1283" s="20">
        <v>46071</v>
      </c>
      <c r="X1283" s="113" t="s">
        <v>1168</v>
      </c>
      <c r="Y1283" s="19" t="s">
        <v>52</v>
      </c>
      <c r="Z1283" s="19" t="s">
        <v>52</v>
      </c>
      <c r="AA1283" s="19" t="s">
        <v>52</v>
      </c>
      <c r="AB1283" s="28"/>
    </row>
    <row r="1284" spans="1:33" s="29" customFormat="1" ht="15" customHeight="1" x14ac:dyDescent="0.25">
      <c r="A1284" s="14">
        <v>8</v>
      </c>
      <c r="B1284" s="15">
        <v>46071</v>
      </c>
      <c r="C1284" s="15">
        <f t="shared" ref="C1284" si="1231">B1284+8</f>
        <v>46079</v>
      </c>
      <c r="D1284" s="14">
        <v>14374</v>
      </c>
      <c r="E1284" s="16" t="s">
        <v>757</v>
      </c>
      <c r="F1284" s="17" t="s">
        <v>672</v>
      </c>
      <c r="G1284" s="17" t="s">
        <v>47</v>
      </c>
      <c r="H1284" s="18" t="s">
        <v>57</v>
      </c>
      <c r="I1284" s="19" t="s">
        <v>58</v>
      </c>
      <c r="J1284" s="20">
        <v>46042</v>
      </c>
      <c r="K1284" s="20">
        <v>46079</v>
      </c>
      <c r="L1284" s="21">
        <v>700000</v>
      </c>
      <c r="M1284" s="22">
        <f t="shared" si="1228"/>
        <v>462000</v>
      </c>
      <c r="N1284" s="23">
        <v>0</v>
      </c>
      <c r="O1284" s="23">
        <v>462000</v>
      </c>
      <c r="P1284" s="24">
        <f t="shared" ref="P1284" si="1232">L1284-N1284</f>
        <v>700000</v>
      </c>
      <c r="Q1284" s="25">
        <v>462000</v>
      </c>
      <c r="R1284" s="26">
        <v>42000</v>
      </c>
      <c r="S1284" s="91">
        <f t="shared" ref="S1284:T1284" si="1233">IF(P1284&gt;0,P1284/$R1284,0)</f>
        <v>16.666666666666668</v>
      </c>
      <c r="T1284" s="91">
        <f t="shared" si="1233"/>
        <v>11</v>
      </c>
      <c r="U1284" s="27" t="s">
        <v>192</v>
      </c>
      <c r="V1284" s="30" t="s">
        <v>59</v>
      </c>
      <c r="W1284" s="31">
        <v>46064</v>
      </c>
      <c r="X1284" s="22"/>
      <c r="Y1284" s="19" t="s">
        <v>52</v>
      </c>
      <c r="Z1284" s="19" t="s">
        <v>52</v>
      </c>
      <c r="AA1284" s="19" t="s">
        <v>52</v>
      </c>
      <c r="AB1284" s="42"/>
    </row>
    <row r="1285" spans="1:33" s="29" customFormat="1" ht="15" customHeight="1" x14ac:dyDescent="0.25">
      <c r="A1285" s="14">
        <v>4</v>
      </c>
      <c r="B1285" s="15">
        <v>46071</v>
      </c>
      <c r="C1285" s="15">
        <f>B1285+8</f>
        <v>46079</v>
      </c>
      <c r="D1285" s="14">
        <v>14460</v>
      </c>
      <c r="E1285" s="16" t="s">
        <v>1104</v>
      </c>
      <c r="F1285" s="17" t="s">
        <v>1105</v>
      </c>
      <c r="G1285" s="17" t="s">
        <v>47</v>
      </c>
      <c r="H1285" s="18" t="s">
        <v>542</v>
      </c>
      <c r="I1285" s="19" t="s">
        <v>1049</v>
      </c>
      <c r="J1285" s="20">
        <v>46052</v>
      </c>
      <c r="K1285" s="20">
        <v>46079</v>
      </c>
      <c r="L1285" s="21">
        <v>150000</v>
      </c>
      <c r="M1285" s="22">
        <f>SUM(N1285:O1285)</f>
        <v>36000</v>
      </c>
      <c r="N1285" s="23">
        <v>0</v>
      </c>
      <c r="O1285" s="23">
        <v>36000</v>
      </c>
      <c r="P1285" s="24">
        <f>L1285-N1285</f>
        <v>150000</v>
      </c>
      <c r="Q1285" s="25">
        <v>36000</v>
      </c>
      <c r="R1285" s="26">
        <v>150000</v>
      </c>
      <c r="S1285" s="91">
        <f t="shared" ref="S1285:T1287" si="1234">IF(P1285&gt;0,P1285/$R1285,0)</f>
        <v>1</v>
      </c>
      <c r="T1285" s="91">
        <f t="shared" si="1234"/>
        <v>0.24</v>
      </c>
      <c r="U1285" s="27" t="s">
        <v>192</v>
      </c>
      <c r="V1285" s="30" t="s">
        <v>59</v>
      </c>
      <c r="W1285" s="31">
        <v>46064</v>
      </c>
      <c r="X1285" s="113" t="s">
        <v>480</v>
      </c>
      <c r="Y1285" s="19" t="s">
        <v>52</v>
      </c>
      <c r="Z1285" s="19" t="s">
        <v>52</v>
      </c>
      <c r="AA1285" s="19" t="s">
        <v>52</v>
      </c>
      <c r="AB1285" s="42"/>
    </row>
    <row r="1286" spans="1:33" s="29" customFormat="1" ht="15" customHeight="1" x14ac:dyDescent="0.25">
      <c r="A1286" s="14">
        <v>4</v>
      </c>
      <c r="B1286" s="15">
        <v>46071</v>
      </c>
      <c r="C1286" s="15">
        <f>B1286+8</f>
        <v>46079</v>
      </c>
      <c r="D1286" s="14">
        <v>13991</v>
      </c>
      <c r="E1286" s="16" t="s">
        <v>145</v>
      </c>
      <c r="F1286" s="17" t="s">
        <v>146</v>
      </c>
      <c r="G1286" s="17" t="s">
        <v>132</v>
      </c>
      <c r="H1286" s="18" t="s">
        <v>775</v>
      </c>
      <c r="I1286" s="19" t="s">
        <v>135</v>
      </c>
      <c r="J1286" s="20">
        <v>45975</v>
      </c>
      <c r="K1286" s="20">
        <v>46007</v>
      </c>
      <c r="L1286" s="21">
        <v>60000</v>
      </c>
      <c r="M1286" s="22">
        <f>SUM(N1286:O1286)</f>
        <v>34000</v>
      </c>
      <c r="N1286" s="23">
        <v>0</v>
      </c>
      <c r="O1286" s="23">
        <v>34000</v>
      </c>
      <c r="P1286" s="24">
        <f>L1286-N1286</f>
        <v>60000</v>
      </c>
      <c r="Q1286" s="25">
        <v>33880</v>
      </c>
      <c r="R1286" s="26">
        <v>50868</v>
      </c>
      <c r="S1286" s="91">
        <f t="shared" si="1234"/>
        <v>1.1795234725171031</v>
      </c>
      <c r="T1286" s="91">
        <f t="shared" si="1234"/>
        <v>0.66603758748132424</v>
      </c>
      <c r="U1286" s="27" t="s">
        <v>56</v>
      </c>
      <c r="V1286" s="30" t="s">
        <v>59</v>
      </c>
      <c r="W1286" s="31">
        <v>46065</v>
      </c>
      <c r="X1286" s="22"/>
      <c r="Y1286" s="19" t="s">
        <v>52</v>
      </c>
      <c r="Z1286" s="19" t="s">
        <v>52</v>
      </c>
      <c r="AA1286" s="19" t="s">
        <v>52</v>
      </c>
      <c r="AB1286" s="28"/>
    </row>
    <row r="1287" spans="1:33" s="29" customFormat="1" ht="15" customHeight="1" x14ac:dyDescent="0.25">
      <c r="A1287" s="14">
        <v>3</v>
      </c>
      <c r="B1287" s="15">
        <v>46071</v>
      </c>
      <c r="C1287" s="15">
        <f>B1287+8</f>
        <v>46079</v>
      </c>
      <c r="D1287" s="14">
        <v>12955</v>
      </c>
      <c r="E1287" s="16" t="s">
        <v>630</v>
      </c>
      <c r="F1287" s="17" t="s">
        <v>631</v>
      </c>
      <c r="G1287" s="17" t="s">
        <v>132</v>
      </c>
      <c r="H1287" s="18" t="s">
        <v>78</v>
      </c>
      <c r="I1287" s="19" t="s">
        <v>79</v>
      </c>
      <c r="J1287" s="20">
        <v>45785</v>
      </c>
      <c r="K1287" s="20">
        <v>45827</v>
      </c>
      <c r="L1287" s="21">
        <v>126000</v>
      </c>
      <c r="M1287" s="22">
        <f>SUM(N1287:O1287)</f>
        <v>137000</v>
      </c>
      <c r="N1287" s="23">
        <v>42000</v>
      </c>
      <c r="O1287" s="23">
        <v>95000</v>
      </c>
      <c r="P1287" s="24">
        <f>L1287-N1287</f>
        <v>84000</v>
      </c>
      <c r="Q1287" s="25">
        <v>94960</v>
      </c>
      <c r="R1287" s="26">
        <v>126000</v>
      </c>
      <c r="S1287" s="91">
        <f t="shared" si="1234"/>
        <v>0.66666666666666663</v>
      </c>
      <c r="T1287" s="91">
        <f t="shared" si="1234"/>
        <v>0.75365079365079368</v>
      </c>
      <c r="U1287" s="27" t="s">
        <v>56</v>
      </c>
      <c r="V1287" s="19" t="s">
        <v>51</v>
      </c>
      <c r="W1287" s="20">
        <v>45839</v>
      </c>
      <c r="X1287" s="22" t="s">
        <v>673</v>
      </c>
      <c r="Y1287" s="19" t="s">
        <v>52</v>
      </c>
      <c r="Z1287" s="19" t="s">
        <v>52</v>
      </c>
      <c r="AA1287" s="19" t="s">
        <v>52</v>
      </c>
      <c r="AB1287" s="28"/>
    </row>
    <row r="1288" spans="1:33" s="29" customFormat="1" ht="15" customHeight="1" x14ac:dyDescent="0.25">
      <c r="A1288" s="14">
        <v>8</v>
      </c>
      <c r="B1288" s="15">
        <v>46071</v>
      </c>
      <c r="C1288" s="15">
        <f t="shared" ref="C1288" si="1235">B1288+8</f>
        <v>46079</v>
      </c>
      <c r="D1288" s="14">
        <v>13944</v>
      </c>
      <c r="E1288" s="16" t="s">
        <v>951</v>
      </c>
      <c r="F1288" s="40" t="s">
        <v>84</v>
      </c>
      <c r="G1288" s="17" t="s">
        <v>75</v>
      </c>
      <c r="H1288" s="18" t="s">
        <v>54</v>
      </c>
      <c r="I1288" s="19" t="s">
        <v>85</v>
      </c>
      <c r="J1288" s="20">
        <v>45973</v>
      </c>
      <c r="K1288" s="20">
        <v>46004</v>
      </c>
      <c r="L1288" s="21">
        <v>500000</v>
      </c>
      <c r="M1288" s="22">
        <f t="shared" ref="M1288" si="1236">SUM(N1288:O1288)</f>
        <v>507000</v>
      </c>
      <c r="N1288" s="23">
        <v>400000</v>
      </c>
      <c r="O1288" s="23">
        <v>107000</v>
      </c>
      <c r="P1288" s="24">
        <f t="shared" ref="P1288" si="1237">L1288-N1288</f>
        <v>100000</v>
      </c>
      <c r="Q1288" s="25">
        <v>107000</v>
      </c>
      <c r="R1288" s="26">
        <v>80000</v>
      </c>
      <c r="S1288" s="91">
        <f t="shared" ref="S1288:T1288" si="1238">IF(P1288&gt;0,P1288/$R1288,0)</f>
        <v>1.25</v>
      </c>
      <c r="T1288" s="91">
        <f t="shared" si="1238"/>
        <v>1.3374999999999999</v>
      </c>
      <c r="U1288" s="27" t="s">
        <v>56</v>
      </c>
      <c r="V1288" s="19" t="s">
        <v>51</v>
      </c>
      <c r="W1288" s="20">
        <v>46037</v>
      </c>
      <c r="X1288" s="22"/>
      <c r="Y1288" s="19" t="s">
        <v>52</v>
      </c>
      <c r="Z1288" s="19" t="s">
        <v>52</v>
      </c>
      <c r="AA1288" s="19" t="s">
        <v>52</v>
      </c>
      <c r="AB1288" s="28"/>
    </row>
    <row r="1289" spans="1:33" s="29" customFormat="1" ht="15" customHeight="1" x14ac:dyDescent="0.25">
      <c r="A1289" s="14">
        <v>7</v>
      </c>
      <c r="B1289" s="15">
        <v>46071</v>
      </c>
      <c r="C1289" s="15">
        <f>B1289+8</f>
        <v>46079</v>
      </c>
      <c r="D1289" s="14">
        <v>14277</v>
      </c>
      <c r="E1289" s="16" t="s">
        <v>307</v>
      </c>
      <c r="F1289" s="17" t="s">
        <v>308</v>
      </c>
      <c r="G1289" s="17" t="s">
        <v>132</v>
      </c>
      <c r="H1289" s="18" t="s">
        <v>133</v>
      </c>
      <c r="I1289" s="19" t="s">
        <v>198</v>
      </c>
      <c r="J1289" s="20">
        <v>46030</v>
      </c>
      <c r="K1289" s="20">
        <v>46071</v>
      </c>
      <c r="L1289" s="21">
        <v>600000</v>
      </c>
      <c r="M1289" s="22">
        <f>SUM(N1289:O1289)</f>
        <v>461000</v>
      </c>
      <c r="N1289" s="23">
        <v>0</v>
      </c>
      <c r="O1289" s="23">
        <v>461000</v>
      </c>
      <c r="P1289" s="24">
        <f>L1289-N1289</f>
        <v>600000</v>
      </c>
      <c r="Q1289" s="25">
        <v>460950</v>
      </c>
      <c r="R1289" s="26">
        <v>128000</v>
      </c>
      <c r="S1289" s="91">
        <f t="shared" ref="S1289:T1291" si="1239">IF(P1289&gt;0,P1289/$R1289,0)</f>
        <v>4.6875</v>
      </c>
      <c r="T1289" s="91">
        <f t="shared" si="1239"/>
        <v>3.6011718749999999</v>
      </c>
      <c r="U1289" s="27" t="s">
        <v>56</v>
      </c>
      <c r="V1289" s="30" t="s">
        <v>59</v>
      </c>
      <c r="W1289" s="31">
        <v>46066</v>
      </c>
      <c r="X1289" s="22"/>
      <c r="Y1289" s="19" t="s">
        <v>52</v>
      </c>
      <c r="Z1289" s="19" t="s">
        <v>52</v>
      </c>
      <c r="AA1289" s="19" t="s">
        <v>52</v>
      </c>
      <c r="AB1289" s="28"/>
    </row>
    <row r="1290" spans="1:33" s="29" customFormat="1" ht="15" customHeight="1" x14ac:dyDescent="0.25">
      <c r="A1290" s="14">
        <v>6</v>
      </c>
      <c r="B1290" s="15">
        <v>46071</v>
      </c>
      <c r="C1290" s="15">
        <f t="shared" ref="C1290" si="1240">B1290+8</f>
        <v>46079</v>
      </c>
      <c r="D1290" s="14">
        <v>14289</v>
      </c>
      <c r="E1290" s="16" t="s">
        <v>310</v>
      </c>
      <c r="F1290" s="17" t="s">
        <v>311</v>
      </c>
      <c r="G1290" s="17" t="s">
        <v>132</v>
      </c>
      <c r="H1290" s="18" t="s">
        <v>133</v>
      </c>
      <c r="I1290" s="19" t="s">
        <v>198</v>
      </c>
      <c r="J1290" s="20">
        <v>46030</v>
      </c>
      <c r="K1290" s="20">
        <v>46056</v>
      </c>
      <c r="L1290" s="21">
        <v>200000</v>
      </c>
      <c r="M1290" s="22">
        <f>SUM(N1290:O1290)</f>
        <v>212000</v>
      </c>
      <c r="N1290" s="23">
        <v>120000</v>
      </c>
      <c r="O1290" s="23">
        <v>92000</v>
      </c>
      <c r="P1290" s="24">
        <f>L1290-N1290</f>
        <v>80000</v>
      </c>
      <c r="Q1290" s="25">
        <v>91940</v>
      </c>
      <c r="R1290" s="26">
        <v>160000</v>
      </c>
      <c r="S1290" s="91">
        <f t="shared" si="1239"/>
        <v>0.5</v>
      </c>
      <c r="T1290" s="91">
        <f t="shared" si="1239"/>
        <v>0.57462500000000005</v>
      </c>
      <c r="U1290" s="27" t="s">
        <v>56</v>
      </c>
      <c r="V1290" s="19" t="s">
        <v>51</v>
      </c>
      <c r="W1290" s="20">
        <v>46058</v>
      </c>
      <c r="X1290" s="22"/>
      <c r="Y1290" s="19" t="s">
        <v>52</v>
      </c>
      <c r="Z1290" s="19" t="s">
        <v>52</v>
      </c>
      <c r="AA1290" s="19" t="s">
        <v>52</v>
      </c>
      <c r="AB1290" s="28"/>
    </row>
    <row r="1291" spans="1:33" s="29" customFormat="1" ht="15" customHeight="1" x14ac:dyDescent="0.25">
      <c r="A1291" s="14">
        <v>68</v>
      </c>
      <c r="B1291" s="15">
        <v>46071</v>
      </c>
      <c r="C1291" s="15">
        <f>B1291+8</f>
        <v>46079</v>
      </c>
      <c r="D1291" s="14">
        <v>14373</v>
      </c>
      <c r="E1291" s="16" t="s">
        <v>737</v>
      </c>
      <c r="F1291" s="17" t="s">
        <v>478</v>
      </c>
      <c r="G1291" s="17" t="s">
        <v>102</v>
      </c>
      <c r="H1291" s="18" t="s">
        <v>57</v>
      </c>
      <c r="I1291" s="19" t="s">
        <v>58</v>
      </c>
      <c r="J1291" s="20">
        <v>46038</v>
      </c>
      <c r="K1291" s="20">
        <v>46093</v>
      </c>
      <c r="L1291" s="21">
        <v>1500000</v>
      </c>
      <c r="M1291" s="22">
        <f>SUM(N1291:O1291)</f>
        <v>210000</v>
      </c>
      <c r="N1291" s="23">
        <v>0</v>
      </c>
      <c r="O1291" s="23">
        <v>210000</v>
      </c>
      <c r="P1291" s="24">
        <f>L1291-N1291</f>
        <v>1500000</v>
      </c>
      <c r="Q1291" s="25">
        <v>210000</v>
      </c>
      <c r="R1291" s="26">
        <v>42000</v>
      </c>
      <c r="S1291" s="91">
        <f t="shared" si="1239"/>
        <v>35.714285714285715</v>
      </c>
      <c r="T1291" s="91">
        <f t="shared" si="1239"/>
        <v>5</v>
      </c>
      <c r="U1291" s="27" t="s">
        <v>193</v>
      </c>
      <c r="V1291" s="30" t="s">
        <v>68</v>
      </c>
      <c r="W1291" s="31" t="s">
        <v>68</v>
      </c>
      <c r="X1291" s="22"/>
      <c r="Y1291" s="19" t="s">
        <v>52</v>
      </c>
      <c r="Z1291" s="19" t="s">
        <v>52</v>
      </c>
      <c r="AA1291" s="19" t="s">
        <v>52</v>
      </c>
      <c r="AB1291" s="28"/>
    </row>
    <row r="1292" spans="1:33" ht="15" customHeight="1" x14ac:dyDescent="0.25">
      <c r="A1292" s="33" t="s">
        <v>71</v>
      </c>
      <c r="B1292" s="34"/>
      <c r="C1292" s="34"/>
      <c r="D1292" s="34"/>
      <c r="E1292" s="34"/>
      <c r="F1292" s="35"/>
      <c r="G1292" s="35"/>
      <c r="H1292" s="34"/>
      <c r="I1292" s="34"/>
      <c r="J1292" s="34"/>
      <c r="K1292" s="34"/>
      <c r="L1292" s="36"/>
      <c r="M1292" s="36"/>
      <c r="N1292" s="36"/>
      <c r="O1292" s="36"/>
      <c r="P1292" s="36"/>
      <c r="Q1292" s="36">
        <f>SUM(Q1283:Q1291)</f>
        <v>1516730</v>
      </c>
      <c r="R1292" s="36"/>
      <c r="S1292" s="92"/>
      <c r="T1292" s="93">
        <f>SUM(T1283:T1291)</f>
        <v>23.839651922798783</v>
      </c>
      <c r="U1292" s="37"/>
      <c r="V1292" s="38"/>
      <c r="W1292" s="38"/>
      <c r="X1292" s="38"/>
      <c r="Y1292" s="34"/>
      <c r="Z1292" s="34"/>
      <c r="AA1292" s="39"/>
      <c r="AB1292" s="29" t="s">
        <v>1159</v>
      </c>
      <c r="AC1292" s="81" t="s">
        <v>1172</v>
      </c>
      <c r="AD1292" s="83">
        <v>5000</v>
      </c>
      <c r="AF1292" s="83">
        <v>0</v>
      </c>
      <c r="AG1292" s="83">
        <f>SUM(AD1292,AF1292)</f>
        <v>5000</v>
      </c>
    </row>
    <row r="1293" spans="1:33" s="29" customFormat="1" ht="15" customHeight="1" x14ac:dyDescent="0.25">
      <c r="A1293" s="14">
        <v>7</v>
      </c>
      <c r="B1293" s="15">
        <v>46073</v>
      </c>
      <c r="C1293" s="15">
        <f>B1293+8</f>
        <v>46081</v>
      </c>
      <c r="D1293" s="14">
        <v>14351</v>
      </c>
      <c r="E1293" s="16" t="s">
        <v>808</v>
      </c>
      <c r="F1293" s="40" t="s">
        <v>657</v>
      </c>
      <c r="G1293" s="17" t="s">
        <v>75</v>
      </c>
      <c r="H1293" s="18" t="s">
        <v>57</v>
      </c>
      <c r="I1293" s="19" t="s">
        <v>94</v>
      </c>
      <c r="J1293" s="20">
        <v>46042</v>
      </c>
      <c r="K1293" s="20">
        <v>46078</v>
      </c>
      <c r="L1293" s="21">
        <v>1500000</v>
      </c>
      <c r="M1293" s="22">
        <f>SUM(N1293:O1293)</f>
        <v>1000000</v>
      </c>
      <c r="N1293" s="23">
        <v>700000</v>
      </c>
      <c r="O1293" s="23">
        <v>300000</v>
      </c>
      <c r="P1293" s="24">
        <f>L1293-N1293</f>
        <v>800000</v>
      </c>
      <c r="Q1293" s="25">
        <v>150000</v>
      </c>
      <c r="R1293" s="26">
        <v>100000</v>
      </c>
      <c r="S1293" s="91">
        <f>IF(P1293&gt;0,P1293/$R1293,0)</f>
        <v>8</v>
      </c>
      <c r="T1293" s="91">
        <f>IF(Q1293&gt;0,Q1293/$R1293,0)</f>
        <v>1.5</v>
      </c>
      <c r="U1293" s="27" t="s">
        <v>192</v>
      </c>
      <c r="V1293" s="19" t="s">
        <v>51</v>
      </c>
      <c r="W1293" s="20">
        <v>46064</v>
      </c>
      <c r="X1293" s="113" t="s">
        <v>266</v>
      </c>
      <c r="Y1293" s="19" t="s">
        <v>52</v>
      </c>
      <c r="Z1293" s="19" t="s">
        <v>52</v>
      </c>
      <c r="AA1293" s="19" t="s">
        <v>52</v>
      </c>
      <c r="AB1293" s="28"/>
    </row>
    <row r="1294" spans="1:33" s="29" customFormat="1" ht="15" customHeight="1" x14ac:dyDescent="0.25">
      <c r="A1294" s="14">
        <v>6</v>
      </c>
      <c r="B1294" s="15">
        <v>46073</v>
      </c>
      <c r="C1294" s="15">
        <f t="shared" ref="C1294:C1299" si="1241">B1294+8</f>
        <v>46081</v>
      </c>
      <c r="D1294" s="14">
        <v>14350</v>
      </c>
      <c r="E1294" s="16" t="s">
        <v>684</v>
      </c>
      <c r="F1294" s="40" t="s">
        <v>720</v>
      </c>
      <c r="G1294" s="17" t="s">
        <v>75</v>
      </c>
      <c r="H1294" s="18" t="s">
        <v>57</v>
      </c>
      <c r="I1294" s="19" t="s">
        <v>94</v>
      </c>
      <c r="J1294" s="20">
        <v>46042</v>
      </c>
      <c r="K1294" s="20">
        <v>46078</v>
      </c>
      <c r="L1294" s="21">
        <v>700000</v>
      </c>
      <c r="M1294" s="22">
        <f t="shared" ref="M1294:M1299" si="1242">SUM(N1294:O1294)</f>
        <v>360000</v>
      </c>
      <c r="N1294" s="23">
        <v>0</v>
      </c>
      <c r="O1294" s="23">
        <v>360000</v>
      </c>
      <c r="P1294" s="24">
        <f t="shared" ref="P1294:P1299" si="1243">L1294-N1294</f>
        <v>700000</v>
      </c>
      <c r="Q1294" s="25">
        <v>200000</v>
      </c>
      <c r="R1294" s="26">
        <v>100000</v>
      </c>
      <c r="S1294" s="91">
        <f t="shared" ref="S1294:T1299" si="1244">IF(P1294&gt;0,P1294/$R1294,0)</f>
        <v>7</v>
      </c>
      <c r="T1294" s="91">
        <f t="shared" si="1244"/>
        <v>2</v>
      </c>
      <c r="U1294" s="27" t="s">
        <v>192</v>
      </c>
      <c r="V1294" s="19" t="s">
        <v>51</v>
      </c>
      <c r="W1294" s="20">
        <v>46064</v>
      </c>
      <c r="X1294" s="113" t="s">
        <v>266</v>
      </c>
      <c r="Y1294" s="19" t="s">
        <v>52</v>
      </c>
      <c r="Z1294" s="19" t="s">
        <v>52</v>
      </c>
      <c r="AA1294" s="19" t="s">
        <v>52</v>
      </c>
      <c r="AB1294" s="28"/>
    </row>
    <row r="1295" spans="1:33" s="29" customFormat="1" ht="15" customHeight="1" x14ac:dyDescent="0.25">
      <c r="A1295" s="14">
        <v>19</v>
      </c>
      <c r="B1295" s="15">
        <v>46073</v>
      </c>
      <c r="C1295" s="15">
        <f>B1295+8</f>
        <v>46081</v>
      </c>
      <c r="D1295" s="14">
        <v>14359</v>
      </c>
      <c r="E1295" s="16" t="s">
        <v>109</v>
      </c>
      <c r="F1295" s="17" t="s">
        <v>110</v>
      </c>
      <c r="G1295" s="17" t="s">
        <v>102</v>
      </c>
      <c r="H1295" s="18" t="s">
        <v>57</v>
      </c>
      <c r="I1295" s="19" t="s">
        <v>94</v>
      </c>
      <c r="J1295" s="20">
        <v>46037</v>
      </c>
      <c r="K1295" s="20">
        <v>46092</v>
      </c>
      <c r="L1295" s="21">
        <v>600000</v>
      </c>
      <c r="M1295" s="22">
        <f>SUM(N1295:O1295)</f>
        <v>50000</v>
      </c>
      <c r="N1295" s="23">
        <v>0</v>
      </c>
      <c r="O1295" s="23">
        <v>50000</v>
      </c>
      <c r="P1295" s="24">
        <f>L1295-N1295</f>
        <v>600000</v>
      </c>
      <c r="Q1295" s="25">
        <v>50000</v>
      </c>
      <c r="R1295" s="26">
        <v>50000</v>
      </c>
      <c r="S1295" s="91">
        <f>IF(P1295&gt;0,P1295/$R1295,0)</f>
        <v>12</v>
      </c>
      <c r="T1295" s="91">
        <f>IF(Q1295&gt;0,Q1295/$R1295,0)</f>
        <v>1</v>
      </c>
      <c r="U1295" s="27" t="s">
        <v>192</v>
      </c>
      <c r="V1295" s="30" t="s">
        <v>68</v>
      </c>
      <c r="W1295" s="31" t="s">
        <v>68</v>
      </c>
      <c r="X1295" s="113" t="s">
        <v>266</v>
      </c>
      <c r="Y1295" s="19" t="s">
        <v>52</v>
      </c>
      <c r="Z1295" s="19" t="s">
        <v>52</v>
      </c>
      <c r="AA1295" s="19" t="s">
        <v>52</v>
      </c>
      <c r="AB1295" s="28"/>
    </row>
    <row r="1296" spans="1:33" s="29" customFormat="1" ht="15" customHeight="1" x14ac:dyDescent="0.25">
      <c r="A1296" s="14">
        <v>7</v>
      </c>
      <c r="B1296" s="15">
        <v>46073</v>
      </c>
      <c r="C1296" s="15">
        <f t="shared" ref="C1296" si="1245">B1296+8</f>
        <v>46081</v>
      </c>
      <c r="D1296" s="14">
        <v>14351</v>
      </c>
      <c r="E1296" s="16" t="s">
        <v>808</v>
      </c>
      <c r="F1296" s="40" t="s">
        <v>657</v>
      </c>
      <c r="G1296" s="17" t="s">
        <v>75</v>
      </c>
      <c r="H1296" s="18" t="s">
        <v>57</v>
      </c>
      <c r="I1296" s="19" t="s">
        <v>94</v>
      </c>
      <c r="J1296" s="20">
        <v>46042</v>
      </c>
      <c r="K1296" s="20">
        <v>46078</v>
      </c>
      <c r="L1296" s="21">
        <v>1500000</v>
      </c>
      <c r="M1296" s="22">
        <f>SUM(N1296:O1296)</f>
        <v>1000000</v>
      </c>
      <c r="N1296" s="23">
        <v>700000</v>
      </c>
      <c r="O1296" s="23">
        <v>300000</v>
      </c>
      <c r="P1296" s="24">
        <f t="shared" ref="P1296" si="1246">L1296-N1296</f>
        <v>800000</v>
      </c>
      <c r="Q1296" s="25">
        <v>150000</v>
      </c>
      <c r="R1296" s="26">
        <v>100000</v>
      </c>
      <c r="S1296" s="91">
        <f>IF(P1296&gt;0,P1296/$R1296,0)</f>
        <v>8</v>
      </c>
      <c r="T1296" s="91">
        <f>IF(Q1296&gt;0,Q1296/$R1296,0)</f>
        <v>1.5</v>
      </c>
      <c r="U1296" s="27" t="s">
        <v>56</v>
      </c>
      <c r="V1296" s="19" t="s">
        <v>51</v>
      </c>
      <c r="W1296" s="20">
        <v>46064</v>
      </c>
      <c r="X1296" s="113" t="s">
        <v>266</v>
      </c>
      <c r="Y1296" s="19" t="s">
        <v>52</v>
      </c>
      <c r="Z1296" s="19" t="s">
        <v>52</v>
      </c>
      <c r="AA1296" s="19" t="s">
        <v>52</v>
      </c>
      <c r="AB1296" s="28"/>
    </row>
    <row r="1297" spans="1:33" s="29" customFormat="1" ht="15" customHeight="1" x14ac:dyDescent="0.25">
      <c r="A1297" s="14">
        <v>6</v>
      </c>
      <c r="B1297" s="15">
        <v>46073</v>
      </c>
      <c r="C1297" s="15">
        <f t="shared" ref="C1297" si="1247">B1297+8</f>
        <v>46081</v>
      </c>
      <c r="D1297" s="14">
        <v>14350</v>
      </c>
      <c r="E1297" s="16" t="s">
        <v>684</v>
      </c>
      <c r="F1297" s="40" t="s">
        <v>720</v>
      </c>
      <c r="G1297" s="17" t="s">
        <v>75</v>
      </c>
      <c r="H1297" s="18" t="s">
        <v>57</v>
      </c>
      <c r="I1297" s="19" t="s">
        <v>94</v>
      </c>
      <c r="J1297" s="20">
        <v>46042</v>
      </c>
      <c r="K1297" s="20">
        <v>46078</v>
      </c>
      <c r="L1297" s="21">
        <v>700000</v>
      </c>
      <c r="M1297" s="22">
        <f t="shared" si="1242"/>
        <v>360000</v>
      </c>
      <c r="N1297" s="23">
        <v>0</v>
      </c>
      <c r="O1297" s="23">
        <v>360000</v>
      </c>
      <c r="P1297" s="24">
        <f t="shared" ref="P1297" si="1248">L1297-N1297</f>
        <v>700000</v>
      </c>
      <c r="Q1297" s="25">
        <v>100000</v>
      </c>
      <c r="R1297" s="26">
        <v>100000</v>
      </c>
      <c r="S1297" s="91">
        <f t="shared" ref="S1297" si="1249">IF(P1297&gt;0,P1297/$R1297,0)</f>
        <v>7</v>
      </c>
      <c r="T1297" s="91">
        <f t="shared" ref="T1297" si="1250">IF(Q1297&gt;0,Q1297/$R1297,0)</f>
        <v>1</v>
      </c>
      <c r="U1297" s="27" t="s">
        <v>56</v>
      </c>
      <c r="V1297" s="19" t="s">
        <v>51</v>
      </c>
      <c r="W1297" s="20">
        <v>46064</v>
      </c>
      <c r="X1297" s="113" t="s">
        <v>266</v>
      </c>
      <c r="Y1297" s="19" t="s">
        <v>52</v>
      </c>
      <c r="Z1297" s="19" t="s">
        <v>52</v>
      </c>
      <c r="AA1297" s="19" t="s">
        <v>52</v>
      </c>
      <c r="AB1297" s="28"/>
    </row>
    <row r="1298" spans="1:33" s="29" customFormat="1" ht="15" customHeight="1" x14ac:dyDescent="0.25">
      <c r="A1298" s="14">
        <v>1</v>
      </c>
      <c r="B1298" s="15">
        <v>46073</v>
      </c>
      <c r="C1298" s="15">
        <f t="shared" si="1241"/>
        <v>46081</v>
      </c>
      <c r="D1298" s="14">
        <v>13569</v>
      </c>
      <c r="E1298" s="16" t="s">
        <v>829</v>
      </c>
      <c r="F1298" s="17" t="s">
        <v>830</v>
      </c>
      <c r="G1298" s="17" t="s">
        <v>102</v>
      </c>
      <c r="H1298" s="18" t="s">
        <v>54</v>
      </c>
      <c r="I1298" s="19" t="s">
        <v>135</v>
      </c>
      <c r="J1298" s="20">
        <v>45917</v>
      </c>
      <c r="K1298" s="20">
        <v>45947</v>
      </c>
      <c r="L1298" s="21">
        <v>30000</v>
      </c>
      <c r="M1298" s="22">
        <f t="shared" si="1242"/>
        <v>28000</v>
      </c>
      <c r="N1298" s="23">
        <v>0</v>
      </c>
      <c r="O1298" s="23">
        <v>28000</v>
      </c>
      <c r="P1298" s="24">
        <f t="shared" si="1243"/>
        <v>30000</v>
      </c>
      <c r="Q1298" s="25">
        <v>28000</v>
      </c>
      <c r="R1298" s="26">
        <v>24000</v>
      </c>
      <c r="S1298" s="91">
        <f t="shared" si="1244"/>
        <v>1.25</v>
      </c>
      <c r="T1298" s="91">
        <f t="shared" si="1244"/>
        <v>1.1666666666666667</v>
      </c>
      <c r="U1298" s="27" t="s">
        <v>56</v>
      </c>
      <c r="V1298" s="30" t="s">
        <v>59</v>
      </c>
      <c r="W1298" s="31">
        <v>46071</v>
      </c>
      <c r="X1298" s="113" t="s">
        <v>266</v>
      </c>
      <c r="Y1298" s="19" t="s">
        <v>52</v>
      </c>
      <c r="Z1298" s="19" t="s">
        <v>52</v>
      </c>
      <c r="AA1298" s="19" t="s">
        <v>52</v>
      </c>
      <c r="AB1298" s="28"/>
    </row>
    <row r="1299" spans="1:33" s="29" customFormat="1" ht="15" customHeight="1" x14ac:dyDescent="0.25">
      <c r="A1299" s="14">
        <v>2</v>
      </c>
      <c r="B1299" s="15">
        <v>46073</v>
      </c>
      <c r="C1299" s="15">
        <f t="shared" si="1241"/>
        <v>46081</v>
      </c>
      <c r="D1299" s="14">
        <v>13568</v>
      </c>
      <c r="E1299" s="16" t="s">
        <v>831</v>
      </c>
      <c r="F1299" s="17" t="s">
        <v>832</v>
      </c>
      <c r="G1299" s="17" t="s">
        <v>102</v>
      </c>
      <c r="H1299" s="18" t="s">
        <v>54</v>
      </c>
      <c r="I1299" s="19" t="s">
        <v>135</v>
      </c>
      <c r="J1299" s="20">
        <v>45918</v>
      </c>
      <c r="K1299" s="20">
        <v>45947</v>
      </c>
      <c r="L1299" s="21">
        <v>300000</v>
      </c>
      <c r="M1299" s="22">
        <f t="shared" si="1242"/>
        <v>325000</v>
      </c>
      <c r="N1299" s="23">
        <v>0</v>
      </c>
      <c r="O1299" s="23">
        <v>325000</v>
      </c>
      <c r="P1299" s="24">
        <f t="shared" si="1243"/>
        <v>300000</v>
      </c>
      <c r="Q1299" s="25">
        <v>325000</v>
      </c>
      <c r="R1299" s="26">
        <v>24000</v>
      </c>
      <c r="S1299" s="91">
        <f t="shared" si="1244"/>
        <v>12.5</v>
      </c>
      <c r="T1299" s="91">
        <f t="shared" si="1244"/>
        <v>13.541666666666666</v>
      </c>
      <c r="U1299" s="27" t="s">
        <v>56</v>
      </c>
      <c r="V1299" s="30" t="s">
        <v>59</v>
      </c>
      <c r="W1299" s="31">
        <v>46071</v>
      </c>
      <c r="X1299" s="113" t="s">
        <v>266</v>
      </c>
      <c r="Y1299" s="19" t="s">
        <v>52</v>
      </c>
      <c r="Z1299" s="19" t="s">
        <v>52</v>
      </c>
      <c r="AA1299" s="19" t="s">
        <v>52</v>
      </c>
      <c r="AB1299" s="28"/>
    </row>
    <row r="1300" spans="1:33" ht="15" customHeight="1" x14ac:dyDescent="0.25">
      <c r="A1300" s="33" t="s">
        <v>71</v>
      </c>
      <c r="B1300" s="34"/>
      <c r="C1300" s="34"/>
      <c r="D1300" s="34"/>
      <c r="E1300" s="34"/>
      <c r="F1300" s="35"/>
      <c r="G1300" s="35"/>
      <c r="H1300" s="34"/>
      <c r="I1300" s="34"/>
      <c r="J1300" s="34"/>
      <c r="K1300" s="34"/>
      <c r="L1300" s="36"/>
      <c r="M1300" s="36"/>
      <c r="N1300" s="36"/>
      <c r="O1300" s="36"/>
      <c r="P1300" s="36"/>
      <c r="Q1300" s="36">
        <f>SUM(Q1293:Q1299)</f>
        <v>1003000</v>
      </c>
      <c r="R1300" s="36"/>
      <c r="S1300" s="92"/>
      <c r="T1300" s="93">
        <f>SUM(T1293:T1299)</f>
        <v>21.708333333333332</v>
      </c>
      <c r="U1300" s="37"/>
      <c r="V1300" s="38"/>
      <c r="W1300" s="38"/>
      <c r="X1300" s="38"/>
      <c r="Y1300" s="34"/>
      <c r="Z1300" s="34"/>
      <c r="AA1300" s="39"/>
      <c r="AB1300" s="29" t="s">
        <v>1169</v>
      </c>
      <c r="AC1300" s="81" t="s">
        <v>1185</v>
      </c>
      <c r="AD1300" s="83">
        <v>5000</v>
      </c>
      <c r="AF1300" s="83">
        <v>0</v>
      </c>
      <c r="AG1300" s="83">
        <f>SUM(AD1300,AF1300)</f>
        <v>5000</v>
      </c>
    </row>
    <row r="1301" spans="1:33" s="29" customFormat="1" ht="15" customHeight="1" x14ac:dyDescent="0.25">
      <c r="A1301" s="14">
        <v>12</v>
      </c>
      <c r="B1301" s="15">
        <v>46074</v>
      </c>
      <c r="C1301" s="15">
        <f>B1301+8</f>
        <v>46082</v>
      </c>
      <c r="D1301" s="14">
        <v>14384</v>
      </c>
      <c r="E1301" s="16" t="s">
        <v>297</v>
      </c>
      <c r="F1301" s="17" t="s">
        <v>298</v>
      </c>
      <c r="G1301" s="17" t="s">
        <v>102</v>
      </c>
      <c r="H1301" s="18" t="s">
        <v>57</v>
      </c>
      <c r="I1301" s="19" t="s">
        <v>94</v>
      </c>
      <c r="J1301" s="20">
        <v>46041</v>
      </c>
      <c r="K1301" s="20">
        <v>46059</v>
      </c>
      <c r="L1301" s="21">
        <v>400000</v>
      </c>
      <c r="M1301" s="22">
        <f>SUM(N1301:O1301)</f>
        <v>400000</v>
      </c>
      <c r="N1301" s="23">
        <v>20000</v>
      </c>
      <c r="O1301" s="23">
        <v>380000</v>
      </c>
      <c r="P1301" s="24">
        <f>L1301-N1301</f>
        <v>380000</v>
      </c>
      <c r="Q1301" s="25">
        <v>360000</v>
      </c>
      <c r="R1301" s="26">
        <v>30000</v>
      </c>
      <c r="S1301" s="91">
        <f t="shared" ref="S1301:T1303" si="1251">IF(P1301&gt;0,P1301/$R1301,0)</f>
        <v>12.666666666666666</v>
      </c>
      <c r="T1301" s="91">
        <f t="shared" si="1251"/>
        <v>12</v>
      </c>
      <c r="U1301" s="27" t="s">
        <v>192</v>
      </c>
      <c r="V1301" s="19" t="s">
        <v>51</v>
      </c>
      <c r="W1301" s="20">
        <v>46071</v>
      </c>
      <c r="X1301" s="113" t="s">
        <v>1168</v>
      </c>
      <c r="Y1301" s="19" t="s">
        <v>52</v>
      </c>
      <c r="Z1301" s="19" t="s">
        <v>52</v>
      </c>
      <c r="AA1301" s="19" t="s">
        <v>52</v>
      </c>
      <c r="AB1301" s="28"/>
    </row>
    <row r="1302" spans="1:33" s="29" customFormat="1" ht="15" customHeight="1" x14ac:dyDescent="0.25">
      <c r="A1302" s="14">
        <v>17</v>
      </c>
      <c r="B1302" s="15">
        <v>46074</v>
      </c>
      <c r="C1302" s="15">
        <f>B1302+8</f>
        <v>46082</v>
      </c>
      <c r="D1302" s="14">
        <v>14428</v>
      </c>
      <c r="E1302" s="16" t="s">
        <v>206</v>
      </c>
      <c r="F1302" s="40" t="s">
        <v>207</v>
      </c>
      <c r="G1302" s="17" t="s">
        <v>75</v>
      </c>
      <c r="H1302" s="18" t="s">
        <v>542</v>
      </c>
      <c r="I1302" s="19" t="s">
        <v>1049</v>
      </c>
      <c r="J1302" s="20">
        <v>46048</v>
      </c>
      <c r="K1302" s="20">
        <v>46073</v>
      </c>
      <c r="L1302" s="21">
        <v>675000</v>
      </c>
      <c r="M1302" s="22">
        <f>SUM(N1302:O1302)</f>
        <v>150000</v>
      </c>
      <c r="N1302" s="23">
        <v>0</v>
      </c>
      <c r="O1302" s="23">
        <v>150000</v>
      </c>
      <c r="P1302" s="24">
        <f>L1302-N1302</f>
        <v>675000</v>
      </c>
      <c r="Q1302" s="25">
        <v>150000</v>
      </c>
      <c r="R1302" s="26">
        <v>150000</v>
      </c>
      <c r="S1302" s="91">
        <f t="shared" si="1251"/>
        <v>4.5</v>
      </c>
      <c r="T1302" s="91">
        <f t="shared" si="1251"/>
        <v>1</v>
      </c>
      <c r="U1302" s="27" t="s">
        <v>192</v>
      </c>
      <c r="V1302" s="30" t="s">
        <v>59</v>
      </c>
      <c r="W1302" s="31">
        <v>46071</v>
      </c>
      <c r="X1302" s="113" t="s">
        <v>1121</v>
      </c>
      <c r="Y1302" s="19" t="s">
        <v>52</v>
      </c>
      <c r="Z1302" s="19" t="s">
        <v>52</v>
      </c>
      <c r="AA1302" s="19" t="s">
        <v>52</v>
      </c>
      <c r="AB1302" s="28"/>
    </row>
    <row r="1303" spans="1:33" s="29" customFormat="1" ht="15" customHeight="1" x14ac:dyDescent="0.25">
      <c r="A1303" s="14">
        <v>16</v>
      </c>
      <c r="B1303" s="15">
        <v>46074</v>
      </c>
      <c r="C1303" s="15">
        <f t="shared" ref="C1303" si="1252">B1303+8</f>
        <v>46082</v>
      </c>
      <c r="D1303" s="14">
        <v>14304</v>
      </c>
      <c r="E1303" s="16" t="s">
        <v>430</v>
      </c>
      <c r="F1303" s="40" t="s">
        <v>431</v>
      </c>
      <c r="G1303" s="17" t="s">
        <v>75</v>
      </c>
      <c r="H1303" s="18" t="s">
        <v>542</v>
      </c>
      <c r="I1303" s="19" t="s">
        <v>70</v>
      </c>
      <c r="J1303" s="20">
        <v>46031</v>
      </c>
      <c r="K1303" s="20">
        <v>46072</v>
      </c>
      <c r="L1303" s="21">
        <v>2000000</v>
      </c>
      <c r="M1303" s="22">
        <f>SUM(N1303:O1303)</f>
        <v>2013000</v>
      </c>
      <c r="N1303" s="23">
        <v>0</v>
      </c>
      <c r="O1303" s="23">
        <v>2013000</v>
      </c>
      <c r="P1303" s="24">
        <f t="shared" ref="P1303" si="1253">L1303-N1303</f>
        <v>2000000</v>
      </c>
      <c r="Q1303" s="25">
        <v>363000</v>
      </c>
      <c r="R1303" s="26">
        <v>150000</v>
      </c>
      <c r="S1303" s="91">
        <f t="shared" si="1251"/>
        <v>13.333333333333334</v>
      </c>
      <c r="T1303" s="91">
        <f t="shared" si="1251"/>
        <v>2.42</v>
      </c>
      <c r="U1303" s="27" t="s">
        <v>193</v>
      </c>
      <c r="V1303" s="19" t="s">
        <v>51</v>
      </c>
      <c r="W1303" s="20">
        <v>46071</v>
      </c>
      <c r="X1303" s="22"/>
      <c r="Y1303" s="19" t="s">
        <v>52</v>
      </c>
      <c r="Z1303" s="19" t="s">
        <v>52</v>
      </c>
      <c r="AA1303" s="19" t="s">
        <v>52</v>
      </c>
      <c r="AB1303" s="28"/>
    </row>
    <row r="1304" spans="1:33" s="29" customFormat="1" ht="15" customHeight="1" x14ac:dyDescent="0.25">
      <c r="A1304" s="14">
        <v>16</v>
      </c>
      <c r="B1304" s="15">
        <v>46074</v>
      </c>
      <c r="C1304" s="15">
        <f t="shared" ref="C1304:C1305" si="1254">B1304+8</f>
        <v>46082</v>
      </c>
      <c r="D1304" s="14">
        <v>14304</v>
      </c>
      <c r="E1304" s="16" t="s">
        <v>430</v>
      </c>
      <c r="F1304" s="40" t="s">
        <v>431</v>
      </c>
      <c r="G1304" s="17" t="s">
        <v>75</v>
      </c>
      <c r="H1304" s="18" t="s">
        <v>542</v>
      </c>
      <c r="I1304" s="19" t="s">
        <v>70</v>
      </c>
      <c r="J1304" s="20">
        <v>46031</v>
      </c>
      <c r="K1304" s="20">
        <v>46072</v>
      </c>
      <c r="L1304" s="21">
        <v>2000000</v>
      </c>
      <c r="M1304" s="22">
        <f t="shared" ref="M1304:M1305" si="1255">SUM(N1304:O1304)</f>
        <v>2013000</v>
      </c>
      <c r="N1304" s="23">
        <v>0</v>
      </c>
      <c r="O1304" s="23">
        <v>2013000</v>
      </c>
      <c r="P1304" s="24">
        <f t="shared" ref="P1304:P1305" si="1256">L1304-N1304</f>
        <v>2000000</v>
      </c>
      <c r="Q1304" s="25">
        <v>1650000</v>
      </c>
      <c r="R1304" s="26">
        <v>150000</v>
      </c>
      <c r="S1304" s="91">
        <f t="shared" ref="S1304:T1305" si="1257">IF(P1304&gt;0,P1304/$R1304,0)</f>
        <v>13.333333333333334</v>
      </c>
      <c r="T1304" s="91">
        <f t="shared" si="1257"/>
        <v>11</v>
      </c>
      <c r="U1304" s="27" t="s">
        <v>1177</v>
      </c>
      <c r="V1304" s="19" t="s">
        <v>51</v>
      </c>
      <c r="W1304" s="20">
        <v>46071</v>
      </c>
      <c r="X1304" s="22"/>
      <c r="Y1304" s="19" t="s">
        <v>52</v>
      </c>
      <c r="Z1304" s="19" t="s">
        <v>52</v>
      </c>
      <c r="AA1304" s="19" t="s">
        <v>52</v>
      </c>
      <c r="AB1304" s="28"/>
    </row>
    <row r="1305" spans="1:33" s="29" customFormat="1" ht="15" customHeight="1" x14ac:dyDescent="0.25">
      <c r="A1305" s="14">
        <v>14</v>
      </c>
      <c r="B1305" s="15">
        <v>46074</v>
      </c>
      <c r="C1305" s="15">
        <f t="shared" si="1254"/>
        <v>46082</v>
      </c>
      <c r="D1305" s="14">
        <v>14259</v>
      </c>
      <c r="E1305" s="16" t="s">
        <v>940</v>
      </c>
      <c r="F1305" s="17" t="s">
        <v>1056</v>
      </c>
      <c r="G1305" s="17" t="s">
        <v>102</v>
      </c>
      <c r="H1305" s="18" t="s">
        <v>542</v>
      </c>
      <c r="I1305" s="19" t="s">
        <v>70</v>
      </c>
      <c r="J1305" s="20">
        <v>46027</v>
      </c>
      <c r="K1305" s="20">
        <v>46064</v>
      </c>
      <c r="L1305" s="21">
        <v>200000</v>
      </c>
      <c r="M1305" s="22">
        <f t="shared" si="1255"/>
        <v>198000</v>
      </c>
      <c r="N1305" s="23">
        <v>144000</v>
      </c>
      <c r="O1305" s="23">
        <v>54000</v>
      </c>
      <c r="P1305" s="24">
        <f t="shared" si="1256"/>
        <v>56000</v>
      </c>
      <c r="Q1305" s="25">
        <v>54000</v>
      </c>
      <c r="R1305" s="26">
        <v>16000</v>
      </c>
      <c r="S1305" s="91">
        <f t="shared" si="1257"/>
        <v>3.5</v>
      </c>
      <c r="T1305" s="91">
        <f t="shared" si="1257"/>
        <v>3.375</v>
      </c>
      <c r="U1305" s="27" t="s">
        <v>1177</v>
      </c>
      <c r="V1305" s="19" t="s">
        <v>51</v>
      </c>
      <c r="W1305" s="20">
        <v>46049</v>
      </c>
      <c r="X1305" s="113" t="s">
        <v>266</v>
      </c>
      <c r="Y1305" s="19" t="s">
        <v>52</v>
      </c>
      <c r="Z1305" s="19" t="s">
        <v>52</v>
      </c>
      <c r="AA1305" s="19" t="s">
        <v>52</v>
      </c>
      <c r="AB1305" s="28"/>
    </row>
    <row r="1306" spans="1:33" ht="15" customHeight="1" x14ac:dyDescent="0.25">
      <c r="A1306" s="33" t="s">
        <v>71</v>
      </c>
      <c r="B1306" s="34"/>
      <c r="C1306" s="34"/>
      <c r="D1306" s="34"/>
      <c r="E1306" s="34"/>
      <c r="F1306" s="35"/>
      <c r="G1306" s="35"/>
      <c r="H1306" s="34"/>
      <c r="I1306" s="34"/>
      <c r="J1306" s="34"/>
      <c r="K1306" s="34"/>
      <c r="L1306" s="36"/>
      <c r="M1306" s="36"/>
      <c r="N1306" s="36"/>
      <c r="O1306" s="36"/>
      <c r="P1306" s="36"/>
      <c r="Q1306" s="36">
        <f>SUM(Q1301:Q1305)</f>
        <v>2577000</v>
      </c>
      <c r="R1306" s="36"/>
      <c r="S1306" s="92"/>
      <c r="T1306" s="93">
        <f>SUM(T1301:T1305)</f>
        <v>29.795000000000002</v>
      </c>
      <c r="U1306" s="37"/>
      <c r="V1306" s="38"/>
      <c r="W1306" s="38"/>
      <c r="X1306" s="38"/>
      <c r="Y1306" s="34"/>
      <c r="Z1306" s="34"/>
      <c r="AA1306" s="39"/>
      <c r="AB1306" s="29" t="s">
        <v>1175</v>
      </c>
      <c r="AC1306" s="81" t="s">
        <v>1187</v>
      </c>
      <c r="AD1306" s="83">
        <v>5000</v>
      </c>
      <c r="AF1306" s="83">
        <v>0</v>
      </c>
      <c r="AG1306" s="83">
        <f>SUM(AD1306,AF1306)</f>
        <v>5000</v>
      </c>
    </row>
    <row r="1307" spans="1:33" s="29" customFormat="1" ht="15" customHeight="1" x14ac:dyDescent="0.25">
      <c r="A1307" s="14">
        <v>5</v>
      </c>
      <c r="B1307" s="15">
        <v>46074</v>
      </c>
      <c r="C1307" s="15">
        <f t="shared" ref="C1307:C1310" si="1258">B1307+8</f>
        <v>46082</v>
      </c>
      <c r="D1307" s="14">
        <v>14298</v>
      </c>
      <c r="E1307" s="16" t="s">
        <v>756</v>
      </c>
      <c r="F1307" s="17" t="s">
        <v>483</v>
      </c>
      <c r="G1307" s="17" t="s">
        <v>47</v>
      </c>
      <c r="H1307" s="18" t="s">
        <v>57</v>
      </c>
      <c r="I1307" s="19" t="s">
        <v>58</v>
      </c>
      <c r="J1307" s="20">
        <v>46030</v>
      </c>
      <c r="K1307" s="20">
        <v>46064</v>
      </c>
      <c r="L1307" s="21">
        <v>2000000</v>
      </c>
      <c r="M1307" s="22">
        <f t="shared" ref="M1307:M1308" si="1259">SUM(N1307:O1307)</f>
        <v>1989000</v>
      </c>
      <c r="N1307" s="23">
        <v>1750000</v>
      </c>
      <c r="O1307" s="23">
        <v>239000</v>
      </c>
      <c r="P1307" s="24">
        <f t="shared" ref="P1307:P1310" si="1260">L1307-N1307</f>
        <v>250000</v>
      </c>
      <c r="Q1307" s="25">
        <v>200000</v>
      </c>
      <c r="R1307" s="26">
        <v>50000</v>
      </c>
      <c r="S1307" s="91">
        <f t="shared" ref="S1307:T1310" si="1261">IF(P1307&gt;0,P1307/$R1307,0)</f>
        <v>5</v>
      </c>
      <c r="T1307" s="91">
        <f t="shared" si="1261"/>
        <v>4</v>
      </c>
      <c r="U1307" s="27" t="s">
        <v>192</v>
      </c>
      <c r="V1307" s="19" t="s">
        <v>51</v>
      </c>
      <c r="W1307" s="20">
        <v>46058</v>
      </c>
      <c r="X1307" s="22"/>
      <c r="Y1307" s="19" t="s">
        <v>52</v>
      </c>
      <c r="Z1307" s="19" t="s">
        <v>52</v>
      </c>
      <c r="AA1307" s="19" t="s">
        <v>52</v>
      </c>
      <c r="AB1307" s="42"/>
    </row>
    <row r="1308" spans="1:33" s="29" customFormat="1" ht="15" customHeight="1" x14ac:dyDescent="0.25">
      <c r="A1308" s="14">
        <v>7</v>
      </c>
      <c r="B1308" s="15">
        <v>46074</v>
      </c>
      <c r="C1308" s="15">
        <f t="shared" si="1258"/>
        <v>46082</v>
      </c>
      <c r="D1308" s="14">
        <v>14284</v>
      </c>
      <c r="E1308" s="16" t="s">
        <v>728</v>
      </c>
      <c r="F1308" s="17" t="s">
        <v>469</v>
      </c>
      <c r="G1308" s="17" t="s">
        <v>47</v>
      </c>
      <c r="H1308" s="18" t="s">
        <v>57</v>
      </c>
      <c r="I1308" s="19" t="s">
        <v>58</v>
      </c>
      <c r="J1308" s="20">
        <v>46029</v>
      </c>
      <c r="K1308" s="20">
        <v>46070</v>
      </c>
      <c r="L1308" s="21">
        <v>2000000</v>
      </c>
      <c r="M1308" s="22">
        <f t="shared" si="1259"/>
        <v>2128000</v>
      </c>
      <c r="N1308" s="23">
        <v>600000</v>
      </c>
      <c r="O1308" s="23">
        <v>1528000</v>
      </c>
      <c r="P1308" s="24">
        <f t="shared" si="1260"/>
        <v>1400000</v>
      </c>
      <c r="Q1308" s="25">
        <v>1528000</v>
      </c>
      <c r="R1308" s="26">
        <v>96000</v>
      </c>
      <c r="S1308" s="91">
        <f t="shared" si="1261"/>
        <v>14.583333333333334</v>
      </c>
      <c r="T1308" s="91">
        <f t="shared" si="1261"/>
        <v>15.916666666666666</v>
      </c>
      <c r="U1308" s="27" t="s">
        <v>192</v>
      </c>
      <c r="V1308" s="19" t="s">
        <v>51</v>
      </c>
      <c r="W1308" s="20">
        <v>46058</v>
      </c>
      <c r="X1308" s="22"/>
      <c r="Y1308" s="19" t="s">
        <v>52</v>
      </c>
      <c r="Z1308" s="19" t="s">
        <v>52</v>
      </c>
      <c r="AA1308" s="19" t="s">
        <v>52</v>
      </c>
      <c r="AB1308" s="42"/>
    </row>
    <row r="1309" spans="1:33" s="29" customFormat="1" ht="15" customHeight="1" x14ac:dyDescent="0.25">
      <c r="A1309" s="14">
        <v>1</v>
      </c>
      <c r="B1309" s="15">
        <v>46074</v>
      </c>
      <c r="C1309" s="15">
        <f t="shared" si="1258"/>
        <v>46082</v>
      </c>
      <c r="D1309" s="14">
        <v>14414</v>
      </c>
      <c r="E1309" s="16" t="s">
        <v>944</v>
      </c>
      <c r="F1309" s="17" t="s">
        <v>710</v>
      </c>
      <c r="G1309" s="17" t="s">
        <v>47</v>
      </c>
      <c r="H1309" s="18" t="s">
        <v>542</v>
      </c>
      <c r="I1309" s="19" t="s">
        <v>49</v>
      </c>
      <c r="J1309" s="20">
        <v>46044</v>
      </c>
      <c r="K1309" s="20">
        <v>46064</v>
      </c>
      <c r="L1309" s="21">
        <v>100000</v>
      </c>
      <c r="M1309" s="22">
        <f t="shared" ref="M1309:M1310" si="1262">SUM(N1309:O1309)</f>
        <v>56000</v>
      </c>
      <c r="N1309" s="23">
        <v>52000</v>
      </c>
      <c r="O1309" s="23">
        <v>4000</v>
      </c>
      <c r="P1309" s="24">
        <f t="shared" si="1260"/>
        <v>48000</v>
      </c>
      <c r="Q1309" s="25">
        <v>4000</v>
      </c>
      <c r="R1309" s="26">
        <v>72000</v>
      </c>
      <c r="S1309" s="91">
        <f t="shared" si="1261"/>
        <v>0.66666666666666663</v>
      </c>
      <c r="T1309" s="91">
        <f t="shared" si="1261"/>
        <v>5.5555555555555552E-2</v>
      </c>
      <c r="U1309" s="27" t="s">
        <v>192</v>
      </c>
      <c r="V1309" s="30" t="s">
        <v>59</v>
      </c>
      <c r="W1309" s="31">
        <v>46071</v>
      </c>
      <c r="X1309" s="113" t="s">
        <v>266</v>
      </c>
      <c r="Y1309" s="19" t="s">
        <v>52</v>
      </c>
      <c r="Z1309" s="19" t="s">
        <v>52</v>
      </c>
      <c r="AA1309" s="19" t="s">
        <v>52</v>
      </c>
      <c r="AB1309" s="42"/>
    </row>
    <row r="1310" spans="1:33" s="29" customFormat="1" ht="15" customHeight="1" x14ac:dyDescent="0.25">
      <c r="A1310" s="14">
        <v>19</v>
      </c>
      <c r="B1310" s="15">
        <v>46074</v>
      </c>
      <c r="C1310" s="15">
        <f t="shared" si="1258"/>
        <v>46082</v>
      </c>
      <c r="D1310" s="14">
        <v>14359</v>
      </c>
      <c r="E1310" s="16" t="s">
        <v>109</v>
      </c>
      <c r="F1310" s="17" t="s">
        <v>110</v>
      </c>
      <c r="G1310" s="17" t="s">
        <v>102</v>
      </c>
      <c r="H1310" s="18" t="s">
        <v>57</v>
      </c>
      <c r="I1310" s="19" t="s">
        <v>94</v>
      </c>
      <c r="J1310" s="20">
        <v>46037</v>
      </c>
      <c r="K1310" s="20">
        <v>46092</v>
      </c>
      <c r="L1310" s="21">
        <v>600000</v>
      </c>
      <c r="M1310" s="22">
        <f t="shared" si="1262"/>
        <v>150000</v>
      </c>
      <c r="N1310" s="23">
        <v>0</v>
      </c>
      <c r="O1310" s="23">
        <v>150000</v>
      </c>
      <c r="P1310" s="24">
        <f t="shared" si="1260"/>
        <v>600000</v>
      </c>
      <c r="Q1310" s="25">
        <v>100000</v>
      </c>
      <c r="R1310" s="26">
        <v>50000</v>
      </c>
      <c r="S1310" s="91">
        <f t="shared" si="1261"/>
        <v>12</v>
      </c>
      <c r="T1310" s="91">
        <f t="shared" si="1261"/>
        <v>2</v>
      </c>
      <c r="U1310" s="27" t="s">
        <v>192</v>
      </c>
      <c r="V1310" s="30" t="s">
        <v>68</v>
      </c>
      <c r="W1310" s="31" t="s">
        <v>68</v>
      </c>
      <c r="X1310" s="113" t="s">
        <v>266</v>
      </c>
      <c r="Y1310" s="19" t="s">
        <v>52</v>
      </c>
      <c r="Z1310" s="19" t="s">
        <v>52</v>
      </c>
      <c r="AA1310" s="19" t="s">
        <v>52</v>
      </c>
      <c r="AB1310" s="28"/>
    </row>
    <row r="1311" spans="1:33" s="29" customFormat="1" ht="15" customHeight="1" x14ac:dyDescent="0.25">
      <c r="A1311" s="14">
        <v>19</v>
      </c>
      <c r="B1311" s="15">
        <v>46074</v>
      </c>
      <c r="C1311" s="15">
        <f t="shared" ref="C1311" si="1263">B1311+8</f>
        <v>46082</v>
      </c>
      <c r="D1311" s="14">
        <v>14359</v>
      </c>
      <c r="E1311" s="16" t="s">
        <v>109</v>
      </c>
      <c r="F1311" s="17" t="s">
        <v>110</v>
      </c>
      <c r="G1311" s="17" t="s">
        <v>102</v>
      </c>
      <c r="H1311" s="18" t="s">
        <v>57</v>
      </c>
      <c r="I1311" s="19" t="s">
        <v>94</v>
      </c>
      <c r="J1311" s="20">
        <v>46037</v>
      </c>
      <c r="K1311" s="20">
        <v>46092</v>
      </c>
      <c r="L1311" s="21">
        <v>600000</v>
      </c>
      <c r="M1311" s="22">
        <f t="shared" ref="M1311" si="1264">SUM(N1311:O1311)</f>
        <v>150000</v>
      </c>
      <c r="N1311" s="23">
        <v>0</v>
      </c>
      <c r="O1311" s="23">
        <v>150000</v>
      </c>
      <c r="P1311" s="24">
        <f t="shared" ref="P1311" si="1265">L1311-N1311</f>
        <v>600000</v>
      </c>
      <c r="Q1311" s="25">
        <v>50000</v>
      </c>
      <c r="R1311" s="26">
        <v>50000</v>
      </c>
      <c r="S1311" s="91">
        <f t="shared" ref="S1311" si="1266">IF(P1311&gt;0,P1311/$R1311,0)</f>
        <v>12</v>
      </c>
      <c r="T1311" s="91">
        <f t="shared" ref="T1311" si="1267">IF(Q1311&gt;0,Q1311/$R1311,0)</f>
        <v>1</v>
      </c>
      <c r="U1311" s="27" t="s">
        <v>193</v>
      </c>
      <c r="V1311" s="30" t="s">
        <v>68</v>
      </c>
      <c r="W1311" s="31" t="s">
        <v>68</v>
      </c>
      <c r="X1311" s="113" t="s">
        <v>266</v>
      </c>
      <c r="Y1311" s="19" t="s">
        <v>52</v>
      </c>
      <c r="Z1311" s="19" t="s">
        <v>52</v>
      </c>
      <c r="AA1311" s="19" t="s">
        <v>52</v>
      </c>
      <c r="AB1311" s="28"/>
    </row>
    <row r="1312" spans="1:33" ht="15" customHeight="1" x14ac:dyDescent="0.25">
      <c r="A1312" s="33" t="s">
        <v>71</v>
      </c>
      <c r="B1312" s="34"/>
      <c r="C1312" s="34"/>
      <c r="D1312" s="34"/>
      <c r="E1312" s="34"/>
      <c r="F1312" s="35"/>
      <c r="G1312" s="35"/>
      <c r="H1312" s="34"/>
      <c r="I1312" s="34"/>
      <c r="J1312" s="34"/>
      <c r="K1312" s="34"/>
      <c r="L1312" s="36"/>
      <c r="M1312" s="36"/>
      <c r="N1312" s="36"/>
      <c r="O1312" s="36"/>
      <c r="P1312" s="36"/>
      <c r="Q1312" s="36">
        <f>SUM(Q1307:Q1311)</f>
        <v>1882000</v>
      </c>
      <c r="R1312" s="36"/>
      <c r="S1312" s="92"/>
      <c r="T1312" s="93">
        <f>SUM(T1307:T1311)</f>
        <v>22.972222222222221</v>
      </c>
      <c r="U1312" s="37"/>
      <c r="V1312" s="38"/>
      <c r="W1312" s="38"/>
      <c r="X1312" s="38"/>
      <c r="Y1312" s="34"/>
      <c r="Z1312" s="34"/>
      <c r="AA1312" s="39"/>
      <c r="AB1312" s="29" t="s">
        <v>1176</v>
      </c>
      <c r="AD1312" s="83"/>
      <c r="AF1312" s="83">
        <v>0</v>
      </c>
      <c r="AG1312" s="83">
        <f>SUM(AD1312,AF1312)</f>
        <v>0</v>
      </c>
    </row>
    <row r="1313" spans="1:33" s="29" customFormat="1" ht="15" customHeight="1" x14ac:dyDescent="0.25">
      <c r="A1313" s="14">
        <v>12</v>
      </c>
      <c r="B1313" s="15">
        <v>46077</v>
      </c>
      <c r="C1313" s="15">
        <f t="shared" ref="C1313:C1320" si="1268">B1313+8</f>
        <v>46085</v>
      </c>
      <c r="D1313" s="14">
        <v>14419</v>
      </c>
      <c r="E1313" s="16" t="s">
        <v>702</v>
      </c>
      <c r="F1313" s="17" t="s">
        <v>703</v>
      </c>
      <c r="G1313" s="17" t="s">
        <v>47</v>
      </c>
      <c r="H1313" s="18" t="s">
        <v>542</v>
      </c>
      <c r="I1313" s="19" t="s">
        <v>104</v>
      </c>
      <c r="J1313" s="20">
        <v>46048</v>
      </c>
      <c r="K1313" s="20">
        <v>46087</v>
      </c>
      <c r="L1313" s="21">
        <v>1500000</v>
      </c>
      <c r="M1313" s="22">
        <f t="shared" ref="M1313:M1323" si="1269">SUM(N1313:O1313)</f>
        <v>662000</v>
      </c>
      <c r="N1313" s="23">
        <v>0</v>
      </c>
      <c r="O1313" s="23">
        <v>662000</v>
      </c>
      <c r="P1313" s="24">
        <f t="shared" ref="P1313:P1323" si="1270">L1313-N1313</f>
        <v>1500000</v>
      </c>
      <c r="Q1313" s="25">
        <v>0</v>
      </c>
      <c r="R1313" s="26">
        <v>94500</v>
      </c>
      <c r="S1313" s="91">
        <f t="shared" ref="S1313:T1323" si="1271">IF(P1313&gt;0,P1313/$R1313,0)</f>
        <v>15.873015873015873</v>
      </c>
      <c r="T1313" s="91">
        <f t="shared" si="1271"/>
        <v>0</v>
      </c>
      <c r="U1313" s="27" t="s">
        <v>50</v>
      </c>
      <c r="V1313" s="30" t="s">
        <v>59</v>
      </c>
      <c r="W1313" s="31">
        <v>46071</v>
      </c>
      <c r="X1313" s="22"/>
      <c r="Y1313" s="19" t="s">
        <v>52</v>
      </c>
      <c r="Z1313" s="19" t="s">
        <v>52</v>
      </c>
      <c r="AA1313" s="19" t="s">
        <v>52</v>
      </c>
      <c r="AB1313" s="42"/>
    </row>
    <row r="1314" spans="1:33" s="29" customFormat="1" ht="15" customHeight="1" x14ac:dyDescent="0.25">
      <c r="A1314" s="14">
        <v>5</v>
      </c>
      <c r="B1314" s="15">
        <v>46077</v>
      </c>
      <c r="C1314" s="15">
        <f t="shared" si="1268"/>
        <v>46085</v>
      </c>
      <c r="D1314" s="14">
        <v>14341</v>
      </c>
      <c r="E1314" s="16" t="s">
        <v>806</v>
      </c>
      <c r="F1314" s="40" t="s">
        <v>790</v>
      </c>
      <c r="G1314" s="17" t="s">
        <v>75</v>
      </c>
      <c r="H1314" s="18" t="s">
        <v>542</v>
      </c>
      <c r="I1314" s="19" t="s">
        <v>1049</v>
      </c>
      <c r="J1314" s="20">
        <v>46037</v>
      </c>
      <c r="K1314" s="20">
        <v>46076</v>
      </c>
      <c r="L1314" s="21">
        <v>75000</v>
      </c>
      <c r="M1314" s="22">
        <f t="shared" si="1269"/>
        <v>57000</v>
      </c>
      <c r="N1314" s="23">
        <v>0</v>
      </c>
      <c r="O1314" s="23">
        <v>57000</v>
      </c>
      <c r="P1314" s="24">
        <f t="shared" si="1270"/>
        <v>75000</v>
      </c>
      <c r="Q1314" s="25">
        <v>0</v>
      </c>
      <c r="R1314" s="26">
        <v>150000</v>
      </c>
      <c r="S1314" s="91">
        <f t="shared" si="1271"/>
        <v>0.5</v>
      </c>
      <c r="T1314" s="91">
        <f t="shared" si="1271"/>
        <v>0</v>
      </c>
      <c r="U1314" s="27" t="s">
        <v>50</v>
      </c>
      <c r="V1314" s="30" t="s">
        <v>59</v>
      </c>
      <c r="W1314" s="31">
        <v>46071</v>
      </c>
      <c r="X1314" s="113" t="s">
        <v>1121</v>
      </c>
      <c r="Y1314" s="19" t="s">
        <v>52</v>
      </c>
      <c r="Z1314" s="19" t="s">
        <v>52</v>
      </c>
      <c r="AA1314" s="19" t="s">
        <v>52</v>
      </c>
      <c r="AB1314" s="28"/>
    </row>
    <row r="1315" spans="1:33" s="29" customFormat="1" ht="15" customHeight="1" x14ac:dyDescent="0.25">
      <c r="A1315" s="14">
        <v>4</v>
      </c>
      <c r="B1315" s="15">
        <v>46077</v>
      </c>
      <c r="C1315" s="15">
        <f t="shared" si="1268"/>
        <v>46085</v>
      </c>
      <c r="D1315" s="14">
        <v>14428</v>
      </c>
      <c r="E1315" s="16" t="s">
        <v>206</v>
      </c>
      <c r="F1315" s="40" t="s">
        <v>207</v>
      </c>
      <c r="G1315" s="17" t="s">
        <v>75</v>
      </c>
      <c r="H1315" s="18" t="s">
        <v>542</v>
      </c>
      <c r="I1315" s="19" t="s">
        <v>1049</v>
      </c>
      <c r="J1315" s="20">
        <v>46048</v>
      </c>
      <c r="K1315" s="20">
        <v>46073</v>
      </c>
      <c r="L1315" s="21">
        <v>675000</v>
      </c>
      <c r="M1315" s="22">
        <f t="shared" si="1269"/>
        <v>642000</v>
      </c>
      <c r="N1315" s="23">
        <v>150000</v>
      </c>
      <c r="O1315" s="23">
        <v>492000</v>
      </c>
      <c r="P1315" s="24">
        <f t="shared" si="1270"/>
        <v>525000</v>
      </c>
      <c r="Q1315" s="25">
        <v>0</v>
      </c>
      <c r="R1315" s="26">
        <v>150000</v>
      </c>
      <c r="S1315" s="91">
        <f t="shared" si="1271"/>
        <v>3.5</v>
      </c>
      <c r="T1315" s="91">
        <f t="shared" si="1271"/>
        <v>0</v>
      </c>
      <c r="U1315" s="27" t="s">
        <v>50</v>
      </c>
      <c r="V1315" s="30" t="s">
        <v>59</v>
      </c>
      <c r="W1315" s="31">
        <v>46071</v>
      </c>
      <c r="X1315" s="113" t="s">
        <v>1121</v>
      </c>
      <c r="Y1315" s="19" t="s">
        <v>52</v>
      </c>
      <c r="Z1315" s="19" t="s">
        <v>52</v>
      </c>
      <c r="AA1315" s="19" t="s">
        <v>52</v>
      </c>
      <c r="AB1315" s="28"/>
    </row>
    <row r="1316" spans="1:33" s="29" customFormat="1" ht="15" customHeight="1" x14ac:dyDescent="0.25">
      <c r="A1316" s="14">
        <v>3</v>
      </c>
      <c r="B1316" s="15">
        <v>46077</v>
      </c>
      <c r="C1316" s="15">
        <f t="shared" si="1268"/>
        <v>46085</v>
      </c>
      <c r="D1316" s="14">
        <v>13624</v>
      </c>
      <c r="E1316" s="16" t="s">
        <v>867</v>
      </c>
      <c r="F1316" s="17" t="s">
        <v>868</v>
      </c>
      <c r="G1316" s="17" t="s">
        <v>102</v>
      </c>
      <c r="H1316" s="18" t="s">
        <v>775</v>
      </c>
      <c r="I1316" s="19" t="s">
        <v>135</v>
      </c>
      <c r="J1316" s="20">
        <v>45919</v>
      </c>
      <c r="K1316" s="20">
        <v>45971</v>
      </c>
      <c r="L1316" s="21">
        <v>60000</v>
      </c>
      <c r="M1316" s="22">
        <f t="shared" si="1269"/>
        <v>71000</v>
      </c>
      <c r="N1316" s="23">
        <v>0</v>
      </c>
      <c r="O1316" s="23">
        <v>71000</v>
      </c>
      <c r="P1316" s="24">
        <f t="shared" si="1270"/>
        <v>60000</v>
      </c>
      <c r="Q1316" s="25">
        <v>71000</v>
      </c>
      <c r="R1316" s="26">
        <v>24000</v>
      </c>
      <c r="S1316" s="91">
        <f t="shared" si="1271"/>
        <v>2.5</v>
      </c>
      <c r="T1316" s="91">
        <f t="shared" si="1271"/>
        <v>2.9583333333333335</v>
      </c>
      <c r="U1316" s="27" t="s">
        <v>56</v>
      </c>
      <c r="V1316" s="30" t="s">
        <v>59</v>
      </c>
      <c r="W1316" s="31">
        <v>46071</v>
      </c>
      <c r="X1316" s="113" t="s">
        <v>1121</v>
      </c>
      <c r="Y1316" s="19" t="s">
        <v>52</v>
      </c>
      <c r="Z1316" s="19" t="s">
        <v>52</v>
      </c>
      <c r="AA1316" s="19" t="s">
        <v>52</v>
      </c>
      <c r="AB1316" s="28"/>
    </row>
    <row r="1317" spans="1:33" s="29" customFormat="1" ht="15" customHeight="1" x14ac:dyDescent="0.25">
      <c r="A1317" s="14">
        <v>7</v>
      </c>
      <c r="B1317" s="15">
        <v>46077</v>
      </c>
      <c r="C1317" s="15">
        <f t="shared" si="1268"/>
        <v>46085</v>
      </c>
      <c r="D1317" s="14">
        <v>13566</v>
      </c>
      <c r="E1317" s="16" t="s">
        <v>835</v>
      </c>
      <c r="F1317" s="17" t="s">
        <v>836</v>
      </c>
      <c r="G1317" s="17" t="s">
        <v>102</v>
      </c>
      <c r="H1317" s="18" t="s">
        <v>54</v>
      </c>
      <c r="I1317" s="19" t="s">
        <v>135</v>
      </c>
      <c r="J1317" s="20">
        <v>45918</v>
      </c>
      <c r="K1317" s="20">
        <v>46048</v>
      </c>
      <c r="L1317" s="21">
        <v>60000</v>
      </c>
      <c r="M1317" s="22">
        <f t="shared" si="1269"/>
        <v>29000</v>
      </c>
      <c r="N1317" s="23">
        <v>0</v>
      </c>
      <c r="O1317" s="23">
        <v>29000</v>
      </c>
      <c r="P1317" s="24">
        <f t="shared" si="1270"/>
        <v>60000</v>
      </c>
      <c r="Q1317" s="25">
        <v>29000</v>
      </c>
      <c r="R1317" s="26">
        <v>24000</v>
      </c>
      <c r="S1317" s="91">
        <f t="shared" si="1271"/>
        <v>2.5</v>
      </c>
      <c r="T1317" s="91">
        <f t="shared" si="1271"/>
        <v>1.2083333333333333</v>
      </c>
      <c r="U1317" s="27" t="s">
        <v>56</v>
      </c>
      <c r="V1317" s="30" t="s">
        <v>59</v>
      </c>
      <c r="W1317" s="31">
        <v>46071</v>
      </c>
      <c r="X1317" s="113" t="s">
        <v>1121</v>
      </c>
      <c r="Y1317" s="19" t="s">
        <v>52</v>
      </c>
      <c r="Z1317" s="19" t="s">
        <v>52</v>
      </c>
      <c r="AA1317" s="19" t="s">
        <v>52</v>
      </c>
      <c r="AB1317" s="28"/>
    </row>
    <row r="1318" spans="1:33" s="29" customFormat="1" ht="15" customHeight="1" x14ac:dyDescent="0.25">
      <c r="A1318" s="14">
        <v>9</v>
      </c>
      <c r="B1318" s="15">
        <v>46077</v>
      </c>
      <c r="C1318" s="15">
        <f t="shared" si="1268"/>
        <v>46085</v>
      </c>
      <c r="D1318" s="14">
        <v>13609</v>
      </c>
      <c r="E1318" s="16" t="s">
        <v>874</v>
      </c>
      <c r="F1318" s="17" t="s">
        <v>875</v>
      </c>
      <c r="G1318" s="17" t="s">
        <v>102</v>
      </c>
      <c r="H1318" s="18" t="s">
        <v>54</v>
      </c>
      <c r="I1318" s="19" t="s">
        <v>135</v>
      </c>
      <c r="J1318" s="20">
        <v>45922</v>
      </c>
      <c r="K1318" s="20">
        <v>46048</v>
      </c>
      <c r="L1318" s="21">
        <v>60000</v>
      </c>
      <c r="M1318" s="22">
        <f t="shared" si="1269"/>
        <v>34000</v>
      </c>
      <c r="N1318" s="23">
        <v>0</v>
      </c>
      <c r="O1318" s="23">
        <v>34000</v>
      </c>
      <c r="P1318" s="24">
        <f t="shared" si="1270"/>
        <v>60000</v>
      </c>
      <c r="Q1318" s="25">
        <v>34000</v>
      </c>
      <c r="R1318" s="26">
        <v>24000</v>
      </c>
      <c r="S1318" s="91">
        <f t="shared" si="1271"/>
        <v>2.5</v>
      </c>
      <c r="T1318" s="91">
        <f t="shared" si="1271"/>
        <v>1.4166666666666667</v>
      </c>
      <c r="U1318" s="27" t="s">
        <v>56</v>
      </c>
      <c r="V1318" s="30" t="s">
        <v>59</v>
      </c>
      <c r="W1318" s="31">
        <v>46071</v>
      </c>
      <c r="X1318" s="113" t="s">
        <v>1121</v>
      </c>
      <c r="Y1318" s="19" t="s">
        <v>52</v>
      </c>
      <c r="Z1318" s="19" t="s">
        <v>52</v>
      </c>
      <c r="AA1318" s="19" t="s">
        <v>52</v>
      </c>
      <c r="AB1318" s="28"/>
    </row>
    <row r="1319" spans="1:33" s="29" customFormat="1" ht="15" customHeight="1" x14ac:dyDescent="0.25">
      <c r="A1319" s="14">
        <v>10</v>
      </c>
      <c r="B1319" s="15">
        <v>46077</v>
      </c>
      <c r="C1319" s="15">
        <f t="shared" si="1268"/>
        <v>46085</v>
      </c>
      <c r="D1319" s="14">
        <v>13626</v>
      </c>
      <c r="E1319" s="16" t="s">
        <v>870</v>
      </c>
      <c r="F1319" s="17" t="s">
        <v>871</v>
      </c>
      <c r="G1319" s="17" t="s">
        <v>102</v>
      </c>
      <c r="H1319" s="18" t="s">
        <v>54</v>
      </c>
      <c r="I1319" s="19" t="s">
        <v>135</v>
      </c>
      <c r="J1319" s="20">
        <v>45922</v>
      </c>
      <c r="K1319" s="20">
        <v>46048</v>
      </c>
      <c r="L1319" s="21">
        <v>60000</v>
      </c>
      <c r="M1319" s="22">
        <f t="shared" si="1269"/>
        <v>38000</v>
      </c>
      <c r="N1319" s="23">
        <v>0</v>
      </c>
      <c r="O1319" s="23">
        <v>38000</v>
      </c>
      <c r="P1319" s="24">
        <f t="shared" si="1270"/>
        <v>60000</v>
      </c>
      <c r="Q1319" s="25">
        <v>38000</v>
      </c>
      <c r="R1319" s="26">
        <v>24000</v>
      </c>
      <c r="S1319" s="91">
        <f t="shared" si="1271"/>
        <v>2.5</v>
      </c>
      <c r="T1319" s="91">
        <f t="shared" si="1271"/>
        <v>1.5833333333333333</v>
      </c>
      <c r="U1319" s="27" t="s">
        <v>56</v>
      </c>
      <c r="V1319" s="30" t="s">
        <v>59</v>
      </c>
      <c r="W1319" s="31">
        <v>46071</v>
      </c>
      <c r="X1319" s="113" t="s">
        <v>1121</v>
      </c>
      <c r="Y1319" s="19" t="s">
        <v>52</v>
      </c>
      <c r="Z1319" s="19" t="s">
        <v>52</v>
      </c>
      <c r="AA1319" s="19" t="s">
        <v>52</v>
      </c>
      <c r="AB1319" s="28"/>
    </row>
    <row r="1320" spans="1:33" s="29" customFormat="1" ht="15" customHeight="1" x14ac:dyDescent="0.25">
      <c r="A1320" s="14">
        <v>19</v>
      </c>
      <c r="B1320" s="15">
        <v>46077</v>
      </c>
      <c r="C1320" s="15">
        <f t="shared" si="1268"/>
        <v>46085</v>
      </c>
      <c r="D1320" s="14">
        <v>14359</v>
      </c>
      <c r="E1320" s="16" t="s">
        <v>109</v>
      </c>
      <c r="F1320" s="17" t="s">
        <v>110</v>
      </c>
      <c r="G1320" s="17" t="s">
        <v>102</v>
      </c>
      <c r="H1320" s="18" t="s">
        <v>57</v>
      </c>
      <c r="I1320" s="19" t="s">
        <v>94</v>
      </c>
      <c r="J1320" s="20">
        <v>46037</v>
      </c>
      <c r="K1320" s="20">
        <v>46092</v>
      </c>
      <c r="L1320" s="21">
        <v>600000</v>
      </c>
      <c r="M1320" s="22">
        <f t="shared" si="1269"/>
        <v>250000</v>
      </c>
      <c r="N1320" s="23">
        <v>200000</v>
      </c>
      <c r="O1320" s="23">
        <v>50000</v>
      </c>
      <c r="P1320" s="24">
        <f t="shared" si="1270"/>
        <v>400000</v>
      </c>
      <c r="Q1320" s="25">
        <v>50000</v>
      </c>
      <c r="R1320" s="26">
        <v>50000</v>
      </c>
      <c r="S1320" s="91">
        <f t="shared" si="1271"/>
        <v>8</v>
      </c>
      <c r="T1320" s="91">
        <f t="shared" si="1271"/>
        <v>1</v>
      </c>
      <c r="U1320" s="27" t="s">
        <v>192</v>
      </c>
      <c r="V1320" s="30" t="s">
        <v>68</v>
      </c>
      <c r="W1320" s="31" t="s">
        <v>68</v>
      </c>
      <c r="X1320" s="113" t="s">
        <v>1121</v>
      </c>
      <c r="Y1320" s="19" t="s">
        <v>52</v>
      </c>
      <c r="Z1320" s="19" t="s">
        <v>52</v>
      </c>
      <c r="AA1320" s="19" t="s">
        <v>52</v>
      </c>
      <c r="AB1320" s="28"/>
    </row>
    <row r="1321" spans="1:33" s="29" customFormat="1" ht="15" customHeight="1" x14ac:dyDescent="0.25">
      <c r="A1321" s="14">
        <v>60</v>
      </c>
      <c r="B1321" s="15">
        <v>46077</v>
      </c>
      <c r="C1321" s="15">
        <f>B1321+8</f>
        <v>46085</v>
      </c>
      <c r="D1321" s="14">
        <v>14441</v>
      </c>
      <c r="E1321" s="16" t="s">
        <v>891</v>
      </c>
      <c r="F1321" s="17" t="s">
        <v>285</v>
      </c>
      <c r="G1321" s="17" t="s">
        <v>102</v>
      </c>
      <c r="H1321" s="18" t="s">
        <v>542</v>
      </c>
      <c r="I1321" s="19" t="s">
        <v>384</v>
      </c>
      <c r="J1321" s="20">
        <v>46049</v>
      </c>
      <c r="K1321" s="20">
        <v>46087</v>
      </c>
      <c r="L1321" s="21">
        <v>100000</v>
      </c>
      <c r="M1321" s="22">
        <f t="shared" si="1269"/>
        <v>100000</v>
      </c>
      <c r="N1321" s="23">
        <v>0</v>
      </c>
      <c r="O1321" s="23">
        <v>100000</v>
      </c>
      <c r="P1321" s="24">
        <f t="shared" si="1270"/>
        <v>100000</v>
      </c>
      <c r="Q1321" s="25">
        <v>0</v>
      </c>
      <c r="R1321" s="26">
        <v>50000</v>
      </c>
      <c r="S1321" s="91">
        <f t="shared" si="1271"/>
        <v>2</v>
      </c>
      <c r="T1321" s="91">
        <f t="shared" si="1271"/>
        <v>0</v>
      </c>
      <c r="U1321" s="27" t="s">
        <v>50</v>
      </c>
      <c r="V1321" s="30" t="s">
        <v>59</v>
      </c>
      <c r="W1321" s="31">
        <v>46071</v>
      </c>
      <c r="X1321" s="22"/>
      <c r="Y1321" s="41" t="s">
        <v>82</v>
      </c>
      <c r="Z1321" s="41" t="s">
        <v>82</v>
      </c>
      <c r="AA1321" s="41" t="s">
        <v>82</v>
      </c>
      <c r="AB1321" s="28"/>
    </row>
    <row r="1322" spans="1:33" s="29" customFormat="1" ht="15" customHeight="1" x14ac:dyDescent="0.25">
      <c r="A1322" s="14">
        <v>12</v>
      </c>
      <c r="B1322" s="15">
        <v>46077</v>
      </c>
      <c r="C1322" s="15">
        <f t="shared" ref="C1322:C1323" si="1272">B1322+8</f>
        <v>46085</v>
      </c>
      <c r="D1322" s="14">
        <v>14422</v>
      </c>
      <c r="E1322" s="16" t="s">
        <v>147</v>
      </c>
      <c r="F1322" s="17" t="s">
        <v>260</v>
      </c>
      <c r="G1322" s="17" t="s">
        <v>132</v>
      </c>
      <c r="H1322" s="18" t="s">
        <v>775</v>
      </c>
      <c r="I1322" s="19" t="s">
        <v>135</v>
      </c>
      <c r="J1322" s="20">
        <v>46045</v>
      </c>
      <c r="K1322" s="20">
        <v>46099</v>
      </c>
      <c r="L1322" s="21">
        <v>105000</v>
      </c>
      <c r="M1322" s="22">
        <f t="shared" si="1269"/>
        <v>130000</v>
      </c>
      <c r="N1322" s="23">
        <v>0</v>
      </c>
      <c r="O1322" s="23">
        <v>130000</v>
      </c>
      <c r="P1322" s="24">
        <f t="shared" si="1270"/>
        <v>105000</v>
      </c>
      <c r="Q1322" s="25">
        <v>130000</v>
      </c>
      <c r="R1322" s="26">
        <v>57660</v>
      </c>
      <c r="S1322" s="91">
        <f t="shared" si="1271"/>
        <v>1.8210197710718001</v>
      </c>
      <c r="T1322" s="91">
        <f t="shared" si="1271"/>
        <v>2.2545959070412764</v>
      </c>
      <c r="U1322" s="27" t="s">
        <v>56</v>
      </c>
      <c r="V1322" s="30" t="s">
        <v>59</v>
      </c>
      <c r="W1322" s="31">
        <v>46071</v>
      </c>
      <c r="X1322" s="22"/>
      <c r="Y1322" s="19" t="s">
        <v>52</v>
      </c>
      <c r="Z1322" s="19" t="s">
        <v>52</v>
      </c>
      <c r="AA1322" s="19" t="s">
        <v>52</v>
      </c>
      <c r="AB1322" s="28"/>
    </row>
    <row r="1323" spans="1:33" s="29" customFormat="1" ht="15" customHeight="1" x14ac:dyDescent="0.25">
      <c r="A1323" s="14">
        <v>2</v>
      </c>
      <c r="B1323" s="15">
        <v>46077</v>
      </c>
      <c r="C1323" s="15">
        <f t="shared" si="1272"/>
        <v>46085</v>
      </c>
      <c r="D1323" s="14">
        <v>14360</v>
      </c>
      <c r="E1323" s="16" t="s">
        <v>73</v>
      </c>
      <c r="F1323" s="40" t="s">
        <v>74</v>
      </c>
      <c r="G1323" s="17" t="s">
        <v>75</v>
      </c>
      <c r="H1323" s="18" t="s">
        <v>542</v>
      </c>
      <c r="I1323" s="19" t="s">
        <v>1049</v>
      </c>
      <c r="J1323" s="20">
        <v>46042</v>
      </c>
      <c r="K1323" s="20">
        <v>46063</v>
      </c>
      <c r="L1323" s="21">
        <v>475000</v>
      </c>
      <c r="M1323" s="22">
        <f t="shared" si="1269"/>
        <v>108000</v>
      </c>
      <c r="N1323" s="23">
        <v>0</v>
      </c>
      <c r="O1323" s="23">
        <v>108000</v>
      </c>
      <c r="P1323" s="24">
        <f t="shared" si="1270"/>
        <v>475000</v>
      </c>
      <c r="Q1323" s="25">
        <v>0</v>
      </c>
      <c r="R1323" s="26">
        <v>36000</v>
      </c>
      <c r="S1323" s="91">
        <f t="shared" si="1271"/>
        <v>13.194444444444445</v>
      </c>
      <c r="T1323" s="91">
        <f t="shared" si="1271"/>
        <v>0</v>
      </c>
      <c r="U1323" s="27" t="s">
        <v>50</v>
      </c>
      <c r="V1323" s="19" t="s">
        <v>51</v>
      </c>
      <c r="W1323" s="20">
        <v>46058</v>
      </c>
      <c r="X1323" s="113" t="s">
        <v>1121</v>
      </c>
      <c r="Y1323" s="19" t="s">
        <v>52</v>
      </c>
      <c r="Z1323" s="19" t="s">
        <v>52</v>
      </c>
      <c r="AA1323" s="19" t="s">
        <v>52</v>
      </c>
      <c r="AB1323" s="28"/>
    </row>
    <row r="1324" spans="1:33" ht="15" customHeight="1" x14ac:dyDescent="0.25">
      <c r="A1324" s="33" t="s">
        <v>71</v>
      </c>
      <c r="B1324" s="34"/>
      <c r="C1324" s="34"/>
      <c r="D1324" s="34"/>
      <c r="E1324" s="34"/>
      <c r="F1324" s="35"/>
      <c r="G1324" s="35"/>
      <c r="H1324" s="34"/>
      <c r="I1324" s="34"/>
      <c r="J1324" s="34"/>
      <c r="K1324" s="34"/>
      <c r="L1324" s="36"/>
      <c r="M1324" s="36"/>
      <c r="N1324" s="36"/>
      <c r="O1324" s="36"/>
      <c r="P1324" s="36"/>
      <c r="Q1324" s="36">
        <f>SUM(Q1313:Q1323)</f>
        <v>352000</v>
      </c>
      <c r="R1324" s="36"/>
      <c r="S1324" s="92"/>
      <c r="T1324" s="93">
        <f>SUM(T1313:T1323)</f>
        <v>10.421262573707944</v>
      </c>
      <c r="U1324" s="37"/>
      <c r="V1324" s="38"/>
      <c r="W1324" s="38"/>
      <c r="X1324" s="38"/>
      <c r="Y1324" s="34"/>
      <c r="Z1324" s="34"/>
      <c r="AA1324" s="39"/>
      <c r="AB1324" s="29" t="s">
        <v>1184</v>
      </c>
      <c r="AD1324" s="83"/>
      <c r="AF1324" s="83">
        <v>0</v>
      </c>
      <c r="AG1324" s="83">
        <f>SUM(AD1324,AF1324)</f>
        <v>0</v>
      </c>
    </row>
  </sheetData>
  <autoFilter ref="D4:I1262" xr:uid="{00000000-0001-0000-0100-000000000000}"/>
  <mergeCells count="12">
    <mergeCell ref="B3:C3"/>
    <mergeCell ref="J3:K3"/>
    <mergeCell ref="AC3:AD3"/>
    <mergeCell ref="AE3:AF3"/>
    <mergeCell ref="B1:E1"/>
    <mergeCell ref="F1:AA1"/>
    <mergeCell ref="AB1:AG1"/>
    <mergeCell ref="B2:C2"/>
    <mergeCell ref="J2:K2"/>
    <mergeCell ref="S2:T2"/>
    <mergeCell ref="AC2:AD2"/>
    <mergeCell ref="AE2:AF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4405A-A4D3-464E-BEC0-B63A0EA8ACBF}">
  <sheetPr>
    <pageSetUpPr fitToPage="1"/>
  </sheetPr>
  <dimension ref="A1:AC576"/>
  <sheetViews>
    <sheetView zoomScale="90" zoomScaleNormal="90" workbookViewId="0">
      <pane ySplit="4" topLeftCell="A559" activePane="bottomLeft" state="frozen"/>
      <selection pane="bottomLeft"/>
    </sheetView>
  </sheetViews>
  <sheetFormatPr baseColWidth="10" defaultColWidth="9.140625" defaultRowHeight="15" x14ac:dyDescent="0.25"/>
  <cols>
    <col min="1" max="1" width="7.5703125" bestFit="1" customWidth="1"/>
    <col min="2" max="3" width="11.28515625" bestFit="1" customWidth="1"/>
    <col min="4" max="4" width="8.5703125" bestFit="1" customWidth="1"/>
    <col min="5" max="5" width="30.42578125" bestFit="1" customWidth="1"/>
    <col min="6" max="6" width="45.5703125" bestFit="1" customWidth="1"/>
    <col min="7" max="7" width="20.140625" bestFit="1" customWidth="1"/>
    <col min="8" max="8" width="15.140625" bestFit="1" customWidth="1"/>
    <col min="9" max="9" width="16.28515625" bestFit="1" customWidth="1"/>
    <col min="10" max="11" width="11.28515625" bestFit="1" customWidth="1"/>
    <col min="12" max="14" width="11.140625" bestFit="1" customWidth="1"/>
    <col min="15" max="15" width="10.85546875" bestFit="1" customWidth="1"/>
    <col min="16" max="16" width="11" bestFit="1" customWidth="1"/>
    <col min="17" max="17" width="9.42578125" bestFit="1" customWidth="1"/>
    <col min="18" max="18" width="9.5703125" bestFit="1" customWidth="1"/>
    <col min="19" max="19" width="11" bestFit="1" customWidth="1"/>
    <col min="20" max="20" width="9.42578125" bestFit="1" customWidth="1"/>
    <col min="21" max="21" width="14.28515625" bestFit="1" customWidth="1"/>
    <col min="22" max="22" width="11.7109375" bestFit="1" customWidth="1"/>
    <col min="23" max="23" width="14.5703125" bestFit="1" customWidth="1"/>
    <col min="24" max="24" width="15.7109375" bestFit="1" customWidth="1"/>
    <col min="25" max="25" width="10.42578125" bestFit="1" customWidth="1"/>
    <col min="26" max="26" width="12.5703125" bestFit="1" customWidth="1"/>
    <col min="27" max="27" width="6.5703125" bestFit="1" customWidth="1"/>
    <col min="28" max="28" width="14.5703125" bestFit="1" customWidth="1"/>
  </cols>
  <sheetData>
    <row r="1" spans="1:29" x14ac:dyDescent="0.25">
      <c r="A1" s="69" t="s">
        <v>0</v>
      </c>
      <c r="B1" s="122">
        <f>Date</f>
        <v>46078</v>
      </c>
      <c r="C1" s="123"/>
      <c r="D1" s="123"/>
      <c r="E1" s="125"/>
      <c r="F1" s="131" t="s">
        <v>454</v>
      </c>
      <c r="G1" s="132"/>
      <c r="H1" s="132"/>
      <c r="I1" s="129"/>
      <c r="J1" s="132"/>
      <c r="K1" s="132"/>
      <c r="L1" s="132"/>
      <c r="M1" s="132"/>
      <c r="N1" s="132"/>
      <c r="O1" s="132"/>
      <c r="P1" s="132"/>
      <c r="Q1" s="129"/>
      <c r="R1" s="132"/>
      <c r="S1" s="132"/>
      <c r="T1" s="132"/>
      <c r="U1" s="132"/>
      <c r="V1" s="132"/>
      <c r="W1" s="132"/>
      <c r="X1" s="132"/>
      <c r="Y1" s="132"/>
      <c r="Z1" s="132"/>
      <c r="AA1" s="133"/>
    </row>
    <row r="2" spans="1:29" x14ac:dyDescent="0.25">
      <c r="A2" s="3"/>
      <c r="B2" s="128" t="s">
        <v>1</v>
      </c>
      <c r="C2" s="130"/>
      <c r="D2" s="3"/>
      <c r="E2" s="3"/>
      <c r="F2" s="3"/>
      <c r="G2" s="3"/>
      <c r="H2" s="4" t="s">
        <v>2</v>
      </c>
      <c r="I2" s="3"/>
      <c r="J2" s="129" t="s">
        <v>1</v>
      </c>
      <c r="K2" s="130"/>
      <c r="L2" s="5" t="s">
        <v>3</v>
      </c>
      <c r="M2" s="5"/>
      <c r="N2" s="3" t="s">
        <v>3</v>
      </c>
      <c r="O2" s="3" t="s">
        <v>3</v>
      </c>
      <c r="P2" s="111" t="s">
        <v>3</v>
      </c>
      <c r="Q2" s="3" t="s">
        <v>3</v>
      </c>
      <c r="R2" s="5" t="s">
        <v>4</v>
      </c>
      <c r="S2" s="128" t="s">
        <v>1149</v>
      </c>
      <c r="T2" s="130"/>
      <c r="U2" s="5" t="s">
        <v>5</v>
      </c>
      <c r="V2" s="3"/>
      <c r="W2" s="3" t="s">
        <v>1</v>
      </c>
      <c r="X2" s="3"/>
      <c r="Y2" s="5" t="s">
        <v>6</v>
      </c>
      <c r="Z2" s="3" t="s">
        <v>7</v>
      </c>
      <c r="AA2" s="3"/>
    </row>
    <row r="3" spans="1:29" x14ac:dyDescent="0.25">
      <c r="A3" s="7"/>
      <c r="B3" s="134" t="s">
        <v>8</v>
      </c>
      <c r="C3" s="136"/>
      <c r="D3" s="7" t="s">
        <v>9</v>
      </c>
      <c r="E3" s="7" t="s">
        <v>10</v>
      </c>
      <c r="F3" s="7" t="s">
        <v>11</v>
      </c>
      <c r="G3" s="7" t="s">
        <v>11</v>
      </c>
      <c r="H3" s="11" t="s">
        <v>12</v>
      </c>
      <c r="I3" s="7"/>
      <c r="J3" s="135" t="s">
        <v>274</v>
      </c>
      <c r="K3" s="136"/>
      <c r="L3" s="10" t="s">
        <v>14</v>
      </c>
      <c r="M3" s="10" t="s">
        <v>3</v>
      </c>
      <c r="N3" s="7" t="s">
        <v>15</v>
      </c>
      <c r="O3" s="7" t="s">
        <v>16</v>
      </c>
      <c r="P3" s="112" t="s">
        <v>1147</v>
      </c>
      <c r="Q3" s="7" t="s">
        <v>1148</v>
      </c>
      <c r="R3" s="11" t="s">
        <v>18</v>
      </c>
      <c r="S3" s="111" t="s">
        <v>1147</v>
      </c>
      <c r="T3" s="3" t="s">
        <v>1148</v>
      </c>
      <c r="U3" s="10" t="s">
        <v>19</v>
      </c>
      <c r="V3" s="7" t="s">
        <v>20</v>
      </c>
      <c r="W3" s="7" t="s">
        <v>21</v>
      </c>
      <c r="X3" s="7"/>
      <c r="Y3" s="10" t="s">
        <v>22</v>
      </c>
      <c r="Z3" s="7" t="s">
        <v>23</v>
      </c>
      <c r="AA3" s="7" t="s">
        <v>24</v>
      </c>
    </row>
    <row r="4" spans="1:29" x14ac:dyDescent="0.25">
      <c r="A4" s="13" t="s">
        <v>25</v>
      </c>
      <c r="B4" s="2" t="s">
        <v>5</v>
      </c>
      <c r="C4" s="2" t="s">
        <v>26</v>
      </c>
      <c r="D4" s="13" t="s">
        <v>2</v>
      </c>
      <c r="E4" s="13" t="s">
        <v>27</v>
      </c>
      <c r="F4" s="13" t="s">
        <v>28</v>
      </c>
      <c r="G4" s="13" t="s">
        <v>29</v>
      </c>
      <c r="H4" s="9" t="s">
        <v>30</v>
      </c>
      <c r="I4" s="13" t="s">
        <v>10</v>
      </c>
      <c r="J4" s="12" t="s">
        <v>31</v>
      </c>
      <c r="K4" s="8" t="s">
        <v>32</v>
      </c>
      <c r="L4" s="13" t="s">
        <v>33</v>
      </c>
      <c r="M4" s="12" t="s">
        <v>34</v>
      </c>
      <c r="N4" s="13" t="s">
        <v>35</v>
      </c>
      <c r="O4" s="13" t="s">
        <v>17</v>
      </c>
      <c r="P4" s="8" t="s">
        <v>1146</v>
      </c>
      <c r="Q4" s="13" t="s">
        <v>1146</v>
      </c>
      <c r="R4" s="9" t="s">
        <v>36</v>
      </c>
      <c r="S4" s="8" t="s">
        <v>1146</v>
      </c>
      <c r="T4" s="13" t="s">
        <v>1146</v>
      </c>
      <c r="U4" s="12" t="s">
        <v>37</v>
      </c>
      <c r="V4" s="13" t="s">
        <v>38</v>
      </c>
      <c r="W4" s="13" t="s">
        <v>39</v>
      </c>
      <c r="X4" s="13" t="s">
        <v>40</v>
      </c>
      <c r="Y4" s="12" t="s">
        <v>41</v>
      </c>
      <c r="Z4" s="13" t="s">
        <v>42</v>
      </c>
      <c r="AA4" s="13" t="s">
        <v>43</v>
      </c>
    </row>
    <row r="5" spans="1:29" s="29" customFormat="1" ht="15" customHeight="1" x14ac:dyDescent="0.25">
      <c r="A5" s="14">
        <v>30</v>
      </c>
      <c r="B5" s="15">
        <v>45716</v>
      </c>
      <c r="C5" s="15">
        <f t="shared" ref="C5:C37" si="0">B5+8</f>
        <v>45724</v>
      </c>
      <c r="D5" s="14">
        <v>12238</v>
      </c>
      <c r="E5" s="16" t="s">
        <v>344</v>
      </c>
      <c r="F5" s="40" t="s">
        <v>345</v>
      </c>
      <c r="G5" s="17" t="s">
        <v>75</v>
      </c>
      <c r="H5" s="18" t="s">
        <v>257</v>
      </c>
      <c r="I5" s="19" t="s">
        <v>302</v>
      </c>
      <c r="J5" s="20">
        <v>45639</v>
      </c>
      <c r="K5" s="20">
        <v>45667</v>
      </c>
      <c r="L5" s="21">
        <v>450000</v>
      </c>
      <c r="M5" s="22">
        <f t="shared" ref="M5:M37" si="1">SUM(N5:O5)</f>
        <v>438000</v>
      </c>
      <c r="N5" s="23">
        <v>438000</v>
      </c>
      <c r="O5" s="23">
        <v>0</v>
      </c>
      <c r="P5" s="24">
        <f t="shared" ref="P5:P37" si="2">L5-N5</f>
        <v>12000</v>
      </c>
      <c r="Q5" s="25">
        <v>0</v>
      </c>
      <c r="R5" s="26">
        <v>150000</v>
      </c>
      <c r="S5" s="91">
        <f t="shared" ref="S5:S58" si="3">IF(P5&gt;0,P5/$R5,0)</f>
        <v>0.08</v>
      </c>
      <c r="T5" s="91">
        <f t="shared" ref="T5:T58" si="4">IF(Q5&gt;0,Q5/$R5,0)</f>
        <v>0</v>
      </c>
      <c r="U5" s="27" t="s">
        <v>50</v>
      </c>
      <c r="V5" s="19" t="s">
        <v>51</v>
      </c>
      <c r="W5" s="20">
        <v>45669</v>
      </c>
      <c r="X5" s="22" t="s">
        <v>251</v>
      </c>
      <c r="Y5" s="19" t="s">
        <v>52</v>
      </c>
      <c r="Z5" s="19" t="s">
        <v>52</v>
      </c>
      <c r="AA5" s="19" t="s">
        <v>52</v>
      </c>
      <c r="AB5" s="28"/>
      <c r="AC5" s="90"/>
    </row>
    <row r="6" spans="1:29" s="29" customFormat="1" ht="15" customHeight="1" x14ac:dyDescent="0.25">
      <c r="A6" s="14">
        <v>4</v>
      </c>
      <c r="B6" s="15">
        <v>45698</v>
      </c>
      <c r="C6" s="15">
        <f t="shared" si="0"/>
        <v>45706</v>
      </c>
      <c r="D6" s="14">
        <v>12212</v>
      </c>
      <c r="E6" s="16" t="s">
        <v>312</v>
      </c>
      <c r="F6" s="17" t="s">
        <v>313</v>
      </c>
      <c r="G6" s="17" t="s">
        <v>102</v>
      </c>
      <c r="H6" s="18" t="s">
        <v>57</v>
      </c>
      <c r="I6" s="19" t="s">
        <v>94</v>
      </c>
      <c r="J6" s="20">
        <v>45637</v>
      </c>
      <c r="K6" s="20">
        <v>45679</v>
      </c>
      <c r="L6" s="21">
        <v>50000</v>
      </c>
      <c r="M6" s="22">
        <f t="shared" si="1"/>
        <v>37000</v>
      </c>
      <c r="N6" s="23">
        <v>37000</v>
      </c>
      <c r="O6" s="23">
        <v>0</v>
      </c>
      <c r="P6" s="24">
        <f t="shared" si="2"/>
        <v>13000</v>
      </c>
      <c r="Q6" s="25">
        <v>0</v>
      </c>
      <c r="R6" s="26">
        <v>50000</v>
      </c>
      <c r="S6" s="91">
        <f t="shared" si="3"/>
        <v>0.26</v>
      </c>
      <c r="T6" s="91">
        <f t="shared" si="4"/>
        <v>0</v>
      </c>
      <c r="U6" s="27" t="s">
        <v>50</v>
      </c>
      <c r="V6" s="19" t="s">
        <v>51</v>
      </c>
      <c r="W6" s="20">
        <v>45658</v>
      </c>
      <c r="X6" s="22" t="s">
        <v>251</v>
      </c>
      <c r="Y6" s="19" t="s">
        <v>52</v>
      </c>
      <c r="Z6" s="19" t="s">
        <v>52</v>
      </c>
      <c r="AA6" s="19" t="s">
        <v>52</v>
      </c>
      <c r="AB6" s="28"/>
    </row>
    <row r="7" spans="1:29" s="29" customFormat="1" ht="15" customHeight="1" x14ac:dyDescent="0.25">
      <c r="A7" s="14">
        <v>1</v>
      </c>
      <c r="B7" s="15">
        <v>45702</v>
      </c>
      <c r="C7" s="15">
        <f t="shared" si="0"/>
        <v>45710</v>
      </c>
      <c r="D7" s="14">
        <v>12372</v>
      </c>
      <c r="E7" s="16" t="s">
        <v>449</v>
      </c>
      <c r="F7" s="40" t="s">
        <v>450</v>
      </c>
      <c r="G7" s="17" t="s">
        <v>75</v>
      </c>
      <c r="H7" s="18" t="s">
        <v>57</v>
      </c>
      <c r="I7" s="19" t="s">
        <v>94</v>
      </c>
      <c r="J7" s="20">
        <v>45665</v>
      </c>
      <c r="K7" s="20" t="s">
        <v>65</v>
      </c>
      <c r="L7" s="21">
        <v>300000</v>
      </c>
      <c r="M7" s="22">
        <f t="shared" si="1"/>
        <v>294000</v>
      </c>
      <c r="N7" s="23">
        <v>294000</v>
      </c>
      <c r="O7" s="23">
        <v>0</v>
      </c>
      <c r="P7" s="24">
        <f t="shared" si="2"/>
        <v>6000</v>
      </c>
      <c r="Q7" s="25">
        <v>0</v>
      </c>
      <c r="R7" s="26">
        <v>144000</v>
      </c>
      <c r="S7" s="91">
        <f t="shared" si="3"/>
        <v>4.1666666666666664E-2</v>
      </c>
      <c r="T7" s="91">
        <f t="shared" si="4"/>
        <v>0</v>
      </c>
      <c r="U7" s="27" t="s">
        <v>50</v>
      </c>
      <c r="V7" s="19" t="s">
        <v>51</v>
      </c>
      <c r="W7" s="20">
        <v>45690</v>
      </c>
      <c r="X7" s="22" t="s">
        <v>251</v>
      </c>
      <c r="Y7" s="19" t="s">
        <v>52</v>
      </c>
      <c r="Z7" s="19" t="s">
        <v>52</v>
      </c>
      <c r="AA7" s="19" t="s">
        <v>52</v>
      </c>
      <c r="AB7" s="28"/>
      <c r="AC7" s="90"/>
    </row>
    <row r="8" spans="1:29" s="29" customFormat="1" ht="15" customHeight="1" x14ac:dyDescent="0.25">
      <c r="A8" s="14">
        <v>36</v>
      </c>
      <c r="B8" s="15">
        <v>45699</v>
      </c>
      <c r="C8" s="15">
        <f t="shared" si="0"/>
        <v>45707</v>
      </c>
      <c r="D8" s="14">
        <v>12189</v>
      </c>
      <c r="E8" s="16" t="s">
        <v>385</v>
      </c>
      <c r="F8" s="40" t="s">
        <v>386</v>
      </c>
      <c r="G8" s="17" t="s">
        <v>75</v>
      </c>
      <c r="H8" s="18" t="s">
        <v>257</v>
      </c>
      <c r="I8" s="19" t="s">
        <v>70</v>
      </c>
      <c r="J8" s="20">
        <v>45632</v>
      </c>
      <c r="K8" s="20">
        <v>45660</v>
      </c>
      <c r="L8" s="21">
        <v>2000000</v>
      </c>
      <c r="M8" s="22">
        <f t="shared" si="1"/>
        <v>1971000</v>
      </c>
      <c r="N8" s="23">
        <v>1971000</v>
      </c>
      <c r="O8" s="23">
        <v>0</v>
      </c>
      <c r="P8" s="24">
        <f t="shared" si="2"/>
        <v>29000</v>
      </c>
      <c r="Q8" s="25">
        <v>0</v>
      </c>
      <c r="R8" s="26">
        <v>150000</v>
      </c>
      <c r="S8" s="91">
        <f t="shared" si="3"/>
        <v>0.19333333333333333</v>
      </c>
      <c r="T8" s="91">
        <f t="shared" si="4"/>
        <v>0</v>
      </c>
      <c r="U8" s="27" t="s">
        <v>50</v>
      </c>
      <c r="V8" s="19" t="s">
        <v>51</v>
      </c>
      <c r="W8" s="20">
        <v>45674</v>
      </c>
      <c r="X8" s="22" t="s">
        <v>251</v>
      </c>
      <c r="Y8" s="19" t="s">
        <v>52</v>
      </c>
      <c r="Z8" s="19" t="s">
        <v>52</v>
      </c>
      <c r="AA8" s="19" t="s">
        <v>52</v>
      </c>
      <c r="AB8" s="28"/>
      <c r="AC8" s="90"/>
    </row>
    <row r="9" spans="1:29" s="29" customFormat="1" ht="15" customHeight="1" x14ac:dyDescent="0.25">
      <c r="A9" s="14">
        <v>1</v>
      </c>
      <c r="B9" s="15">
        <v>45703</v>
      </c>
      <c r="C9" s="15">
        <f t="shared" si="0"/>
        <v>45711</v>
      </c>
      <c r="D9" s="14">
        <v>12172</v>
      </c>
      <c r="E9" s="16" t="s">
        <v>415</v>
      </c>
      <c r="F9" s="17" t="s">
        <v>416</v>
      </c>
      <c r="G9" s="17" t="s">
        <v>132</v>
      </c>
      <c r="H9" s="18" t="s">
        <v>133</v>
      </c>
      <c r="I9" s="19" t="s">
        <v>198</v>
      </c>
      <c r="J9" s="20">
        <v>45631</v>
      </c>
      <c r="K9" s="20">
        <v>45658</v>
      </c>
      <c r="L9" s="21">
        <v>125000</v>
      </c>
      <c r="M9" s="22">
        <f t="shared" si="1"/>
        <v>124000</v>
      </c>
      <c r="N9" s="23">
        <v>124000</v>
      </c>
      <c r="O9" s="23">
        <v>0</v>
      </c>
      <c r="P9" s="24">
        <f t="shared" si="2"/>
        <v>1000</v>
      </c>
      <c r="Q9" s="25">
        <v>0</v>
      </c>
      <c r="R9" s="26">
        <v>128000</v>
      </c>
      <c r="S9" s="91">
        <f t="shared" si="3"/>
        <v>7.8125E-3</v>
      </c>
      <c r="T9" s="91">
        <f t="shared" si="4"/>
        <v>0</v>
      </c>
      <c r="U9" s="27" t="s">
        <v>56</v>
      </c>
      <c r="V9" s="19" t="s">
        <v>59</v>
      </c>
      <c r="W9" s="20">
        <v>45692</v>
      </c>
      <c r="X9" s="22" t="s">
        <v>251</v>
      </c>
      <c r="Y9" s="19" t="s">
        <v>52</v>
      </c>
      <c r="Z9" s="19" t="s">
        <v>52</v>
      </c>
      <c r="AA9" s="19" t="s">
        <v>52</v>
      </c>
      <c r="AB9" s="28"/>
    </row>
    <row r="10" spans="1:29" s="29" customFormat="1" ht="15" customHeight="1" x14ac:dyDescent="0.25">
      <c r="A10" s="14">
        <v>1</v>
      </c>
      <c r="B10" s="15">
        <v>45709</v>
      </c>
      <c r="C10" s="15">
        <f t="shared" si="0"/>
        <v>45717</v>
      </c>
      <c r="D10" s="14">
        <v>12213</v>
      </c>
      <c r="E10" s="84" t="s">
        <v>238</v>
      </c>
      <c r="F10" s="86" t="s">
        <v>239</v>
      </c>
      <c r="G10" s="87" t="s">
        <v>75</v>
      </c>
      <c r="H10" s="88" t="s">
        <v>57</v>
      </c>
      <c r="I10" s="19" t="s">
        <v>94</v>
      </c>
      <c r="J10" s="20">
        <v>45637</v>
      </c>
      <c r="K10" s="20">
        <v>45665</v>
      </c>
      <c r="L10" s="21">
        <v>300000</v>
      </c>
      <c r="M10" s="22">
        <f t="shared" si="1"/>
        <v>396000</v>
      </c>
      <c r="N10" s="23">
        <v>396000</v>
      </c>
      <c r="O10" s="23">
        <v>0</v>
      </c>
      <c r="P10" s="24">
        <f t="shared" si="2"/>
        <v>-96000</v>
      </c>
      <c r="Q10" s="25">
        <v>0</v>
      </c>
      <c r="R10" s="26">
        <v>150000</v>
      </c>
      <c r="S10" s="91">
        <f t="shared" si="3"/>
        <v>0</v>
      </c>
      <c r="T10" s="91">
        <f t="shared" si="4"/>
        <v>0</v>
      </c>
      <c r="U10" s="27" t="s">
        <v>50</v>
      </c>
      <c r="V10" s="19" t="s">
        <v>51</v>
      </c>
      <c r="W10" s="20">
        <v>45393</v>
      </c>
      <c r="X10" s="22" t="s">
        <v>251</v>
      </c>
      <c r="Y10" s="19" t="s">
        <v>52</v>
      </c>
      <c r="Z10" s="19" t="s">
        <v>52</v>
      </c>
      <c r="AA10" s="19" t="s">
        <v>52</v>
      </c>
      <c r="AB10" s="28"/>
      <c r="AC10" s="90"/>
    </row>
    <row r="11" spans="1:29" s="29" customFormat="1" ht="15" customHeight="1" x14ac:dyDescent="0.25">
      <c r="A11" s="14">
        <v>10</v>
      </c>
      <c r="B11" s="15">
        <v>45709</v>
      </c>
      <c r="C11" s="15">
        <f t="shared" si="0"/>
        <v>45717</v>
      </c>
      <c r="D11" s="14">
        <v>12361</v>
      </c>
      <c r="E11" s="16" t="s">
        <v>320</v>
      </c>
      <c r="F11" s="40" t="s">
        <v>321</v>
      </c>
      <c r="G11" s="17" t="s">
        <v>75</v>
      </c>
      <c r="H11" s="18" t="s">
        <v>133</v>
      </c>
      <c r="I11" s="19" t="s">
        <v>198</v>
      </c>
      <c r="J11" s="20">
        <v>45664</v>
      </c>
      <c r="K11" s="20">
        <v>45691</v>
      </c>
      <c r="L11" s="21">
        <v>125000</v>
      </c>
      <c r="M11" s="22">
        <f t="shared" si="1"/>
        <v>142000</v>
      </c>
      <c r="N11" s="23">
        <v>142000</v>
      </c>
      <c r="O11" s="23">
        <v>0</v>
      </c>
      <c r="P11" s="24">
        <f t="shared" si="2"/>
        <v>-17000</v>
      </c>
      <c r="Q11" s="25">
        <v>0</v>
      </c>
      <c r="R11" s="26">
        <v>72000</v>
      </c>
      <c r="S11" s="91">
        <f t="shared" si="3"/>
        <v>0</v>
      </c>
      <c r="T11" s="91">
        <f t="shared" si="4"/>
        <v>0</v>
      </c>
      <c r="U11" s="27" t="s">
        <v>56</v>
      </c>
      <c r="V11" s="19" t="s">
        <v>51</v>
      </c>
      <c r="W11" s="20">
        <v>45702</v>
      </c>
      <c r="X11" s="22" t="s">
        <v>251</v>
      </c>
      <c r="Y11" s="19" t="s">
        <v>52</v>
      </c>
      <c r="Z11" s="19" t="s">
        <v>52</v>
      </c>
      <c r="AA11" s="19" t="s">
        <v>52</v>
      </c>
      <c r="AB11" s="28"/>
      <c r="AC11" s="90"/>
    </row>
    <row r="12" spans="1:29" s="29" customFormat="1" ht="15" customHeight="1" x14ac:dyDescent="0.25">
      <c r="A12" s="14">
        <v>14</v>
      </c>
      <c r="B12" s="15">
        <v>45707</v>
      </c>
      <c r="C12" s="15">
        <f t="shared" si="0"/>
        <v>45715</v>
      </c>
      <c r="D12" s="14">
        <v>12322</v>
      </c>
      <c r="E12" s="16" t="s">
        <v>443</v>
      </c>
      <c r="F12" s="40" t="s">
        <v>444</v>
      </c>
      <c r="G12" s="17" t="s">
        <v>75</v>
      </c>
      <c r="H12" s="18" t="s">
        <v>162</v>
      </c>
      <c r="I12" s="19" t="s">
        <v>421</v>
      </c>
      <c r="J12" s="20">
        <v>45653</v>
      </c>
      <c r="K12" s="20">
        <v>45689</v>
      </c>
      <c r="L12" s="21">
        <v>250000</v>
      </c>
      <c r="M12" s="22">
        <f t="shared" si="1"/>
        <v>242000</v>
      </c>
      <c r="N12" s="23">
        <v>242000</v>
      </c>
      <c r="O12" s="23">
        <v>0</v>
      </c>
      <c r="P12" s="24">
        <f t="shared" si="2"/>
        <v>8000</v>
      </c>
      <c r="Q12" s="25">
        <v>0</v>
      </c>
      <c r="R12" s="26">
        <v>84000</v>
      </c>
      <c r="S12" s="91">
        <f t="shared" si="3"/>
        <v>9.5238095238095233E-2</v>
      </c>
      <c r="T12" s="91">
        <f t="shared" si="4"/>
        <v>0</v>
      </c>
      <c r="U12" s="27" t="s">
        <v>56</v>
      </c>
      <c r="V12" s="19" t="s">
        <v>51</v>
      </c>
      <c r="W12" s="20">
        <v>45698</v>
      </c>
      <c r="X12" s="22" t="s">
        <v>251</v>
      </c>
      <c r="Y12" s="19" t="s">
        <v>52</v>
      </c>
      <c r="Z12" s="19" t="s">
        <v>52</v>
      </c>
      <c r="AA12" s="19" t="s">
        <v>52</v>
      </c>
      <c r="AB12" s="28"/>
    </row>
    <row r="13" spans="1:29" s="29" customFormat="1" ht="15" customHeight="1" x14ac:dyDescent="0.25">
      <c r="A13" s="14">
        <v>19</v>
      </c>
      <c r="B13" s="15">
        <v>45709</v>
      </c>
      <c r="C13" s="15">
        <f t="shared" si="0"/>
        <v>45717</v>
      </c>
      <c r="D13" s="14">
        <v>12207</v>
      </c>
      <c r="E13" s="16" t="s">
        <v>425</v>
      </c>
      <c r="F13" s="40" t="s">
        <v>426</v>
      </c>
      <c r="G13" s="17" t="s">
        <v>75</v>
      </c>
      <c r="H13" s="18" t="s">
        <v>57</v>
      </c>
      <c r="I13" s="19" t="s">
        <v>58</v>
      </c>
      <c r="J13" s="20">
        <v>45637</v>
      </c>
      <c r="K13" s="20">
        <v>45660</v>
      </c>
      <c r="L13" s="21">
        <v>200000</v>
      </c>
      <c r="M13" s="22">
        <f t="shared" si="1"/>
        <v>183000</v>
      </c>
      <c r="N13" s="23">
        <v>183000</v>
      </c>
      <c r="O13" s="23">
        <v>0</v>
      </c>
      <c r="P13" s="24">
        <f t="shared" si="2"/>
        <v>17000</v>
      </c>
      <c r="Q13" s="25">
        <v>0</v>
      </c>
      <c r="R13" s="26">
        <v>150000</v>
      </c>
      <c r="S13" s="91">
        <f t="shared" si="3"/>
        <v>0.11333333333333333</v>
      </c>
      <c r="T13" s="91">
        <f t="shared" si="4"/>
        <v>0</v>
      </c>
      <c r="U13" s="27" t="s">
        <v>50</v>
      </c>
      <c r="V13" s="19" t="s">
        <v>51</v>
      </c>
      <c r="W13" s="20">
        <v>45673</v>
      </c>
      <c r="X13" s="22" t="s">
        <v>251</v>
      </c>
      <c r="Y13" s="19" t="s">
        <v>52</v>
      </c>
      <c r="Z13" s="19" t="s">
        <v>52</v>
      </c>
      <c r="AA13" s="19" t="s">
        <v>52</v>
      </c>
      <c r="AB13" s="28"/>
      <c r="AC13" s="90"/>
    </row>
    <row r="14" spans="1:29" s="29" customFormat="1" ht="15" customHeight="1" x14ac:dyDescent="0.25">
      <c r="A14" s="14">
        <v>22</v>
      </c>
      <c r="B14" s="15">
        <v>45707</v>
      </c>
      <c r="C14" s="15">
        <f t="shared" si="0"/>
        <v>45715</v>
      </c>
      <c r="D14" s="14">
        <v>12261</v>
      </c>
      <c r="E14" s="16" t="s">
        <v>363</v>
      </c>
      <c r="F14" s="40" t="s">
        <v>364</v>
      </c>
      <c r="G14" s="17" t="s">
        <v>75</v>
      </c>
      <c r="H14" s="18" t="s">
        <v>133</v>
      </c>
      <c r="I14" s="19" t="s">
        <v>198</v>
      </c>
      <c r="J14" s="20">
        <v>45644</v>
      </c>
      <c r="K14" s="20">
        <v>45693</v>
      </c>
      <c r="L14" s="21">
        <v>100000</v>
      </c>
      <c r="M14" s="22">
        <f t="shared" si="1"/>
        <v>116000</v>
      </c>
      <c r="N14" s="23">
        <v>116000</v>
      </c>
      <c r="O14" s="23">
        <v>0</v>
      </c>
      <c r="P14" s="24">
        <f t="shared" si="2"/>
        <v>-16000</v>
      </c>
      <c r="Q14" s="25">
        <v>0</v>
      </c>
      <c r="R14" s="26">
        <v>60000</v>
      </c>
      <c r="S14" s="91">
        <f t="shared" si="3"/>
        <v>0</v>
      </c>
      <c r="T14" s="91">
        <f t="shared" si="4"/>
        <v>0</v>
      </c>
      <c r="U14" s="27" t="s">
        <v>56</v>
      </c>
      <c r="V14" s="19" t="s">
        <v>51</v>
      </c>
      <c r="W14" s="20">
        <v>45702</v>
      </c>
      <c r="X14" s="22" t="s">
        <v>251</v>
      </c>
      <c r="Y14" s="19" t="s">
        <v>52</v>
      </c>
      <c r="Z14" s="19" t="s">
        <v>52</v>
      </c>
      <c r="AA14" s="19" t="s">
        <v>52</v>
      </c>
      <c r="AB14" s="28"/>
      <c r="AC14" s="90"/>
    </row>
    <row r="15" spans="1:29" s="29" customFormat="1" ht="15" customHeight="1" x14ac:dyDescent="0.25">
      <c r="A15" s="14">
        <v>28</v>
      </c>
      <c r="B15" s="15">
        <v>45709</v>
      </c>
      <c r="C15" s="15">
        <f t="shared" si="0"/>
        <v>45717</v>
      </c>
      <c r="D15" s="14">
        <v>12302</v>
      </c>
      <c r="E15" s="16" t="s">
        <v>436</v>
      </c>
      <c r="F15" s="40" t="s">
        <v>437</v>
      </c>
      <c r="G15" s="17" t="s">
        <v>75</v>
      </c>
      <c r="H15" s="18" t="s">
        <v>57</v>
      </c>
      <c r="I15" s="19" t="s">
        <v>64</v>
      </c>
      <c r="J15" s="20">
        <v>45649</v>
      </c>
      <c r="K15" s="20">
        <v>45660</v>
      </c>
      <c r="L15" s="21">
        <v>450000</v>
      </c>
      <c r="M15" s="22">
        <f t="shared" si="1"/>
        <v>435000</v>
      </c>
      <c r="N15" s="23">
        <v>435000</v>
      </c>
      <c r="O15" s="23">
        <v>0</v>
      </c>
      <c r="P15" s="24">
        <f t="shared" si="2"/>
        <v>15000</v>
      </c>
      <c r="Q15" s="25">
        <v>0</v>
      </c>
      <c r="R15" s="26">
        <v>150000</v>
      </c>
      <c r="S15" s="91">
        <f t="shared" si="3"/>
        <v>0.1</v>
      </c>
      <c r="T15" s="91">
        <f t="shared" si="4"/>
        <v>0</v>
      </c>
      <c r="U15" s="27" t="s">
        <v>50</v>
      </c>
      <c r="V15" s="19" t="s">
        <v>51</v>
      </c>
      <c r="W15" s="20">
        <v>45672</v>
      </c>
      <c r="X15" s="22" t="s">
        <v>251</v>
      </c>
      <c r="Y15" s="19" t="s">
        <v>52</v>
      </c>
      <c r="Z15" s="19" t="s">
        <v>52</v>
      </c>
      <c r="AA15" s="19" t="s">
        <v>52</v>
      </c>
      <c r="AB15" s="28"/>
      <c r="AC15" s="90"/>
    </row>
    <row r="16" spans="1:29" s="29" customFormat="1" ht="15" customHeight="1" x14ac:dyDescent="0.25">
      <c r="A16" s="14">
        <v>31</v>
      </c>
      <c r="B16" s="15">
        <v>45706</v>
      </c>
      <c r="C16" s="15">
        <f t="shared" si="0"/>
        <v>45714</v>
      </c>
      <c r="D16" s="14">
        <v>12231</v>
      </c>
      <c r="E16" s="16" t="s">
        <v>427</v>
      </c>
      <c r="F16" s="40" t="s">
        <v>91</v>
      </c>
      <c r="G16" s="17" t="s">
        <v>75</v>
      </c>
      <c r="H16" s="18" t="s">
        <v>57</v>
      </c>
      <c r="I16" s="19" t="s">
        <v>58</v>
      </c>
      <c r="J16" s="20">
        <v>45638</v>
      </c>
      <c r="K16" s="20">
        <v>45665</v>
      </c>
      <c r="L16" s="21">
        <v>300000</v>
      </c>
      <c r="M16" s="22">
        <f t="shared" si="1"/>
        <v>255000</v>
      </c>
      <c r="N16" s="23">
        <v>255000</v>
      </c>
      <c r="O16" s="23">
        <v>0</v>
      </c>
      <c r="P16" s="24">
        <f t="shared" si="2"/>
        <v>45000</v>
      </c>
      <c r="Q16" s="25">
        <v>0</v>
      </c>
      <c r="R16" s="26">
        <v>144000</v>
      </c>
      <c r="S16" s="91">
        <f t="shared" si="3"/>
        <v>0.3125</v>
      </c>
      <c r="T16" s="91">
        <f t="shared" si="4"/>
        <v>0</v>
      </c>
      <c r="U16" s="27" t="s">
        <v>50</v>
      </c>
      <c r="V16" s="19" t="s">
        <v>51</v>
      </c>
      <c r="W16" s="20">
        <v>45678</v>
      </c>
      <c r="X16" s="22" t="s">
        <v>251</v>
      </c>
      <c r="Y16" s="19" t="s">
        <v>52</v>
      </c>
      <c r="Z16" s="19" t="s">
        <v>52</v>
      </c>
      <c r="AA16" s="19" t="s">
        <v>52</v>
      </c>
      <c r="AB16" s="28"/>
      <c r="AC16" s="90"/>
    </row>
    <row r="17" spans="1:29" s="29" customFormat="1" ht="15" customHeight="1" x14ac:dyDescent="0.25">
      <c r="A17" s="14">
        <v>47</v>
      </c>
      <c r="B17" s="15">
        <v>45699</v>
      </c>
      <c r="C17" s="15">
        <f t="shared" si="0"/>
        <v>45707</v>
      </c>
      <c r="D17" s="14">
        <v>12209</v>
      </c>
      <c r="E17" s="16" t="s">
        <v>423</v>
      </c>
      <c r="F17" s="40" t="s">
        <v>424</v>
      </c>
      <c r="G17" s="17" t="s">
        <v>75</v>
      </c>
      <c r="H17" s="18" t="s">
        <v>78</v>
      </c>
      <c r="I17" s="19" t="s">
        <v>79</v>
      </c>
      <c r="J17" s="20">
        <v>45637</v>
      </c>
      <c r="K17" s="20">
        <v>45671</v>
      </c>
      <c r="L17" s="21">
        <v>200000</v>
      </c>
      <c r="M17" s="22">
        <f t="shared" si="1"/>
        <v>204000</v>
      </c>
      <c r="N17" s="23">
        <v>204000</v>
      </c>
      <c r="O17" s="23">
        <v>0</v>
      </c>
      <c r="P17" s="24">
        <f t="shared" si="2"/>
        <v>-4000</v>
      </c>
      <c r="Q17" s="25">
        <v>0</v>
      </c>
      <c r="R17" s="26">
        <v>72000</v>
      </c>
      <c r="S17" s="91">
        <f t="shared" si="3"/>
        <v>0</v>
      </c>
      <c r="T17" s="91">
        <f t="shared" si="4"/>
        <v>0</v>
      </c>
      <c r="U17" s="27" t="s">
        <v>56</v>
      </c>
      <c r="V17" s="19" t="s">
        <v>51</v>
      </c>
      <c r="W17" s="20">
        <v>45685</v>
      </c>
      <c r="X17" s="22" t="s">
        <v>251</v>
      </c>
      <c r="Y17" s="19" t="s">
        <v>52</v>
      </c>
      <c r="Z17" s="19" t="s">
        <v>52</v>
      </c>
      <c r="AA17" s="19" t="s">
        <v>52</v>
      </c>
      <c r="AB17" s="28"/>
      <c r="AC17" s="90"/>
    </row>
    <row r="18" spans="1:29" s="29" customFormat="1" ht="15" customHeight="1" x14ac:dyDescent="0.25">
      <c r="A18" s="14">
        <v>5</v>
      </c>
      <c r="B18" s="15">
        <v>45706</v>
      </c>
      <c r="C18" s="15">
        <f t="shared" si="0"/>
        <v>45714</v>
      </c>
      <c r="D18" s="14">
        <v>12316</v>
      </c>
      <c r="E18" s="16" t="s">
        <v>121</v>
      </c>
      <c r="F18" s="17" t="s">
        <v>122</v>
      </c>
      <c r="G18" s="17" t="s">
        <v>102</v>
      </c>
      <c r="H18" s="18" t="s">
        <v>440</v>
      </c>
      <c r="I18" s="19" t="s">
        <v>70</v>
      </c>
      <c r="J18" s="20">
        <v>45650</v>
      </c>
      <c r="K18" s="20">
        <v>45678</v>
      </c>
      <c r="L18" s="21">
        <v>350000</v>
      </c>
      <c r="M18" s="22">
        <f t="shared" si="1"/>
        <v>246000</v>
      </c>
      <c r="N18" s="23">
        <v>246000</v>
      </c>
      <c r="O18" s="23">
        <v>0</v>
      </c>
      <c r="P18" s="24">
        <f t="shared" si="2"/>
        <v>104000</v>
      </c>
      <c r="Q18" s="25">
        <v>0</v>
      </c>
      <c r="R18" s="26">
        <v>50000</v>
      </c>
      <c r="S18" s="91">
        <f t="shared" si="3"/>
        <v>2.08</v>
      </c>
      <c r="T18" s="91">
        <f t="shared" si="4"/>
        <v>0</v>
      </c>
      <c r="U18" s="27" t="s">
        <v>50</v>
      </c>
      <c r="V18" s="19" t="s">
        <v>51</v>
      </c>
      <c r="W18" s="20">
        <v>45668</v>
      </c>
      <c r="X18" s="22" t="s">
        <v>251</v>
      </c>
      <c r="Y18" s="19" t="s">
        <v>52</v>
      </c>
      <c r="Z18" s="19" t="s">
        <v>52</v>
      </c>
      <c r="AA18" s="19" t="s">
        <v>52</v>
      </c>
      <c r="AB18" s="28"/>
    </row>
    <row r="19" spans="1:29" s="29" customFormat="1" ht="15" customHeight="1" x14ac:dyDescent="0.25">
      <c r="A19" s="14">
        <v>14</v>
      </c>
      <c r="B19" s="15">
        <v>45702</v>
      </c>
      <c r="C19" s="15">
        <f t="shared" si="0"/>
        <v>45710</v>
      </c>
      <c r="D19" s="14">
        <v>12327</v>
      </c>
      <c r="E19" s="16" t="s">
        <v>125</v>
      </c>
      <c r="F19" s="17" t="s">
        <v>126</v>
      </c>
      <c r="G19" s="17" t="s">
        <v>102</v>
      </c>
      <c r="H19" s="18" t="s">
        <v>57</v>
      </c>
      <c r="I19" s="19" t="s">
        <v>94</v>
      </c>
      <c r="J19" s="20">
        <v>45656</v>
      </c>
      <c r="K19" s="20" t="s">
        <v>65</v>
      </c>
      <c r="L19" s="21">
        <v>150000</v>
      </c>
      <c r="M19" s="22">
        <f t="shared" si="1"/>
        <v>150000</v>
      </c>
      <c r="N19" s="23">
        <v>150000</v>
      </c>
      <c r="O19" s="23">
        <v>0</v>
      </c>
      <c r="P19" s="24">
        <f t="shared" si="2"/>
        <v>0</v>
      </c>
      <c r="Q19" s="25">
        <v>0</v>
      </c>
      <c r="R19" s="26">
        <v>50000</v>
      </c>
      <c r="S19" s="91">
        <f t="shared" si="3"/>
        <v>0</v>
      </c>
      <c r="T19" s="91">
        <f t="shared" si="4"/>
        <v>0</v>
      </c>
      <c r="U19" s="27" t="s">
        <v>50</v>
      </c>
      <c r="V19" s="19" t="s">
        <v>51</v>
      </c>
      <c r="W19" s="20">
        <v>45695</v>
      </c>
      <c r="X19" s="22" t="s">
        <v>251</v>
      </c>
      <c r="Y19" s="19" t="s">
        <v>52</v>
      </c>
      <c r="Z19" s="19" t="s">
        <v>52</v>
      </c>
      <c r="AA19" s="19" t="s">
        <v>52</v>
      </c>
      <c r="AB19" s="28"/>
    </row>
    <row r="20" spans="1:29" s="29" customFormat="1" ht="15" customHeight="1" x14ac:dyDescent="0.25">
      <c r="A20" s="14">
        <v>2</v>
      </c>
      <c r="B20" s="15">
        <v>45707</v>
      </c>
      <c r="C20" s="15">
        <f t="shared" si="0"/>
        <v>45715</v>
      </c>
      <c r="D20" s="14">
        <v>12157</v>
      </c>
      <c r="E20" s="16" t="s">
        <v>316</v>
      </c>
      <c r="F20" s="17" t="s">
        <v>412</v>
      </c>
      <c r="G20" s="17" t="s">
        <v>132</v>
      </c>
      <c r="H20" s="18" t="s">
        <v>133</v>
      </c>
      <c r="I20" s="19" t="s">
        <v>198</v>
      </c>
      <c r="J20" s="20">
        <v>45629</v>
      </c>
      <c r="K20" s="20">
        <v>45670</v>
      </c>
      <c r="L20" s="21">
        <v>2000000</v>
      </c>
      <c r="M20" s="22">
        <f t="shared" si="1"/>
        <v>1890698</v>
      </c>
      <c r="N20" s="23">
        <v>1890698</v>
      </c>
      <c r="O20" s="23">
        <v>0</v>
      </c>
      <c r="P20" s="24">
        <f t="shared" si="2"/>
        <v>109302</v>
      </c>
      <c r="Q20" s="25">
        <v>0</v>
      </c>
      <c r="R20" s="26">
        <v>128000</v>
      </c>
      <c r="S20" s="91">
        <f t="shared" si="3"/>
        <v>0.85392187500000005</v>
      </c>
      <c r="T20" s="91">
        <f t="shared" si="4"/>
        <v>0</v>
      </c>
      <c r="U20" s="27" t="s">
        <v>56</v>
      </c>
      <c r="V20" s="19" t="s">
        <v>51</v>
      </c>
      <c r="W20" s="20">
        <v>45692</v>
      </c>
      <c r="X20" s="22" t="s">
        <v>251</v>
      </c>
      <c r="Y20" s="19" t="s">
        <v>52</v>
      </c>
      <c r="Z20" s="19" t="s">
        <v>52</v>
      </c>
      <c r="AA20" s="19" t="s">
        <v>52</v>
      </c>
      <c r="AB20" s="28"/>
    </row>
    <row r="21" spans="1:29" s="29" customFormat="1" ht="15" customHeight="1" x14ac:dyDescent="0.25">
      <c r="A21" s="14">
        <v>10</v>
      </c>
      <c r="B21" s="15">
        <v>45707</v>
      </c>
      <c r="C21" s="15">
        <f t="shared" si="0"/>
        <v>45715</v>
      </c>
      <c r="D21" s="14">
        <v>12398</v>
      </c>
      <c r="E21" s="16" t="s">
        <v>143</v>
      </c>
      <c r="F21" s="17" t="s">
        <v>144</v>
      </c>
      <c r="G21" s="17" t="s">
        <v>132</v>
      </c>
      <c r="H21" s="18" t="s">
        <v>54</v>
      </c>
      <c r="I21" s="19" t="s">
        <v>135</v>
      </c>
      <c r="J21" s="20">
        <v>45672</v>
      </c>
      <c r="K21" s="20">
        <v>45716</v>
      </c>
      <c r="L21" s="21">
        <v>132000</v>
      </c>
      <c r="M21" s="22">
        <f t="shared" si="1"/>
        <v>171686</v>
      </c>
      <c r="N21" s="23">
        <v>171686</v>
      </c>
      <c r="O21" s="23"/>
      <c r="P21" s="24">
        <f t="shared" si="2"/>
        <v>-39686</v>
      </c>
      <c r="Q21" s="25">
        <v>0</v>
      </c>
      <c r="R21" s="26">
        <v>175500</v>
      </c>
      <c r="S21" s="91">
        <f t="shared" si="3"/>
        <v>0</v>
      </c>
      <c r="T21" s="91">
        <f t="shared" si="4"/>
        <v>0</v>
      </c>
      <c r="U21" s="27" t="s">
        <v>56</v>
      </c>
      <c r="V21" s="19" t="s">
        <v>51</v>
      </c>
      <c r="W21" s="20">
        <v>45700</v>
      </c>
      <c r="X21" s="22" t="s">
        <v>251</v>
      </c>
      <c r="Y21" s="19" t="s">
        <v>52</v>
      </c>
      <c r="Z21" s="19" t="s">
        <v>52</v>
      </c>
      <c r="AA21" s="19" t="s">
        <v>52</v>
      </c>
      <c r="AB21" s="28"/>
    </row>
    <row r="22" spans="1:29" s="29" customFormat="1" ht="15" customHeight="1" x14ac:dyDescent="0.25">
      <c r="A22" s="14">
        <v>19</v>
      </c>
      <c r="B22" s="15">
        <v>45709</v>
      </c>
      <c r="C22" s="15">
        <f t="shared" si="0"/>
        <v>45717</v>
      </c>
      <c r="D22" s="14">
        <v>12472</v>
      </c>
      <c r="E22" s="16" t="s">
        <v>299</v>
      </c>
      <c r="F22" s="17" t="s">
        <v>373</v>
      </c>
      <c r="G22" s="17" t="s">
        <v>132</v>
      </c>
      <c r="H22" s="18" t="s">
        <v>133</v>
      </c>
      <c r="I22" s="19" t="s">
        <v>198</v>
      </c>
      <c r="J22" s="20">
        <v>45686</v>
      </c>
      <c r="K22" s="20">
        <v>45740</v>
      </c>
      <c r="L22" s="21">
        <v>200000</v>
      </c>
      <c r="M22" s="22">
        <f t="shared" si="1"/>
        <v>204000</v>
      </c>
      <c r="N22" s="23">
        <v>204000</v>
      </c>
      <c r="O22" s="23">
        <v>0</v>
      </c>
      <c r="P22" s="24">
        <f t="shared" si="2"/>
        <v>-4000</v>
      </c>
      <c r="Q22" s="25">
        <v>0</v>
      </c>
      <c r="R22" s="26">
        <v>128000</v>
      </c>
      <c r="S22" s="91">
        <f t="shared" si="3"/>
        <v>0</v>
      </c>
      <c r="T22" s="91">
        <f t="shared" si="4"/>
        <v>0</v>
      </c>
      <c r="U22" s="27" t="s">
        <v>56</v>
      </c>
      <c r="V22" s="19" t="s">
        <v>51</v>
      </c>
      <c r="W22" s="20">
        <v>45705</v>
      </c>
      <c r="X22" s="22" t="s">
        <v>251</v>
      </c>
      <c r="Y22" s="19" t="s">
        <v>52</v>
      </c>
      <c r="Z22" s="19" t="s">
        <v>52</v>
      </c>
      <c r="AA22" s="19" t="s">
        <v>52</v>
      </c>
      <c r="AB22" s="28"/>
    </row>
    <row r="23" spans="1:29" s="29" customFormat="1" ht="15" customHeight="1" x14ac:dyDescent="0.25">
      <c r="A23" s="14">
        <v>1</v>
      </c>
      <c r="B23" s="15">
        <v>45723</v>
      </c>
      <c r="C23" s="15">
        <f t="shared" si="0"/>
        <v>45731</v>
      </c>
      <c r="D23" s="14">
        <v>12412</v>
      </c>
      <c r="E23" s="16" t="s">
        <v>210</v>
      </c>
      <c r="F23" s="17" t="s">
        <v>211</v>
      </c>
      <c r="G23" s="17" t="s">
        <v>47</v>
      </c>
      <c r="H23" s="18" t="s">
        <v>57</v>
      </c>
      <c r="I23" s="19" t="s">
        <v>58</v>
      </c>
      <c r="J23" s="20">
        <v>45671</v>
      </c>
      <c r="K23" s="20" t="s">
        <v>65</v>
      </c>
      <c r="L23" s="21">
        <v>350000</v>
      </c>
      <c r="M23" s="22">
        <f t="shared" si="1"/>
        <v>232000</v>
      </c>
      <c r="N23" s="23">
        <v>232000</v>
      </c>
      <c r="O23" s="23">
        <v>0</v>
      </c>
      <c r="P23" s="24">
        <f t="shared" si="2"/>
        <v>118000</v>
      </c>
      <c r="Q23" s="25">
        <v>0</v>
      </c>
      <c r="R23" s="26">
        <v>50000</v>
      </c>
      <c r="S23" s="91">
        <f t="shared" si="3"/>
        <v>2.36</v>
      </c>
      <c r="T23" s="91">
        <f t="shared" si="4"/>
        <v>0</v>
      </c>
      <c r="U23" s="27" t="s">
        <v>50</v>
      </c>
      <c r="V23" s="19" t="s">
        <v>51</v>
      </c>
      <c r="W23" s="20">
        <v>45688</v>
      </c>
      <c r="X23" s="22" t="s">
        <v>251</v>
      </c>
      <c r="Y23" s="19" t="s">
        <v>52</v>
      </c>
      <c r="Z23" s="19" t="s">
        <v>52</v>
      </c>
      <c r="AA23" s="19" t="s">
        <v>52</v>
      </c>
      <c r="AB23" s="28"/>
    </row>
    <row r="24" spans="1:29" s="29" customFormat="1" ht="15" customHeight="1" x14ac:dyDescent="0.25">
      <c r="A24" s="14">
        <v>11</v>
      </c>
      <c r="B24" s="15">
        <v>45713</v>
      </c>
      <c r="C24" s="15">
        <f t="shared" si="0"/>
        <v>45721</v>
      </c>
      <c r="D24" s="14">
        <v>12458</v>
      </c>
      <c r="E24" s="16" t="s">
        <v>466</v>
      </c>
      <c r="F24" s="17" t="s">
        <v>467</v>
      </c>
      <c r="G24" s="17" t="s">
        <v>102</v>
      </c>
      <c r="H24" s="18" t="s">
        <v>57</v>
      </c>
      <c r="I24" s="19" t="s">
        <v>58</v>
      </c>
      <c r="J24" s="20">
        <v>45685</v>
      </c>
      <c r="K24" s="20">
        <v>45702</v>
      </c>
      <c r="L24" s="21">
        <v>500000</v>
      </c>
      <c r="M24" s="22">
        <f t="shared" si="1"/>
        <v>485000</v>
      </c>
      <c r="N24" s="23">
        <v>485000</v>
      </c>
      <c r="O24" s="23">
        <v>0</v>
      </c>
      <c r="P24" s="24">
        <f t="shared" si="2"/>
        <v>15000</v>
      </c>
      <c r="Q24" s="25">
        <v>0</v>
      </c>
      <c r="R24" s="26">
        <v>50000</v>
      </c>
      <c r="S24" s="91">
        <f t="shared" si="3"/>
        <v>0.3</v>
      </c>
      <c r="T24" s="91">
        <f t="shared" si="4"/>
        <v>0</v>
      </c>
      <c r="U24" s="27" t="s">
        <v>50</v>
      </c>
      <c r="V24" s="19" t="s">
        <v>51</v>
      </c>
      <c r="W24" s="20">
        <v>45696</v>
      </c>
      <c r="X24" s="22" t="s">
        <v>251</v>
      </c>
      <c r="Y24" s="19" t="s">
        <v>52</v>
      </c>
      <c r="Z24" s="19" t="s">
        <v>52</v>
      </c>
      <c r="AA24" s="19" t="s">
        <v>52</v>
      </c>
      <c r="AB24" s="28"/>
    </row>
    <row r="25" spans="1:29" s="29" customFormat="1" ht="15" customHeight="1" x14ac:dyDescent="0.25">
      <c r="A25" s="14">
        <v>7</v>
      </c>
      <c r="B25" s="15">
        <v>45713</v>
      </c>
      <c r="C25" s="15">
        <f t="shared" si="0"/>
        <v>45721</v>
      </c>
      <c r="D25" s="14">
        <v>12177</v>
      </c>
      <c r="E25" s="84" t="s">
        <v>367</v>
      </c>
      <c r="F25" s="86" t="s">
        <v>368</v>
      </c>
      <c r="G25" s="87" t="s">
        <v>75</v>
      </c>
      <c r="H25" s="88" t="s">
        <v>133</v>
      </c>
      <c r="I25" s="19" t="s">
        <v>198</v>
      </c>
      <c r="J25" s="20">
        <v>45631</v>
      </c>
      <c r="K25" s="20">
        <v>45672</v>
      </c>
      <c r="L25" s="21">
        <v>100000</v>
      </c>
      <c r="M25" s="22">
        <f t="shared" si="1"/>
        <v>100000</v>
      </c>
      <c r="N25" s="23">
        <v>100000</v>
      </c>
      <c r="O25" s="23">
        <v>0</v>
      </c>
      <c r="P25" s="24">
        <f t="shared" si="2"/>
        <v>0</v>
      </c>
      <c r="Q25" s="25">
        <v>0</v>
      </c>
      <c r="R25" s="26">
        <v>60000</v>
      </c>
      <c r="S25" s="91">
        <f t="shared" si="3"/>
        <v>0</v>
      </c>
      <c r="T25" s="91">
        <f t="shared" si="4"/>
        <v>0</v>
      </c>
      <c r="U25" s="27" t="s">
        <v>56</v>
      </c>
      <c r="V25" s="19" t="s">
        <v>51</v>
      </c>
      <c r="W25" s="20">
        <v>45682</v>
      </c>
      <c r="X25" s="22" t="s">
        <v>251</v>
      </c>
      <c r="Y25" s="19" t="s">
        <v>52</v>
      </c>
      <c r="Z25" s="19" t="s">
        <v>52</v>
      </c>
      <c r="AA25" s="19" t="s">
        <v>52</v>
      </c>
      <c r="AB25" s="28"/>
      <c r="AC25" s="90"/>
    </row>
    <row r="26" spans="1:29" s="29" customFormat="1" ht="15" customHeight="1" x14ac:dyDescent="0.25">
      <c r="A26" s="14">
        <v>12</v>
      </c>
      <c r="B26" s="15">
        <v>45716</v>
      </c>
      <c r="C26" s="15">
        <f t="shared" si="0"/>
        <v>45724</v>
      </c>
      <c r="D26" s="14">
        <v>12459</v>
      </c>
      <c r="E26" s="16" t="s">
        <v>462</v>
      </c>
      <c r="F26" s="40" t="s">
        <v>463</v>
      </c>
      <c r="G26" s="17" t="s">
        <v>75</v>
      </c>
      <c r="H26" s="18" t="s">
        <v>257</v>
      </c>
      <c r="I26" s="19" t="s">
        <v>49</v>
      </c>
      <c r="J26" s="20">
        <v>45681</v>
      </c>
      <c r="K26" s="20">
        <v>45699</v>
      </c>
      <c r="L26" s="21">
        <v>150000</v>
      </c>
      <c r="M26" s="22">
        <f t="shared" si="1"/>
        <v>138000</v>
      </c>
      <c r="N26" s="23">
        <v>138000</v>
      </c>
      <c r="O26" s="23">
        <v>0</v>
      </c>
      <c r="P26" s="24">
        <f t="shared" si="2"/>
        <v>12000</v>
      </c>
      <c r="Q26" s="25">
        <v>0</v>
      </c>
      <c r="R26" s="26">
        <v>150000</v>
      </c>
      <c r="S26" s="91">
        <f t="shared" si="3"/>
        <v>0.08</v>
      </c>
      <c r="T26" s="91">
        <f t="shared" si="4"/>
        <v>0</v>
      </c>
      <c r="U26" s="27" t="s">
        <v>50</v>
      </c>
      <c r="V26" s="19" t="s">
        <v>51</v>
      </c>
      <c r="W26" s="20">
        <v>45713</v>
      </c>
      <c r="X26" s="22" t="s">
        <v>251</v>
      </c>
      <c r="Y26" s="19" t="s">
        <v>52</v>
      </c>
      <c r="Z26" s="19" t="s">
        <v>52</v>
      </c>
      <c r="AA26" s="19" t="s">
        <v>52</v>
      </c>
      <c r="AB26" s="28"/>
      <c r="AC26" s="90"/>
    </row>
    <row r="27" spans="1:29" s="29" customFormat="1" ht="15" customHeight="1" x14ac:dyDescent="0.25">
      <c r="A27" s="14">
        <v>9</v>
      </c>
      <c r="B27" s="15">
        <v>45715</v>
      </c>
      <c r="C27" s="15">
        <f t="shared" si="0"/>
        <v>45723</v>
      </c>
      <c r="D27" s="14">
        <v>12511</v>
      </c>
      <c r="E27" s="16" t="s">
        <v>297</v>
      </c>
      <c r="F27" s="17" t="s">
        <v>298</v>
      </c>
      <c r="G27" s="17" t="s">
        <v>102</v>
      </c>
      <c r="H27" s="18" t="s">
        <v>57</v>
      </c>
      <c r="I27" s="19" t="s">
        <v>94</v>
      </c>
      <c r="J27" s="20">
        <v>45688</v>
      </c>
      <c r="K27" s="20">
        <v>45723</v>
      </c>
      <c r="L27" s="21">
        <v>800000</v>
      </c>
      <c r="M27" s="22">
        <f t="shared" si="1"/>
        <v>853000</v>
      </c>
      <c r="N27" s="23">
        <v>853000</v>
      </c>
      <c r="O27" s="23">
        <v>0</v>
      </c>
      <c r="P27" s="24">
        <f t="shared" si="2"/>
        <v>-53000</v>
      </c>
      <c r="Q27" s="25">
        <v>0</v>
      </c>
      <c r="R27" s="26">
        <v>30000</v>
      </c>
      <c r="S27" s="91">
        <f t="shared" si="3"/>
        <v>0</v>
      </c>
      <c r="T27" s="91">
        <f t="shared" si="4"/>
        <v>0</v>
      </c>
      <c r="U27" s="27" t="s">
        <v>50</v>
      </c>
      <c r="V27" s="19" t="s">
        <v>51</v>
      </c>
      <c r="W27" s="20">
        <v>45705</v>
      </c>
      <c r="X27" s="22" t="s">
        <v>251</v>
      </c>
      <c r="Y27" s="19" t="s">
        <v>52</v>
      </c>
      <c r="Z27" s="19" t="s">
        <v>52</v>
      </c>
      <c r="AA27" s="19" t="s">
        <v>52</v>
      </c>
      <c r="AB27" s="28"/>
    </row>
    <row r="28" spans="1:29" s="29" customFormat="1" ht="15" customHeight="1" x14ac:dyDescent="0.25">
      <c r="A28" s="14">
        <v>15</v>
      </c>
      <c r="B28" s="15">
        <v>45715</v>
      </c>
      <c r="C28" s="15">
        <f t="shared" si="0"/>
        <v>45723</v>
      </c>
      <c r="D28" s="14">
        <v>12571</v>
      </c>
      <c r="E28" s="16" t="s">
        <v>111</v>
      </c>
      <c r="F28" s="17" t="s">
        <v>481</v>
      </c>
      <c r="G28" s="17" t="s">
        <v>102</v>
      </c>
      <c r="H28" s="18" t="s">
        <v>57</v>
      </c>
      <c r="I28" s="19" t="s">
        <v>94</v>
      </c>
      <c r="J28" s="20">
        <v>45699</v>
      </c>
      <c r="K28" s="20">
        <v>45749</v>
      </c>
      <c r="L28" s="21">
        <v>120000</v>
      </c>
      <c r="M28" s="22">
        <f t="shared" si="1"/>
        <v>137000</v>
      </c>
      <c r="N28" s="23">
        <v>137000</v>
      </c>
      <c r="O28" s="23">
        <v>0</v>
      </c>
      <c r="P28" s="24">
        <f t="shared" si="2"/>
        <v>-17000</v>
      </c>
      <c r="Q28" s="25">
        <v>0</v>
      </c>
      <c r="R28" s="26">
        <v>42000</v>
      </c>
      <c r="S28" s="91">
        <f t="shared" si="3"/>
        <v>0</v>
      </c>
      <c r="T28" s="91">
        <f t="shared" si="4"/>
        <v>0</v>
      </c>
      <c r="U28" s="27" t="s">
        <v>50</v>
      </c>
      <c r="V28" s="19" t="s">
        <v>51</v>
      </c>
      <c r="W28" s="20">
        <v>45736</v>
      </c>
      <c r="X28" s="22" t="s">
        <v>251</v>
      </c>
      <c r="Y28" s="19" t="s">
        <v>52</v>
      </c>
      <c r="Z28" s="19" t="s">
        <v>52</v>
      </c>
      <c r="AA28" s="19" t="s">
        <v>52</v>
      </c>
      <c r="AB28" s="28"/>
    </row>
    <row r="29" spans="1:29" s="29" customFormat="1" ht="15" customHeight="1" x14ac:dyDescent="0.25">
      <c r="A29" s="14">
        <v>5</v>
      </c>
      <c r="B29" s="15">
        <v>45716</v>
      </c>
      <c r="C29" s="15">
        <f t="shared" si="0"/>
        <v>45724</v>
      </c>
      <c r="D29" s="14">
        <v>12402</v>
      </c>
      <c r="E29" s="16" t="s">
        <v>150</v>
      </c>
      <c r="F29" s="17" t="s">
        <v>151</v>
      </c>
      <c r="G29" s="17" t="s">
        <v>132</v>
      </c>
      <c r="H29" s="18" t="s">
        <v>54</v>
      </c>
      <c r="I29" s="19" t="s">
        <v>135</v>
      </c>
      <c r="J29" s="20">
        <v>45672</v>
      </c>
      <c r="K29" s="20">
        <v>45716</v>
      </c>
      <c r="L29" s="21">
        <v>110000</v>
      </c>
      <c r="M29" s="22">
        <f t="shared" si="1"/>
        <v>119680</v>
      </c>
      <c r="N29" s="23">
        <v>119680</v>
      </c>
      <c r="O29" s="23">
        <v>0</v>
      </c>
      <c r="P29" s="24">
        <f t="shared" si="2"/>
        <v>-9680</v>
      </c>
      <c r="Q29" s="25">
        <v>0</v>
      </c>
      <c r="R29" s="26">
        <v>57330</v>
      </c>
      <c r="S29" s="91">
        <f t="shared" si="3"/>
        <v>0</v>
      </c>
      <c r="T29" s="91">
        <f t="shared" si="4"/>
        <v>0</v>
      </c>
      <c r="U29" s="27" t="s">
        <v>56</v>
      </c>
      <c r="V29" s="19" t="s">
        <v>51</v>
      </c>
      <c r="W29" s="20">
        <v>45726</v>
      </c>
      <c r="X29" s="22" t="s">
        <v>251</v>
      </c>
      <c r="Y29" s="19" t="s">
        <v>52</v>
      </c>
      <c r="Z29" s="19" t="s">
        <v>52</v>
      </c>
      <c r="AA29" s="19" t="s">
        <v>52</v>
      </c>
      <c r="AB29" s="28"/>
    </row>
    <row r="30" spans="1:29" s="29" customFormat="1" ht="15" customHeight="1" x14ac:dyDescent="0.25">
      <c r="A30" s="14">
        <v>6</v>
      </c>
      <c r="B30" s="15">
        <v>45716</v>
      </c>
      <c r="C30" s="15">
        <f t="shared" si="0"/>
        <v>45724</v>
      </c>
      <c r="D30" s="14">
        <v>12401</v>
      </c>
      <c r="E30" s="16" t="s">
        <v>158</v>
      </c>
      <c r="F30" s="17" t="s">
        <v>457</v>
      </c>
      <c r="G30" s="17" t="s">
        <v>132</v>
      </c>
      <c r="H30" s="18" t="s">
        <v>54</v>
      </c>
      <c r="I30" s="19" t="s">
        <v>135</v>
      </c>
      <c r="J30" s="20">
        <v>45672</v>
      </c>
      <c r="K30" s="20">
        <v>45716</v>
      </c>
      <c r="L30" s="21">
        <v>283000</v>
      </c>
      <c r="M30" s="22">
        <f t="shared" si="1"/>
        <v>308630</v>
      </c>
      <c r="N30" s="23">
        <v>308630</v>
      </c>
      <c r="O30" s="23">
        <v>0</v>
      </c>
      <c r="P30" s="24">
        <f t="shared" si="2"/>
        <v>-25630</v>
      </c>
      <c r="Q30" s="25">
        <v>0</v>
      </c>
      <c r="R30" s="26">
        <v>57330</v>
      </c>
      <c r="S30" s="91">
        <f t="shared" si="3"/>
        <v>0</v>
      </c>
      <c r="T30" s="91">
        <f t="shared" si="4"/>
        <v>0</v>
      </c>
      <c r="U30" s="27" t="s">
        <v>56</v>
      </c>
      <c r="V30" s="19" t="s">
        <v>51</v>
      </c>
      <c r="W30" s="20">
        <v>45703</v>
      </c>
      <c r="X30" s="22" t="s">
        <v>251</v>
      </c>
      <c r="Y30" s="19" t="s">
        <v>52</v>
      </c>
      <c r="Z30" s="19" t="s">
        <v>52</v>
      </c>
      <c r="AA30" s="19" t="s">
        <v>52</v>
      </c>
      <c r="AB30" s="28"/>
    </row>
    <row r="31" spans="1:29" s="29" customFormat="1" ht="15" customHeight="1" x14ac:dyDescent="0.25">
      <c r="A31" s="14">
        <v>7</v>
      </c>
      <c r="B31" s="15">
        <v>45716</v>
      </c>
      <c r="C31" s="15">
        <f t="shared" si="0"/>
        <v>45724</v>
      </c>
      <c r="D31" s="14">
        <v>12400</v>
      </c>
      <c r="E31" s="16" t="s">
        <v>248</v>
      </c>
      <c r="F31" s="17" t="s">
        <v>249</v>
      </c>
      <c r="G31" s="17" t="s">
        <v>132</v>
      </c>
      <c r="H31" s="18" t="s">
        <v>54</v>
      </c>
      <c r="I31" s="19" t="s">
        <v>135</v>
      </c>
      <c r="J31" s="20">
        <v>45672</v>
      </c>
      <c r="K31" s="20">
        <v>45716</v>
      </c>
      <c r="L31" s="21">
        <v>110000</v>
      </c>
      <c r="M31" s="22">
        <f t="shared" si="1"/>
        <v>126780</v>
      </c>
      <c r="N31" s="23">
        <v>126780</v>
      </c>
      <c r="O31" s="23">
        <v>0</v>
      </c>
      <c r="P31" s="24">
        <f t="shared" si="2"/>
        <v>-16780</v>
      </c>
      <c r="Q31" s="25">
        <v>0</v>
      </c>
      <c r="R31" s="26">
        <v>57330</v>
      </c>
      <c r="S31" s="91">
        <f t="shared" si="3"/>
        <v>0</v>
      </c>
      <c r="T31" s="91">
        <f t="shared" si="4"/>
        <v>0</v>
      </c>
      <c r="U31" s="27" t="s">
        <v>56</v>
      </c>
      <c r="V31" s="19" t="s">
        <v>51</v>
      </c>
      <c r="W31" s="20">
        <v>45726</v>
      </c>
      <c r="X31" s="22" t="s">
        <v>251</v>
      </c>
      <c r="Y31" s="19" t="s">
        <v>52</v>
      </c>
      <c r="Z31" s="19" t="s">
        <v>52</v>
      </c>
      <c r="AA31" s="19" t="s">
        <v>52</v>
      </c>
      <c r="AB31" s="28"/>
    </row>
    <row r="32" spans="1:29" s="29" customFormat="1" ht="15" customHeight="1" x14ac:dyDescent="0.25">
      <c r="A32" s="14">
        <v>8</v>
      </c>
      <c r="B32" s="15">
        <v>45716</v>
      </c>
      <c r="C32" s="15">
        <f t="shared" si="0"/>
        <v>45724</v>
      </c>
      <c r="D32" s="14">
        <v>12399</v>
      </c>
      <c r="E32" s="16" t="s">
        <v>245</v>
      </c>
      <c r="F32" s="17" t="s">
        <v>246</v>
      </c>
      <c r="G32" s="17" t="s">
        <v>132</v>
      </c>
      <c r="H32" s="18" t="s">
        <v>54</v>
      </c>
      <c r="I32" s="19" t="s">
        <v>135</v>
      </c>
      <c r="J32" s="20">
        <v>45672</v>
      </c>
      <c r="K32" s="20">
        <v>45716</v>
      </c>
      <c r="L32" s="21">
        <v>27000</v>
      </c>
      <c r="M32" s="22">
        <f t="shared" si="1"/>
        <v>29690</v>
      </c>
      <c r="N32" s="23">
        <v>29690</v>
      </c>
      <c r="O32" s="23">
        <v>0</v>
      </c>
      <c r="P32" s="24">
        <f t="shared" si="2"/>
        <v>-2690</v>
      </c>
      <c r="Q32" s="25">
        <v>0</v>
      </c>
      <c r="R32" s="26">
        <v>53442</v>
      </c>
      <c r="S32" s="91">
        <f t="shared" si="3"/>
        <v>0</v>
      </c>
      <c r="T32" s="91">
        <f t="shared" si="4"/>
        <v>0</v>
      </c>
      <c r="U32" s="27" t="s">
        <v>56</v>
      </c>
      <c r="V32" s="19" t="s">
        <v>51</v>
      </c>
      <c r="W32" s="20">
        <v>45726</v>
      </c>
      <c r="X32" s="22" t="s">
        <v>251</v>
      </c>
      <c r="Y32" s="19" t="s">
        <v>52</v>
      </c>
      <c r="Z32" s="19" t="s">
        <v>52</v>
      </c>
      <c r="AA32" s="19" t="s">
        <v>52</v>
      </c>
      <c r="AB32" s="28"/>
    </row>
    <row r="33" spans="1:29" s="29" customFormat="1" ht="15" customHeight="1" x14ac:dyDescent="0.25">
      <c r="A33" s="14">
        <v>9</v>
      </c>
      <c r="B33" s="15">
        <v>45713</v>
      </c>
      <c r="C33" s="15">
        <f t="shared" si="0"/>
        <v>45721</v>
      </c>
      <c r="D33" s="14">
        <v>12397</v>
      </c>
      <c r="E33" s="16" t="s">
        <v>147</v>
      </c>
      <c r="F33" s="17" t="s">
        <v>260</v>
      </c>
      <c r="G33" s="17" t="s">
        <v>132</v>
      </c>
      <c r="H33" s="18" t="s">
        <v>54</v>
      </c>
      <c r="I33" s="19" t="s">
        <v>135</v>
      </c>
      <c r="J33" s="20">
        <v>45672</v>
      </c>
      <c r="K33" s="20">
        <v>45716</v>
      </c>
      <c r="L33" s="21">
        <v>75000</v>
      </c>
      <c r="M33" s="22">
        <f t="shared" si="1"/>
        <v>78300</v>
      </c>
      <c r="N33" s="23">
        <v>78300</v>
      </c>
      <c r="O33" s="23">
        <v>0</v>
      </c>
      <c r="P33" s="24">
        <f t="shared" si="2"/>
        <v>-3300</v>
      </c>
      <c r="Q33" s="25">
        <v>0</v>
      </c>
      <c r="R33" s="26">
        <v>57330</v>
      </c>
      <c r="S33" s="91">
        <f t="shared" si="3"/>
        <v>0</v>
      </c>
      <c r="T33" s="91">
        <f t="shared" si="4"/>
        <v>0</v>
      </c>
      <c r="U33" s="27" t="s">
        <v>56</v>
      </c>
      <c r="V33" s="19" t="s">
        <v>51</v>
      </c>
      <c r="W33" s="20">
        <v>45700</v>
      </c>
      <c r="X33" s="22" t="s">
        <v>251</v>
      </c>
      <c r="Y33" s="19" t="s">
        <v>52</v>
      </c>
      <c r="Z33" s="19" t="s">
        <v>52</v>
      </c>
      <c r="AA33" s="19" t="s">
        <v>52</v>
      </c>
      <c r="AB33" s="28"/>
    </row>
    <row r="34" spans="1:29" s="29" customFormat="1" ht="15" customHeight="1" x14ac:dyDescent="0.25">
      <c r="A34" s="14">
        <v>10</v>
      </c>
      <c r="B34" s="15">
        <v>45716</v>
      </c>
      <c r="C34" s="15">
        <f t="shared" si="0"/>
        <v>45724</v>
      </c>
      <c r="D34" s="14">
        <v>12395</v>
      </c>
      <c r="E34" s="16" t="s">
        <v>226</v>
      </c>
      <c r="F34" s="17" t="s">
        <v>227</v>
      </c>
      <c r="G34" s="17" t="s">
        <v>132</v>
      </c>
      <c r="H34" s="18" t="s">
        <v>54</v>
      </c>
      <c r="I34" s="19" t="s">
        <v>135</v>
      </c>
      <c r="J34" s="20">
        <v>45672</v>
      </c>
      <c r="K34" s="20">
        <v>45716</v>
      </c>
      <c r="L34" s="21">
        <v>50000</v>
      </c>
      <c r="M34" s="22">
        <f t="shared" si="1"/>
        <v>47775</v>
      </c>
      <c r="N34" s="23">
        <v>47775</v>
      </c>
      <c r="O34" s="23">
        <v>0</v>
      </c>
      <c r="P34" s="24">
        <f t="shared" si="2"/>
        <v>2225</v>
      </c>
      <c r="Q34" s="25">
        <v>0</v>
      </c>
      <c r="R34" s="26">
        <v>57330</v>
      </c>
      <c r="S34" s="91">
        <f t="shared" si="3"/>
        <v>3.8810395953253099E-2</v>
      </c>
      <c r="T34" s="91">
        <f t="shared" si="4"/>
        <v>0</v>
      </c>
      <c r="U34" s="27" t="s">
        <v>56</v>
      </c>
      <c r="V34" s="19" t="s">
        <v>51</v>
      </c>
      <c r="W34" s="20">
        <v>45726</v>
      </c>
      <c r="X34" s="22" t="s">
        <v>251</v>
      </c>
      <c r="Y34" s="19" t="s">
        <v>52</v>
      </c>
      <c r="Z34" s="19" t="s">
        <v>52</v>
      </c>
      <c r="AA34" s="19" t="s">
        <v>52</v>
      </c>
      <c r="AB34" s="28"/>
    </row>
    <row r="35" spans="1:29" s="29" customFormat="1" ht="15" customHeight="1" x14ac:dyDescent="0.25">
      <c r="A35" s="14">
        <v>11</v>
      </c>
      <c r="B35" s="15">
        <v>45716</v>
      </c>
      <c r="C35" s="15">
        <f t="shared" si="0"/>
        <v>45724</v>
      </c>
      <c r="D35" s="14">
        <v>12394</v>
      </c>
      <c r="E35" s="16" t="s">
        <v>228</v>
      </c>
      <c r="F35" s="17" t="s">
        <v>229</v>
      </c>
      <c r="G35" s="17" t="s">
        <v>132</v>
      </c>
      <c r="H35" s="18" t="s">
        <v>54</v>
      </c>
      <c r="I35" s="19" t="s">
        <v>135</v>
      </c>
      <c r="J35" s="20">
        <v>45672</v>
      </c>
      <c r="K35" s="20">
        <v>45716</v>
      </c>
      <c r="L35" s="21">
        <v>100000</v>
      </c>
      <c r="M35" s="22">
        <f t="shared" si="1"/>
        <v>114660</v>
      </c>
      <c r="N35" s="23">
        <v>114660</v>
      </c>
      <c r="O35" s="23">
        <v>0</v>
      </c>
      <c r="P35" s="24">
        <f t="shared" si="2"/>
        <v>-14660</v>
      </c>
      <c r="Q35" s="25">
        <v>0</v>
      </c>
      <c r="R35" s="26">
        <v>57330</v>
      </c>
      <c r="S35" s="91">
        <f t="shared" si="3"/>
        <v>0</v>
      </c>
      <c r="T35" s="91">
        <f t="shared" si="4"/>
        <v>0</v>
      </c>
      <c r="U35" s="27" t="s">
        <v>56</v>
      </c>
      <c r="V35" s="19" t="s">
        <v>51</v>
      </c>
      <c r="W35" s="20">
        <v>45726</v>
      </c>
      <c r="X35" s="22" t="s">
        <v>251</v>
      </c>
      <c r="Y35" s="19" t="s">
        <v>52</v>
      </c>
      <c r="Z35" s="19" t="s">
        <v>52</v>
      </c>
      <c r="AA35" s="19" t="s">
        <v>52</v>
      </c>
      <c r="AB35" s="28"/>
    </row>
    <row r="36" spans="1:29" s="29" customFormat="1" ht="15" customHeight="1" x14ac:dyDescent="0.25">
      <c r="A36" s="14">
        <v>19</v>
      </c>
      <c r="B36" s="15">
        <v>45716</v>
      </c>
      <c r="C36" s="15">
        <f t="shared" si="0"/>
        <v>45724</v>
      </c>
      <c r="D36" s="14">
        <v>12566</v>
      </c>
      <c r="E36" s="16" t="s">
        <v>222</v>
      </c>
      <c r="F36" s="17" t="s">
        <v>223</v>
      </c>
      <c r="G36" s="17" t="s">
        <v>132</v>
      </c>
      <c r="H36" s="18" t="s">
        <v>54</v>
      </c>
      <c r="I36" s="19" t="s">
        <v>135</v>
      </c>
      <c r="J36" s="20">
        <v>45699</v>
      </c>
      <c r="K36" s="20">
        <v>45742</v>
      </c>
      <c r="L36" s="21">
        <v>124000</v>
      </c>
      <c r="M36" s="22">
        <f t="shared" si="1"/>
        <v>111470</v>
      </c>
      <c r="N36" s="23">
        <v>111470</v>
      </c>
      <c r="O36" s="23">
        <v>0</v>
      </c>
      <c r="P36" s="24">
        <f t="shared" si="2"/>
        <v>12530</v>
      </c>
      <c r="Q36" s="25">
        <v>0</v>
      </c>
      <c r="R36" s="26">
        <v>57330</v>
      </c>
      <c r="S36" s="91">
        <f t="shared" si="3"/>
        <v>0.21855921855921856</v>
      </c>
      <c r="T36" s="91">
        <f t="shared" si="4"/>
        <v>0</v>
      </c>
      <c r="U36" s="27" t="s">
        <v>56</v>
      </c>
      <c r="V36" s="19" t="s">
        <v>51</v>
      </c>
      <c r="W36" s="20">
        <v>45726</v>
      </c>
      <c r="X36" s="22" t="s">
        <v>251</v>
      </c>
      <c r="Y36" s="19" t="s">
        <v>52</v>
      </c>
      <c r="Z36" s="19" t="s">
        <v>52</v>
      </c>
      <c r="AA36" s="19" t="s">
        <v>52</v>
      </c>
      <c r="AB36" s="28"/>
    </row>
    <row r="37" spans="1:29" s="29" customFormat="1" ht="15" customHeight="1" x14ac:dyDescent="0.25">
      <c r="A37" s="14">
        <v>1</v>
      </c>
      <c r="B37" s="15">
        <v>45715</v>
      </c>
      <c r="C37" s="15">
        <f t="shared" si="0"/>
        <v>45723</v>
      </c>
      <c r="D37" s="14">
        <v>12211</v>
      </c>
      <c r="E37" s="16" t="s">
        <v>389</v>
      </c>
      <c r="F37" s="17" t="s">
        <v>267</v>
      </c>
      <c r="G37" s="17" t="s">
        <v>102</v>
      </c>
      <c r="H37" s="18" t="s">
        <v>57</v>
      </c>
      <c r="I37" s="19" t="s">
        <v>94</v>
      </c>
      <c r="J37" s="20">
        <v>45638</v>
      </c>
      <c r="K37" s="20">
        <v>45679</v>
      </c>
      <c r="L37" s="21">
        <v>200000</v>
      </c>
      <c r="M37" s="22">
        <f t="shared" si="1"/>
        <v>183000</v>
      </c>
      <c r="N37" s="23">
        <v>183000</v>
      </c>
      <c r="O37" s="23">
        <v>0</v>
      </c>
      <c r="P37" s="24">
        <f t="shared" si="2"/>
        <v>17000</v>
      </c>
      <c r="Q37" s="25">
        <v>0</v>
      </c>
      <c r="R37" s="26">
        <v>50000</v>
      </c>
      <c r="S37" s="91">
        <f t="shared" si="3"/>
        <v>0.34</v>
      </c>
      <c r="T37" s="91">
        <f t="shared" si="4"/>
        <v>0</v>
      </c>
      <c r="U37" s="27" t="s">
        <v>50</v>
      </c>
      <c r="V37" s="19" t="s">
        <v>51</v>
      </c>
      <c r="W37" s="20">
        <v>45673</v>
      </c>
      <c r="X37" s="22" t="s">
        <v>251</v>
      </c>
      <c r="Y37" s="19" t="s">
        <v>52</v>
      </c>
      <c r="Z37" s="19" t="s">
        <v>52</v>
      </c>
      <c r="AA37" s="19" t="s">
        <v>52</v>
      </c>
      <c r="AB37" s="28"/>
    </row>
    <row r="38" spans="1:29" s="29" customFormat="1" ht="15" customHeight="1" x14ac:dyDescent="0.25">
      <c r="A38" s="14">
        <v>11</v>
      </c>
      <c r="B38" s="15">
        <v>45709</v>
      </c>
      <c r="C38" s="15">
        <f t="shared" ref="C38:C101" si="5">B38+8</f>
        <v>45717</v>
      </c>
      <c r="D38" s="14">
        <v>12284</v>
      </c>
      <c r="E38" s="84" t="s">
        <v>432</v>
      </c>
      <c r="F38" s="86" t="s">
        <v>433</v>
      </c>
      <c r="G38" s="87" t="s">
        <v>75</v>
      </c>
      <c r="H38" s="88" t="s">
        <v>113</v>
      </c>
      <c r="I38" s="19" t="s">
        <v>362</v>
      </c>
      <c r="J38" s="20">
        <v>45644</v>
      </c>
      <c r="K38" s="20">
        <v>45674</v>
      </c>
      <c r="L38" s="21">
        <v>102000</v>
      </c>
      <c r="M38" s="22">
        <f t="shared" ref="M38:M101" si="6">SUM(N38:O38)</f>
        <v>102000</v>
      </c>
      <c r="N38" s="23">
        <v>102000</v>
      </c>
      <c r="O38" s="23">
        <v>0</v>
      </c>
      <c r="P38" s="24">
        <f t="shared" ref="P38:P101" si="7">L38-N38</f>
        <v>0</v>
      </c>
      <c r="Q38" s="25">
        <v>0</v>
      </c>
      <c r="R38" s="26">
        <v>144000</v>
      </c>
      <c r="S38" s="91">
        <f t="shared" si="3"/>
        <v>0</v>
      </c>
      <c r="T38" s="91">
        <f t="shared" si="4"/>
        <v>0</v>
      </c>
      <c r="U38" s="27" t="s">
        <v>50</v>
      </c>
      <c r="V38" s="19" t="s">
        <v>51</v>
      </c>
      <c r="W38" s="20">
        <v>45705</v>
      </c>
      <c r="X38" s="22" t="s">
        <v>251</v>
      </c>
      <c r="Y38" s="19" t="s">
        <v>52</v>
      </c>
      <c r="Z38" s="19" t="s">
        <v>52</v>
      </c>
      <c r="AA38" s="19" t="s">
        <v>52</v>
      </c>
      <c r="AB38" s="28"/>
      <c r="AC38" s="90"/>
    </row>
    <row r="39" spans="1:29" s="29" customFormat="1" ht="15" customHeight="1" x14ac:dyDescent="0.25">
      <c r="A39" s="14">
        <v>31</v>
      </c>
      <c r="B39" s="15">
        <v>45713</v>
      </c>
      <c r="C39" s="15">
        <f t="shared" si="5"/>
        <v>45721</v>
      </c>
      <c r="D39" s="14">
        <v>12362</v>
      </c>
      <c r="E39" s="16" t="s">
        <v>199</v>
      </c>
      <c r="F39" s="40" t="s">
        <v>200</v>
      </c>
      <c r="G39" s="17" t="s">
        <v>75</v>
      </c>
      <c r="H39" s="18" t="s">
        <v>133</v>
      </c>
      <c r="I39" s="19" t="s">
        <v>198</v>
      </c>
      <c r="J39" s="20">
        <v>45664</v>
      </c>
      <c r="K39" s="20">
        <v>45726</v>
      </c>
      <c r="L39" s="21">
        <v>150000</v>
      </c>
      <c r="M39" s="22">
        <f t="shared" si="6"/>
        <v>144000</v>
      </c>
      <c r="N39" s="23">
        <v>144000</v>
      </c>
      <c r="O39" s="23">
        <v>0</v>
      </c>
      <c r="P39" s="24">
        <f t="shared" si="7"/>
        <v>6000</v>
      </c>
      <c r="Q39" s="25">
        <v>0</v>
      </c>
      <c r="R39" s="26">
        <v>60000</v>
      </c>
      <c r="S39" s="91">
        <f t="shared" si="3"/>
        <v>0.1</v>
      </c>
      <c r="T39" s="91">
        <f t="shared" si="4"/>
        <v>0</v>
      </c>
      <c r="U39" s="27" t="s">
        <v>56</v>
      </c>
      <c r="V39" s="19" t="s">
        <v>51</v>
      </c>
      <c r="W39" s="20">
        <v>45707</v>
      </c>
      <c r="X39" s="22" t="s">
        <v>251</v>
      </c>
      <c r="Y39" s="19" t="s">
        <v>52</v>
      </c>
      <c r="Z39" s="19" t="s">
        <v>52</v>
      </c>
      <c r="AA39" s="19" t="s">
        <v>52</v>
      </c>
      <c r="AB39" s="28"/>
      <c r="AC39" s="90"/>
    </row>
    <row r="40" spans="1:29" s="29" customFormat="1" ht="15" customHeight="1" x14ac:dyDescent="0.25">
      <c r="A40" s="14">
        <v>1</v>
      </c>
      <c r="B40" s="15">
        <v>45713</v>
      </c>
      <c r="C40" s="15">
        <f t="shared" si="5"/>
        <v>45721</v>
      </c>
      <c r="D40" s="14">
        <v>12347</v>
      </c>
      <c r="E40" s="16" t="s">
        <v>322</v>
      </c>
      <c r="F40" s="17" t="s">
        <v>323</v>
      </c>
      <c r="G40" s="17" t="s">
        <v>132</v>
      </c>
      <c r="H40" s="18" t="s">
        <v>133</v>
      </c>
      <c r="I40" s="19" t="s">
        <v>198</v>
      </c>
      <c r="J40" s="20">
        <v>45657</v>
      </c>
      <c r="K40" s="20">
        <v>45693</v>
      </c>
      <c r="L40" s="21">
        <v>250000</v>
      </c>
      <c r="M40" s="22">
        <f t="shared" si="6"/>
        <v>247950</v>
      </c>
      <c r="N40" s="23">
        <v>247950</v>
      </c>
      <c r="O40" s="23">
        <v>0</v>
      </c>
      <c r="P40" s="24">
        <f t="shared" si="7"/>
        <v>2050</v>
      </c>
      <c r="Q40" s="25">
        <v>0</v>
      </c>
      <c r="R40" s="26">
        <v>160000</v>
      </c>
      <c r="S40" s="91">
        <f t="shared" si="3"/>
        <v>1.2812499999999999E-2</v>
      </c>
      <c r="T40" s="91">
        <f t="shared" si="4"/>
        <v>0</v>
      </c>
      <c r="U40" s="27" t="s">
        <v>56</v>
      </c>
      <c r="V40" s="19" t="s">
        <v>51</v>
      </c>
      <c r="W40" s="20">
        <v>45698</v>
      </c>
      <c r="X40" s="22" t="s">
        <v>251</v>
      </c>
      <c r="Y40" s="19" t="s">
        <v>52</v>
      </c>
      <c r="Z40" s="19" t="s">
        <v>52</v>
      </c>
      <c r="AA40" s="19" t="s">
        <v>52</v>
      </c>
      <c r="AB40" s="28"/>
    </row>
    <row r="41" spans="1:29" s="29" customFormat="1" ht="15" customHeight="1" x14ac:dyDescent="0.25">
      <c r="A41" s="14">
        <v>11</v>
      </c>
      <c r="B41" s="15">
        <v>45723</v>
      </c>
      <c r="C41" s="15">
        <f t="shared" si="5"/>
        <v>45731</v>
      </c>
      <c r="D41" s="14">
        <v>12303</v>
      </c>
      <c r="E41" s="16" t="s">
        <v>342</v>
      </c>
      <c r="F41" s="40" t="s">
        <v>343</v>
      </c>
      <c r="G41" s="17" t="s">
        <v>75</v>
      </c>
      <c r="H41" s="18" t="s">
        <v>57</v>
      </c>
      <c r="I41" s="19" t="s">
        <v>64</v>
      </c>
      <c r="J41" s="20">
        <v>45649</v>
      </c>
      <c r="K41" s="20">
        <v>45687</v>
      </c>
      <c r="L41" s="21">
        <v>600000</v>
      </c>
      <c r="M41" s="22">
        <f t="shared" si="6"/>
        <v>594000</v>
      </c>
      <c r="N41" s="23">
        <v>594000</v>
      </c>
      <c r="O41" s="23">
        <v>0</v>
      </c>
      <c r="P41" s="24">
        <f t="shared" si="7"/>
        <v>6000</v>
      </c>
      <c r="Q41" s="25">
        <v>0</v>
      </c>
      <c r="R41" s="26">
        <v>150000</v>
      </c>
      <c r="S41" s="91">
        <f t="shared" si="3"/>
        <v>0.04</v>
      </c>
      <c r="T41" s="91">
        <f t="shared" si="4"/>
        <v>0</v>
      </c>
      <c r="U41" s="27" t="s">
        <v>50</v>
      </c>
      <c r="V41" s="19" t="s">
        <v>51</v>
      </c>
      <c r="W41" s="20">
        <v>45675</v>
      </c>
      <c r="X41" s="22" t="s">
        <v>251</v>
      </c>
      <c r="Y41" s="19" t="s">
        <v>52</v>
      </c>
      <c r="Z41" s="19" t="s">
        <v>52</v>
      </c>
      <c r="AA41" s="19" t="s">
        <v>52</v>
      </c>
      <c r="AB41" s="28"/>
      <c r="AC41" s="90"/>
    </row>
    <row r="42" spans="1:29" s="29" customFormat="1" ht="15" customHeight="1" x14ac:dyDescent="0.25">
      <c r="A42" s="14">
        <v>32</v>
      </c>
      <c r="B42" s="15">
        <v>45723</v>
      </c>
      <c r="C42" s="15">
        <f t="shared" si="5"/>
        <v>45731</v>
      </c>
      <c r="D42" s="14">
        <v>12496</v>
      </c>
      <c r="E42" s="16" t="s">
        <v>422</v>
      </c>
      <c r="F42" s="40" t="s">
        <v>476</v>
      </c>
      <c r="G42" s="17" t="s">
        <v>75</v>
      </c>
      <c r="H42" s="18" t="s">
        <v>78</v>
      </c>
      <c r="I42" s="19" t="s">
        <v>79</v>
      </c>
      <c r="J42" s="20">
        <v>45691</v>
      </c>
      <c r="K42" s="20">
        <v>45736</v>
      </c>
      <c r="L42" s="21">
        <v>750000</v>
      </c>
      <c r="M42" s="22">
        <f t="shared" si="6"/>
        <v>770000</v>
      </c>
      <c r="N42" s="23">
        <v>770000</v>
      </c>
      <c r="O42" s="23">
        <v>0</v>
      </c>
      <c r="P42" s="24">
        <f t="shared" si="7"/>
        <v>-20000</v>
      </c>
      <c r="Q42" s="25">
        <v>0</v>
      </c>
      <c r="R42" s="26">
        <v>210000</v>
      </c>
      <c r="S42" s="91">
        <f t="shared" si="3"/>
        <v>0</v>
      </c>
      <c r="T42" s="91">
        <f t="shared" si="4"/>
        <v>0</v>
      </c>
      <c r="U42" s="27" t="s">
        <v>56</v>
      </c>
      <c r="V42" s="19" t="s">
        <v>51</v>
      </c>
      <c r="W42" s="20">
        <v>45704</v>
      </c>
      <c r="X42" s="22" t="s">
        <v>251</v>
      </c>
      <c r="Y42" s="19" t="s">
        <v>52</v>
      </c>
      <c r="Z42" s="19" t="s">
        <v>52</v>
      </c>
      <c r="AA42" s="19" t="s">
        <v>52</v>
      </c>
      <c r="AB42" s="28"/>
      <c r="AC42" s="90"/>
    </row>
    <row r="43" spans="1:29" s="29" customFormat="1" ht="15" customHeight="1" x14ac:dyDescent="0.25">
      <c r="A43" s="14">
        <v>6</v>
      </c>
      <c r="B43" s="15">
        <v>45723</v>
      </c>
      <c r="C43" s="15">
        <f t="shared" si="5"/>
        <v>45731</v>
      </c>
      <c r="D43" s="14">
        <v>12508</v>
      </c>
      <c r="E43" s="16" t="s">
        <v>109</v>
      </c>
      <c r="F43" s="17" t="s">
        <v>110</v>
      </c>
      <c r="G43" s="17" t="s">
        <v>102</v>
      </c>
      <c r="H43" s="18" t="s">
        <v>57</v>
      </c>
      <c r="I43" s="19" t="s">
        <v>118</v>
      </c>
      <c r="J43" s="20">
        <v>45691</v>
      </c>
      <c r="K43" s="20">
        <v>45723</v>
      </c>
      <c r="L43" s="21">
        <v>600000</v>
      </c>
      <c r="M43" s="22">
        <f t="shared" si="6"/>
        <v>613000</v>
      </c>
      <c r="N43" s="23">
        <v>613000</v>
      </c>
      <c r="O43" s="23">
        <v>0</v>
      </c>
      <c r="P43" s="24">
        <f t="shared" si="7"/>
        <v>-13000</v>
      </c>
      <c r="Q43" s="25">
        <v>0</v>
      </c>
      <c r="R43" s="26">
        <v>50000</v>
      </c>
      <c r="S43" s="91">
        <f t="shared" si="3"/>
        <v>0</v>
      </c>
      <c r="T43" s="91">
        <f t="shared" si="4"/>
        <v>0</v>
      </c>
      <c r="U43" s="27" t="s">
        <v>50</v>
      </c>
      <c r="V43" s="19" t="s">
        <v>51</v>
      </c>
      <c r="W43" s="20">
        <v>45716</v>
      </c>
      <c r="X43" s="22" t="s">
        <v>251</v>
      </c>
      <c r="Y43" s="19" t="s">
        <v>52</v>
      </c>
      <c r="Z43" s="19" t="s">
        <v>52</v>
      </c>
      <c r="AA43" s="19" t="s">
        <v>52</v>
      </c>
      <c r="AB43" s="28"/>
    </row>
    <row r="44" spans="1:29" s="29" customFormat="1" ht="15" customHeight="1" x14ac:dyDescent="0.25">
      <c r="A44" s="14">
        <v>11</v>
      </c>
      <c r="B44" s="15">
        <v>45723</v>
      </c>
      <c r="C44" s="15">
        <f t="shared" si="5"/>
        <v>45731</v>
      </c>
      <c r="D44" s="14">
        <v>12551</v>
      </c>
      <c r="E44" s="16" t="s">
        <v>127</v>
      </c>
      <c r="F44" s="17" t="s">
        <v>128</v>
      </c>
      <c r="G44" s="17" t="s">
        <v>102</v>
      </c>
      <c r="H44" s="18" t="s">
        <v>62</v>
      </c>
      <c r="I44" s="19" t="s">
        <v>63</v>
      </c>
      <c r="J44" s="20">
        <v>45695</v>
      </c>
      <c r="K44" s="20">
        <v>45730</v>
      </c>
      <c r="L44" s="21">
        <v>336000</v>
      </c>
      <c r="M44" s="22">
        <f t="shared" si="6"/>
        <v>336000</v>
      </c>
      <c r="N44" s="23">
        <v>336000</v>
      </c>
      <c r="O44" s="23">
        <v>0</v>
      </c>
      <c r="P44" s="24">
        <f t="shared" si="7"/>
        <v>0</v>
      </c>
      <c r="Q44" s="25">
        <v>0</v>
      </c>
      <c r="R44" s="26">
        <v>84000</v>
      </c>
      <c r="S44" s="91">
        <f t="shared" si="3"/>
        <v>0</v>
      </c>
      <c r="T44" s="91">
        <f t="shared" si="4"/>
        <v>0</v>
      </c>
      <c r="U44" s="27" t="s">
        <v>50</v>
      </c>
      <c r="V44" s="19" t="s">
        <v>51</v>
      </c>
      <c r="W44" s="20">
        <v>45716</v>
      </c>
      <c r="X44" s="22" t="s">
        <v>251</v>
      </c>
      <c r="Y44" s="19" t="s">
        <v>52</v>
      </c>
      <c r="Z44" s="19" t="s">
        <v>52</v>
      </c>
      <c r="AA44" s="19" t="s">
        <v>52</v>
      </c>
      <c r="AB44" s="28"/>
    </row>
    <row r="45" spans="1:29" s="29" customFormat="1" ht="15" customHeight="1" x14ac:dyDescent="0.25">
      <c r="A45" s="14">
        <v>10</v>
      </c>
      <c r="B45" s="15">
        <v>45723</v>
      </c>
      <c r="C45" s="15">
        <f t="shared" si="5"/>
        <v>45731</v>
      </c>
      <c r="D45" s="14">
        <v>12567</v>
      </c>
      <c r="E45" s="16" t="s">
        <v>145</v>
      </c>
      <c r="F45" s="17" t="s">
        <v>146</v>
      </c>
      <c r="G45" s="17" t="s">
        <v>132</v>
      </c>
      <c r="H45" s="18" t="s">
        <v>54</v>
      </c>
      <c r="I45" s="19" t="s">
        <v>135</v>
      </c>
      <c r="J45" s="20">
        <v>45699</v>
      </c>
      <c r="K45" s="20">
        <v>45742</v>
      </c>
      <c r="L45" s="21">
        <v>75000</v>
      </c>
      <c r="M45" s="22">
        <f t="shared" si="6"/>
        <v>79120</v>
      </c>
      <c r="N45" s="23">
        <v>79120</v>
      </c>
      <c r="O45" s="23">
        <v>0</v>
      </c>
      <c r="P45" s="24">
        <f t="shared" si="7"/>
        <v>-4120</v>
      </c>
      <c r="Q45" s="25">
        <v>0</v>
      </c>
      <c r="R45" s="26">
        <v>50868</v>
      </c>
      <c r="S45" s="91">
        <f t="shared" si="3"/>
        <v>0</v>
      </c>
      <c r="T45" s="91">
        <f t="shared" si="4"/>
        <v>0</v>
      </c>
      <c r="U45" s="27" t="s">
        <v>56</v>
      </c>
      <c r="V45" s="19" t="s">
        <v>51</v>
      </c>
      <c r="W45" s="20">
        <v>45716</v>
      </c>
      <c r="X45" s="22" t="s">
        <v>251</v>
      </c>
      <c r="Y45" s="19" t="s">
        <v>52</v>
      </c>
      <c r="Z45" s="19" t="s">
        <v>52</v>
      </c>
      <c r="AA45" s="19" t="s">
        <v>52</v>
      </c>
      <c r="AB45" s="28"/>
    </row>
    <row r="46" spans="1:29" s="29" customFormat="1" ht="15" customHeight="1" x14ac:dyDescent="0.25">
      <c r="A46" s="14">
        <v>2</v>
      </c>
      <c r="B46" s="15">
        <v>45731</v>
      </c>
      <c r="C46" s="15">
        <f t="shared" si="5"/>
        <v>45739</v>
      </c>
      <c r="D46" s="14">
        <v>12591</v>
      </c>
      <c r="E46" s="16" t="s">
        <v>404</v>
      </c>
      <c r="F46" s="17" t="s">
        <v>405</v>
      </c>
      <c r="G46" s="17" t="s">
        <v>47</v>
      </c>
      <c r="H46" s="18" t="s">
        <v>57</v>
      </c>
      <c r="I46" s="19" t="s">
        <v>58</v>
      </c>
      <c r="J46" s="20">
        <v>45705</v>
      </c>
      <c r="K46" s="20">
        <v>45733</v>
      </c>
      <c r="L46" s="21">
        <v>1000000</v>
      </c>
      <c r="M46" s="22">
        <f t="shared" si="6"/>
        <v>1100000</v>
      </c>
      <c r="N46" s="23">
        <v>1100000</v>
      </c>
      <c r="O46" s="23">
        <v>0</v>
      </c>
      <c r="P46" s="24">
        <f t="shared" si="7"/>
        <v>-100000</v>
      </c>
      <c r="Q46" s="25">
        <v>0</v>
      </c>
      <c r="R46" s="26">
        <v>100000</v>
      </c>
      <c r="S46" s="91">
        <f t="shared" si="3"/>
        <v>0</v>
      </c>
      <c r="T46" s="91">
        <f t="shared" si="4"/>
        <v>0</v>
      </c>
      <c r="U46" s="27" t="s">
        <v>50</v>
      </c>
      <c r="V46" s="19" t="s">
        <v>51</v>
      </c>
      <c r="W46" s="20">
        <v>45720</v>
      </c>
      <c r="X46" s="22" t="s">
        <v>251</v>
      </c>
      <c r="Y46" s="19" t="s">
        <v>52</v>
      </c>
      <c r="Z46" s="19" t="s">
        <v>52</v>
      </c>
      <c r="AA46" s="19" t="s">
        <v>52</v>
      </c>
      <c r="AB46" s="28"/>
    </row>
    <row r="47" spans="1:29" s="29" customFormat="1" ht="15" customHeight="1" x14ac:dyDescent="0.25">
      <c r="A47" s="14">
        <v>2</v>
      </c>
      <c r="B47" s="15">
        <v>45729</v>
      </c>
      <c r="C47" s="15">
        <f t="shared" si="5"/>
        <v>45737</v>
      </c>
      <c r="D47" s="14">
        <v>12499</v>
      </c>
      <c r="E47" s="16" t="s">
        <v>380</v>
      </c>
      <c r="F47" s="40" t="s">
        <v>381</v>
      </c>
      <c r="G47" s="17" t="s">
        <v>75</v>
      </c>
      <c r="H47" s="18" t="s">
        <v>78</v>
      </c>
      <c r="I47" s="19" t="s">
        <v>79</v>
      </c>
      <c r="J47" s="20">
        <v>45687</v>
      </c>
      <c r="K47" s="20">
        <v>45708</v>
      </c>
      <c r="L47" s="21">
        <v>2000000</v>
      </c>
      <c r="M47" s="22">
        <f t="shared" si="6"/>
        <v>2079000</v>
      </c>
      <c r="N47" s="23">
        <v>2079000</v>
      </c>
      <c r="O47" s="23">
        <v>0</v>
      </c>
      <c r="P47" s="24">
        <f t="shared" si="7"/>
        <v>-79000</v>
      </c>
      <c r="Q47" s="25">
        <v>0</v>
      </c>
      <c r="R47" s="26">
        <v>105000</v>
      </c>
      <c r="S47" s="91">
        <f t="shared" si="3"/>
        <v>0</v>
      </c>
      <c r="T47" s="91">
        <f t="shared" si="4"/>
        <v>0</v>
      </c>
      <c r="U47" s="27" t="s">
        <v>50</v>
      </c>
      <c r="V47" s="19" t="s">
        <v>51</v>
      </c>
      <c r="W47" s="20">
        <v>45705</v>
      </c>
      <c r="X47" s="22" t="s">
        <v>251</v>
      </c>
      <c r="Y47" s="19" t="s">
        <v>52</v>
      </c>
      <c r="Z47" s="19" t="s">
        <v>52</v>
      </c>
      <c r="AA47" s="19" t="s">
        <v>52</v>
      </c>
      <c r="AB47" s="28"/>
      <c r="AC47" s="90"/>
    </row>
    <row r="48" spans="1:29" s="29" customFormat="1" ht="15" customHeight="1" x14ac:dyDescent="0.25">
      <c r="A48" s="14">
        <v>4</v>
      </c>
      <c r="B48" s="15">
        <v>45734</v>
      </c>
      <c r="C48" s="15">
        <f t="shared" si="5"/>
        <v>45742</v>
      </c>
      <c r="D48" s="14">
        <v>12221</v>
      </c>
      <c r="E48" s="16" t="s">
        <v>87</v>
      </c>
      <c r="F48" s="40" t="s">
        <v>88</v>
      </c>
      <c r="G48" s="17" t="s">
        <v>75</v>
      </c>
      <c r="H48" s="18" t="s">
        <v>522</v>
      </c>
      <c r="I48" s="19" t="s">
        <v>49</v>
      </c>
      <c r="J48" s="20">
        <v>45637</v>
      </c>
      <c r="K48" s="20">
        <v>45679</v>
      </c>
      <c r="L48" s="21">
        <v>1300000</v>
      </c>
      <c r="M48" s="22">
        <f t="shared" si="6"/>
        <v>1254000</v>
      </c>
      <c r="N48" s="23">
        <v>1254000</v>
      </c>
      <c r="O48" s="23">
        <v>0</v>
      </c>
      <c r="P48" s="24">
        <f t="shared" si="7"/>
        <v>46000</v>
      </c>
      <c r="Q48" s="25">
        <v>0</v>
      </c>
      <c r="R48" s="26">
        <v>150000</v>
      </c>
      <c r="S48" s="91">
        <f t="shared" si="3"/>
        <v>0.30666666666666664</v>
      </c>
      <c r="T48" s="91">
        <f t="shared" si="4"/>
        <v>0</v>
      </c>
      <c r="U48" s="27" t="s">
        <v>50</v>
      </c>
      <c r="V48" s="19" t="s">
        <v>51</v>
      </c>
      <c r="W48" s="20">
        <v>45674</v>
      </c>
      <c r="X48" s="22" t="s">
        <v>251</v>
      </c>
      <c r="Y48" s="19" t="s">
        <v>52</v>
      </c>
      <c r="Z48" s="19" t="s">
        <v>52</v>
      </c>
      <c r="AA48" s="19" t="s">
        <v>52</v>
      </c>
      <c r="AB48" s="28"/>
      <c r="AC48" s="90"/>
    </row>
    <row r="49" spans="1:29" s="29" customFormat="1" ht="15" customHeight="1" x14ac:dyDescent="0.25">
      <c r="A49" s="14">
        <v>6</v>
      </c>
      <c r="B49" s="15">
        <v>45727</v>
      </c>
      <c r="C49" s="15">
        <f t="shared" si="5"/>
        <v>45735</v>
      </c>
      <c r="D49" s="14">
        <v>12321</v>
      </c>
      <c r="E49" s="84" t="s">
        <v>441</v>
      </c>
      <c r="F49" s="86" t="s">
        <v>442</v>
      </c>
      <c r="G49" s="87" t="s">
        <v>75</v>
      </c>
      <c r="H49" s="88" t="s">
        <v>162</v>
      </c>
      <c r="I49" s="19" t="s">
        <v>86</v>
      </c>
      <c r="J49" s="20">
        <v>45652</v>
      </c>
      <c r="K49" s="20">
        <v>45675</v>
      </c>
      <c r="L49" s="21">
        <v>3000000</v>
      </c>
      <c r="M49" s="22">
        <f t="shared" si="6"/>
        <v>3100000</v>
      </c>
      <c r="N49" s="23">
        <v>3100000</v>
      </c>
      <c r="O49" s="23">
        <v>0</v>
      </c>
      <c r="P49" s="24">
        <f t="shared" si="7"/>
        <v>-100000</v>
      </c>
      <c r="Q49" s="25">
        <v>0</v>
      </c>
      <c r="R49" s="26">
        <v>160000</v>
      </c>
      <c r="S49" s="91">
        <f t="shared" si="3"/>
        <v>0</v>
      </c>
      <c r="T49" s="91">
        <f t="shared" si="4"/>
        <v>0</v>
      </c>
      <c r="U49" s="27" t="s">
        <v>56</v>
      </c>
      <c r="V49" s="19" t="s">
        <v>51</v>
      </c>
      <c r="W49" s="20">
        <v>45691</v>
      </c>
      <c r="X49" s="22" t="s">
        <v>251</v>
      </c>
      <c r="Y49" s="19" t="s">
        <v>52</v>
      </c>
      <c r="Z49" s="19" t="s">
        <v>52</v>
      </c>
      <c r="AA49" s="19" t="s">
        <v>52</v>
      </c>
      <c r="AB49" s="28"/>
      <c r="AC49" s="90"/>
    </row>
    <row r="50" spans="1:29" s="29" customFormat="1" ht="15" customHeight="1" x14ac:dyDescent="0.25">
      <c r="A50" s="14">
        <v>7</v>
      </c>
      <c r="B50" s="15">
        <v>45734</v>
      </c>
      <c r="C50" s="15">
        <f t="shared" si="5"/>
        <v>45742</v>
      </c>
      <c r="D50" s="14">
        <v>12287</v>
      </c>
      <c r="E50" s="84" t="s">
        <v>95</v>
      </c>
      <c r="F50" s="87" t="s">
        <v>96</v>
      </c>
      <c r="G50" s="87" t="s">
        <v>75</v>
      </c>
      <c r="H50" s="88" t="s">
        <v>54</v>
      </c>
      <c r="I50" s="19" t="s">
        <v>86</v>
      </c>
      <c r="J50" s="20">
        <v>45645</v>
      </c>
      <c r="K50" s="20">
        <v>45680</v>
      </c>
      <c r="L50" s="21">
        <v>2000000</v>
      </c>
      <c r="M50" s="22">
        <f t="shared" si="6"/>
        <v>2064000</v>
      </c>
      <c r="N50" s="23">
        <v>2064000</v>
      </c>
      <c r="O50" s="23">
        <v>0</v>
      </c>
      <c r="P50" s="24">
        <f t="shared" si="7"/>
        <v>-64000</v>
      </c>
      <c r="Q50" s="25">
        <v>0</v>
      </c>
      <c r="R50" s="26">
        <v>126000</v>
      </c>
      <c r="S50" s="91">
        <f t="shared" si="3"/>
        <v>0</v>
      </c>
      <c r="T50" s="91">
        <f t="shared" si="4"/>
        <v>0</v>
      </c>
      <c r="U50" s="27" t="s">
        <v>56</v>
      </c>
      <c r="V50" s="19" t="s">
        <v>51</v>
      </c>
      <c r="W50" s="20">
        <v>45700</v>
      </c>
      <c r="X50" s="22" t="s">
        <v>251</v>
      </c>
      <c r="Y50" s="19" t="s">
        <v>52</v>
      </c>
      <c r="Z50" s="19" t="s">
        <v>52</v>
      </c>
      <c r="AA50" s="19" t="s">
        <v>52</v>
      </c>
      <c r="AB50" s="28"/>
      <c r="AC50" s="90"/>
    </row>
    <row r="51" spans="1:29" s="29" customFormat="1" ht="15" customHeight="1" x14ac:dyDescent="0.25">
      <c r="A51" s="14">
        <v>9</v>
      </c>
      <c r="B51" s="15">
        <v>45727</v>
      </c>
      <c r="C51" s="15">
        <f t="shared" si="5"/>
        <v>45735</v>
      </c>
      <c r="D51" s="14">
        <v>12441</v>
      </c>
      <c r="E51" s="16" t="s">
        <v>376</v>
      </c>
      <c r="F51" s="40" t="s">
        <v>371</v>
      </c>
      <c r="G51" s="17" t="s">
        <v>75</v>
      </c>
      <c r="H51" s="18" t="s">
        <v>78</v>
      </c>
      <c r="I51" s="19" t="s">
        <v>79</v>
      </c>
      <c r="J51" s="20">
        <v>45678</v>
      </c>
      <c r="K51" s="20">
        <v>45706</v>
      </c>
      <c r="L51" s="21">
        <v>650000</v>
      </c>
      <c r="M51" s="22">
        <f t="shared" si="6"/>
        <v>657000</v>
      </c>
      <c r="N51" s="23">
        <v>657000</v>
      </c>
      <c r="O51" s="23">
        <v>0</v>
      </c>
      <c r="P51" s="24">
        <f t="shared" si="7"/>
        <v>-7000</v>
      </c>
      <c r="Q51" s="25">
        <v>0</v>
      </c>
      <c r="R51" s="26">
        <v>96000</v>
      </c>
      <c r="S51" s="91">
        <f t="shared" si="3"/>
        <v>0</v>
      </c>
      <c r="T51" s="91">
        <f t="shared" si="4"/>
        <v>0</v>
      </c>
      <c r="U51" s="27" t="s">
        <v>56</v>
      </c>
      <c r="V51" s="19" t="s">
        <v>51</v>
      </c>
      <c r="W51" s="20">
        <v>45704</v>
      </c>
      <c r="X51" s="22" t="s">
        <v>251</v>
      </c>
      <c r="Y51" s="19" t="s">
        <v>52</v>
      </c>
      <c r="Z51" s="19" t="s">
        <v>52</v>
      </c>
      <c r="AA51" s="19" t="s">
        <v>52</v>
      </c>
      <c r="AB51" s="42"/>
      <c r="AC51" s="90"/>
    </row>
    <row r="52" spans="1:29" s="29" customFormat="1" ht="15" customHeight="1" x14ac:dyDescent="0.25">
      <c r="A52" s="14">
        <v>11</v>
      </c>
      <c r="B52" s="15">
        <v>45735</v>
      </c>
      <c r="C52" s="15">
        <f t="shared" si="5"/>
        <v>45743</v>
      </c>
      <c r="D52" s="14">
        <v>12385</v>
      </c>
      <c r="E52" s="16" t="s">
        <v>92</v>
      </c>
      <c r="F52" s="40" t="s">
        <v>93</v>
      </c>
      <c r="G52" s="17" t="s">
        <v>75</v>
      </c>
      <c r="H52" s="18" t="s">
        <v>57</v>
      </c>
      <c r="I52" s="19" t="s">
        <v>94</v>
      </c>
      <c r="J52" s="20">
        <v>45666</v>
      </c>
      <c r="K52" s="20">
        <v>45693</v>
      </c>
      <c r="L52" s="21">
        <v>750000</v>
      </c>
      <c r="M52" s="22">
        <f t="shared" si="6"/>
        <v>750000</v>
      </c>
      <c r="N52" s="23">
        <v>750000</v>
      </c>
      <c r="O52" s="23">
        <v>0</v>
      </c>
      <c r="P52" s="24">
        <f t="shared" si="7"/>
        <v>0</v>
      </c>
      <c r="Q52" s="25">
        <v>0</v>
      </c>
      <c r="R52" s="26">
        <v>150000</v>
      </c>
      <c r="S52" s="91">
        <f t="shared" si="3"/>
        <v>0</v>
      </c>
      <c r="T52" s="91">
        <f t="shared" si="4"/>
        <v>0</v>
      </c>
      <c r="U52" s="27" t="s">
        <v>50</v>
      </c>
      <c r="V52" s="19" t="s">
        <v>51</v>
      </c>
      <c r="W52" s="20">
        <v>45707</v>
      </c>
      <c r="X52" s="22" t="s">
        <v>251</v>
      </c>
      <c r="Y52" s="19" t="s">
        <v>52</v>
      </c>
      <c r="Z52" s="19" t="s">
        <v>52</v>
      </c>
      <c r="AA52" s="19" t="s">
        <v>52</v>
      </c>
      <c r="AB52" s="28"/>
      <c r="AC52" s="90"/>
    </row>
    <row r="53" spans="1:29" s="29" customFormat="1" ht="15" customHeight="1" x14ac:dyDescent="0.25">
      <c r="A53" s="14">
        <v>13</v>
      </c>
      <c r="B53" s="15">
        <v>45734</v>
      </c>
      <c r="C53" s="15">
        <f t="shared" si="5"/>
        <v>45742</v>
      </c>
      <c r="D53" s="14">
        <v>12349</v>
      </c>
      <c r="E53" s="16" t="s">
        <v>289</v>
      </c>
      <c r="F53" s="40" t="s">
        <v>290</v>
      </c>
      <c r="G53" s="17" t="s">
        <v>75</v>
      </c>
      <c r="H53" s="18" t="s">
        <v>133</v>
      </c>
      <c r="I53" s="19" t="s">
        <v>198</v>
      </c>
      <c r="J53" s="20">
        <v>45657</v>
      </c>
      <c r="K53" s="20">
        <v>45712</v>
      </c>
      <c r="L53" s="21">
        <v>120000</v>
      </c>
      <c r="M53" s="22">
        <f t="shared" si="6"/>
        <v>136000</v>
      </c>
      <c r="N53" s="23">
        <v>136000</v>
      </c>
      <c r="O53" s="23">
        <v>0</v>
      </c>
      <c r="P53" s="24">
        <f t="shared" si="7"/>
        <v>-16000</v>
      </c>
      <c r="Q53" s="25">
        <v>0</v>
      </c>
      <c r="R53" s="26">
        <v>60000</v>
      </c>
      <c r="S53" s="91">
        <f t="shared" si="3"/>
        <v>0</v>
      </c>
      <c r="T53" s="91">
        <f t="shared" si="4"/>
        <v>0</v>
      </c>
      <c r="U53" s="27" t="s">
        <v>56</v>
      </c>
      <c r="V53" s="19" t="s">
        <v>51</v>
      </c>
      <c r="W53" s="20">
        <v>45726</v>
      </c>
      <c r="X53" s="22" t="s">
        <v>251</v>
      </c>
      <c r="Y53" s="19" t="s">
        <v>52</v>
      </c>
      <c r="Z53" s="19" t="s">
        <v>52</v>
      </c>
      <c r="AA53" s="19" t="s">
        <v>52</v>
      </c>
      <c r="AB53" s="28"/>
      <c r="AC53" s="90"/>
    </row>
    <row r="54" spans="1:29" s="29" customFormat="1" ht="15" customHeight="1" x14ac:dyDescent="0.25">
      <c r="A54" s="14">
        <v>14</v>
      </c>
      <c r="B54" s="15">
        <v>45729</v>
      </c>
      <c r="C54" s="15">
        <f t="shared" si="5"/>
        <v>45737</v>
      </c>
      <c r="D54" s="14">
        <v>12512</v>
      </c>
      <c r="E54" s="16" t="s">
        <v>92</v>
      </c>
      <c r="F54" s="40" t="s">
        <v>93</v>
      </c>
      <c r="G54" s="17" t="s">
        <v>75</v>
      </c>
      <c r="H54" s="18" t="s">
        <v>57</v>
      </c>
      <c r="I54" s="19" t="s">
        <v>94</v>
      </c>
      <c r="J54" s="20">
        <v>45691</v>
      </c>
      <c r="K54" s="20">
        <v>45723</v>
      </c>
      <c r="L54" s="21">
        <v>900000</v>
      </c>
      <c r="M54" s="22">
        <f t="shared" si="6"/>
        <v>1059000</v>
      </c>
      <c r="N54" s="23">
        <v>1059000</v>
      </c>
      <c r="O54" s="23">
        <v>0</v>
      </c>
      <c r="P54" s="24">
        <f t="shared" si="7"/>
        <v>-159000</v>
      </c>
      <c r="Q54" s="25">
        <v>0</v>
      </c>
      <c r="R54" s="26">
        <v>150000</v>
      </c>
      <c r="S54" s="91">
        <f t="shared" si="3"/>
        <v>0</v>
      </c>
      <c r="T54" s="91">
        <f t="shared" si="4"/>
        <v>0</v>
      </c>
      <c r="U54" s="27" t="s">
        <v>50</v>
      </c>
      <c r="V54" s="19" t="s">
        <v>51</v>
      </c>
      <c r="W54" s="20">
        <v>45707</v>
      </c>
      <c r="X54" s="22" t="s">
        <v>251</v>
      </c>
      <c r="Y54" s="19" t="s">
        <v>52</v>
      </c>
      <c r="Z54" s="19" t="s">
        <v>52</v>
      </c>
      <c r="AA54" s="19" t="s">
        <v>52</v>
      </c>
      <c r="AB54" s="28"/>
      <c r="AC54" s="90"/>
    </row>
    <row r="55" spans="1:29" s="29" customFormat="1" ht="15" customHeight="1" x14ac:dyDescent="0.25">
      <c r="A55" s="14">
        <v>15</v>
      </c>
      <c r="B55" s="15">
        <v>45734</v>
      </c>
      <c r="C55" s="15">
        <f t="shared" si="5"/>
        <v>45742</v>
      </c>
      <c r="D55" s="14">
        <v>12413</v>
      </c>
      <c r="E55" s="16" t="s">
        <v>456</v>
      </c>
      <c r="F55" s="40" t="s">
        <v>80</v>
      </c>
      <c r="G55" s="17" t="s">
        <v>75</v>
      </c>
      <c r="H55" s="18" t="s">
        <v>57</v>
      </c>
      <c r="I55" s="19" t="s">
        <v>58</v>
      </c>
      <c r="J55" s="20">
        <v>45671</v>
      </c>
      <c r="K55" s="20">
        <v>45671</v>
      </c>
      <c r="L55" s="21">
        <v>300000</v>
      </c>
      <c r="M55" s="22">
        <f t="shared" si="6"/>
        <v>279000</v>
      </c>
      <c r="N55" s="23">
        <v>279000</v>
      </c>
      <c r="O55" s="23">
        <v>0</v>
      </c>
      <c r="P55" s="24">
        <f t="shared" si="7"/>
        <v>21000</v>
      </c>
      <c r="Q55" s="25">
        <v>0</v>
      </c>
      <c r="R55" s="26">
        <v>150000</v>
      </c>
      <c r="S55" s="91">
        <f t="shared" si="3"/>
        <v>0.14000000000000001</v>
      </c>
      <c r="T55" s="91">
        <f t="shared" si="4"/>
        <v>0</v>
      </c>
      <c r="U55" s="27" t="s">
        <v>50</v>
      </c>
      <c r="V55" s="19" t="s">
        <v>51</v>
      </c>
      <c r="W55" s="20">
        <v>45727</v>
      </c>
      <c r="X55" s="22" t="s">
        <v>251</v>
      </c>
      <c r="Y55" s="19" t="s">
        <v>52</v>
      </c>
      <c r="Z55" s="19" t="s">
        <v>52</v>
      </c>
      <c r="AA55" s="19" t="s">
        <v>52</v>
      </c>
      <c r="AB55" s="28"/>
      <c r="AC55" s="90"/>
    </row>
    <row r="56" spans="1:29" s="29" customFormat="1" ht="15" customHeight="1" x14ac:dyDescent="0.25">
      <c r="A56" s="14">
        <v>19</v>
      </c>
      <c r="B56" s="15">
        <v>45729</v>
      </c>
      <c r="C56" s="15">
        <f t="shared" si="5"/>
        <v>45737</v>
      </c>
      <c r="D56" s="14">
        <v>12315</v>
      </c>
      <c r="E56" s="16" t="s">
        <v>438</v>
      </c>
      <c r="F56" s="40" t="s">
        <v>439</v>
      </c>
      <c r="G56" s="17" t="s">
        <v>75</v>
      </c>
      <c r="H56" s="18" t="s">
        <v>78</v>
      </c>
      <c r="I56" s="19" t="s">
        <v>79</v>
      </c>
      <c r="J56" s="20">
        <v>45649</v>
      </c>
      <c r="K56" s="20">
        <v>45691</v>
      </c>
      <c r="L56" s="21">
        <v>80000</v>
      </c>
      <c r="M56" s="22">
        <f t="shared" si="6"/>
        <v>105000</v>
      </c>
      <c r="N56" s="23">
        <v>105000</v>
      </c>
      <c r="O56" s="23">
        <v>0</v>
      </c>
      <c r="P56" s="24">
        <f t="shared" si="7"/>
        <v>-25000</v>
      </c>
      <c r="Q56" s="25">
        <v>0</v>
      </c>
      <c r="R56" s="26">
        <v>126000</v>
      </c>
      <c r="S56" s="91">
        <f t="shared" si="3"/>
        <v>0</v>
      </c>
      <c r="T56" s="91">
        <f t="shared" si="4"/>
        <v>0</v>
      </c>
      <c r="U56" s="27" t="s">
        <v>56</v>
      </c>
      <c r="V56" s="19" t="s">
        <v>51</v>
      </c>
      <c r="W56" s="20">
        <v>45731</v>
      </c>
      <c r="X56" s="22" t="s">
        <v>251</v>
      </c>
      <c r="Y56" s="19" t="s">
        <v>52</v>
      </c>
      <c r="Z56" s="19" t="s">
        <v>52</v>
      </c>
      <c r="AA56" s="19" t="s">
        <v>52</v>
      </c>
      <c r="AB56" s="28"/>
      <c r="AC56" s="90"/>
    </row>
    <row r="57" spans="1:29" s="29" customFormat="1" ht="15" customHeight="1" x14ac:dyDescent="0.25">
      <c r="A57" s="14">
        <v>22</v>
      </c>
      <c r="B57" s="15">
        <v>45729</v>
      </c>
      <c r="C57" s="15">
        <f t="shared" si="5"/>
        <v>45737</v>
      </c>
      <c r="D57" s="14">
        <v>12435</v>
      </c>
      <c r="E57" s="16" t="s">
        <v>344</v>
      </c>
      <c r="F57" s="40" t="s">
        <v>345</v>
      </c>
      <c r="G57" s="17" t="s">
        <v>75</v>
      </c>
      <c r="H57" s="18" t="s">
        <v>257</v>
      </c>
      <c r="I57" s="19" t="s">
        <v>302</v>
      </c>
      <c r="J57" s="20">
        <v>45678</v>
      </c>
      <c r="K57" s="20">
        <v>45705</v>
      </c>
      <c r="L57" s="21">
        <v>500000</v>
      </c>
      <c r="M57" s="22">
        <f t="shared" si="6"/>
        <v>474000</v>
      </c>
      <c r="N57" s="23">
        <v>474000</v>
      </c>
      <c r="O57" s="23">
        <v>0</v>
      </c>
      <c r="P57" s="24">
        <f t="shared" si="7"/>
        <v>26000</v>
      </c>
      <c r="Q57" s="25">
        <v>0</v>
      </c>
      <c r="R57" s="26">
        <v>150000</v>
      </c>
      <c r="S57" s="91">
        <f t="shared" si="3"/>
        <v>0.17333333333333334</v>
      </c>
      <c r="T57" s="91">
        <f t="shared" si="4"/>
        <v>0</v>
      </c>
      <c r="U57" s="27" t="s">
        <v>50</v>
      </c>
      <c r="V57" s="19" t="s">
        <v>51</v>
      </c>
      <c r="W57" s="20">
        <v>45698</v>
      </c>
      <c r="X57" s="22" t="s">
        <v>251</v>
      </c>
      <c r="Y57" s="19" t="s">
        <v>52</v>
      </c>
      <c r="Z57" s="19" t="s">
        <v>52</v>
      </c>
      <c r="AA57" s="19" t="s">
        <v>52</v>
      </c>
      <c r="AB57" s="28"/>
      <c r="AC57" s="90"/>
    </row>
    <row r="58" spans="1:29" s="29" customFormat="1" ht="15" customHeight="1" x14ac:dyDescent="0.25">
      <c r="A58" s="14">
        <v>23</v>
      </c>
      <c r="B58" s="15">
        <v>45729</v>
      </c>
      <c r="C58" s="15">
        <f t="shared" si="5"/>
        <v>45737</v>
      </c>
      <c r="D58" s="14">
        <v>12473</v>
      </c>
      <c r="E58" s="16" t="s">
        <v>340</v>
      </c>
      <c r="F58" s="40" t="s">
        <v>201</v>
      </c>
      <c r="G58" s="17" t="s">
        <v>75</v>
      </c>
      <c r="H58" s="18" t="s">
        <v>57</v>
      </c>
      <c r="I58" s="19" t="s">
        <v>58</v>
      </c>
      <c r="J58" s="20">
        <v>45685</v>
      </c>
      <c r="K58" s="20">
        <v>45706</v>
      </c>
      <c r="L58" s="21">
        <v>600000</v>
      </c>
      <c r="M58" s="22">
        <f t="shared" si="6"/>
        <v>600000</v>
      </c>
      <c r="N58" s="23">
        <v>600000</v>
      </c>
      <c r="O58" s="23">
        <v>0</v>
      </c>
      <c r="P58" s="24">
        <f t="shared" si="7"/>
        <v>0</v>
      </c>
      <c r="Q58" s="25">
        <v>0</v>
      </c>
      <c r="R58" s="26">
        <v>150000</v>
      </c>
      <c r="S58" s="91">
        <f t="shared" si="3"/>
        <v>0</v>
      </c>
      <c r="T58" s="91">
        <f t="shared" si="4"/>
        <v>0</v>
      </c>
      <c r="U58" s="27" t="s">
        <v>50</v>
      </c>
      <c r="V58" s="19" t="s">
        <v>51</v>
      </c>
      <c r="W58" s="20">
        <v>45702</v>
      </c>
      <c r="X58" s="22" t="s">
        <v>251</v>
      </c>
      <c r="Y58" s="19" t="s">
        <v>52</v>
      </c>
      <c r="Z58" s="19" t="s">
        <v>52</v>
      </c>
      <c r="AA58" s="19" t="s">
        <v>52</v>
      </c>
      <c r="AB58" s="28"/>
      <c r="AC58" s="90"/>
    </row>
    <row r="59" spans="1:29" s="29" customFormat="1" ht="15" customHeight="1" x14ac:dyDescent="0.25">
      <c r="A59" s="14">
        <v>27</v>
      </c>
      <c r="B59" s="15">
        <v>45734</v>
      </c>
      <c r="C59" s="15">
        <f t="shared" si="5"/>
        <v>45742</v>
      </c>
      <c r="D59" s="14">
        <v>12433</v>
      </c>
      <c r="E59" s="16" t="s">
        <v>410</v>
      </c>
      <c r="F59" s="40" t="s">
        <v>411</v>
      </c>
      <c r="G59" s="17" t="s">
        <v>75</v>
      </c>
      <c r="H59" s="18" t="s">
        <v>257</v>
      </c>
      <c r="I59" s="19" t="s">
        <v>104</v>
      </c>
      <c r="J59" s="20">
        <v>45674</v>
      </c>
      <c r="K59" s="20">
        <v>45716</v>
      </c>
      <c r="L59" s="21">
        <v>500000</v>
      </c>
      <c r="M59" s="22">
        <f t="shared" si="6"/>
        <v>570000</v>
      </c>
      <c r="N59" s="23">
        <v>570000</v>
      </c>
      <c r="O59" s="23">
        <v>0</v>
      </c>
      <c r="P59" s="24">
        <f t="shared" si="7"/>
        <v>-70000</v>
      </c>
      <c r="Q59" s="25">
        <v>0</v>
      </c>
      <c r="R59" s="26">
        <v>150000</v>
      </c>
      <c r="S59" s="91">
        <f t="shared" ref="S59:S122" si="8">IF(P59&gt;0,P59/$R59,0)</f>
        <v>0</v>
      </c>
      <c r="T59" s="91">
        <f t="shared" ref="T59:T122" si="9">IF(Q59&gt;0,Q59/$R59,0)</f>
        <v>0</v>
      </c>
      <c r="U59" s="27" t="s">
        <v>50</v>
      </c>
      <c r="V59" s="19" t="s">
        <v>51</v>
      </c>
      <c r="W59" s="20">
        <v>45694</v>
      </c>
      <c r="X59" s="22" t="s">
        <v>251</v>
      </c>
      <c r="Y59" s="19" t="s">
        <v>52</v>
      </c>
      <c r="Z59" s="19" t="s">
        <v>52</v>
      </c>
      <c r="AA59" s="19" t="s">
        <v>52</v>
      </c>
      <c r="AB59" s="28"/>
      <c r="AC59" s="90"/>
    </row>
    <row r="60" spans="1:29" s="29" customFormat="1" ht="15" customHeight="1" x14ac:dyDescent="0.25">
      <c r="A60" s="14">
        <v>31</v>
      </c>
      <c r="B60" s="15">
        <v>45727</v>
      </c>
      <c r="C60" s="15">
        <f t="shared" si="5"/>
        <v>45735</v>
      </c>
      <c r="D60" s="14">
        <v>12325</v>
      </c>
      <c r="E60" s="16" t="s">
        <v>445</v>
      </c>
      <c r="F60" s="40" t="s">
        <v>446</v>
      </c>
      <c r="G60" s="17" t="s">
        <v>75</v>
      </c>
      <c r="H60" s="18" t="s">
        <v>78</v>
      </c>
      <c r="I60" s="19" t="s">
        <v>79</v>
      </c>
      <c r="J60" s="20">
        <v>45656</v>
      </c>
      <c r="K60" s="20">
        <v>45688</v>
      </c>
      <c r="L60" s="21">
        <v>150000</v>
      </c>
      <c r="M60" s="22">
        <f t="shared" si="6"/>
        <v>168000</v>
      </c>
      <c r="N60" s="23">
        <v>168000</v>
      </c>
      <c r="O60" s="23">
        <v>0</v>
      </c>
      <c r="P60" s="24">
        <f t="shared" si="7"/>
        <v>-18000</v>
      </c>
      <c r="Q60" s="25">
        <v>0</v>
      </c>
      <c r="R60" s="26">
        <v>126000</v>
      </c>
      <c r="S60" s="91">
        <f t="shared" si="8"/>
        <v>0</v>
      </c>
      <c r="T60" s="91">
        <f t="shared" si="9"/>
        <v>0</v>
      </c>
      <c r="U60" s="27" t="s">
        <v>56</v>
      </c>
      <c r="V60" s="19" t="s">
        <v>51</v>
      </c>
      <c r="W60" s="20">
        <v>45716</v>
      </c>
      <c r="X60" s="22" t="s">
        <v>251</v>
      </c>
      <c r="Y60" s="19" t="s">
        <v>52</v>
      </c>
      <c r="Z60" s="19" t="s">
        <v>52</v>
      </c>
      <c r="AA60" s="19" t="s">
        <v>52</v>
      </c>
      <c r="AB60" s="28"/>
      <c r="AC60" s="90"/>
    </row>
    <row r="61" spans="1:29" s="29" customFormat="1" ht="15" customHeight="1" x14ac:dyDescent="0.25">
      <c r="A61" s="14">
        <v>37</v>
      </c>
      <c r="B61" s="15">
        <v>45729</v>
      </c>
      <c r="C61" s="15">
        <f t="shared" si="5"/>
        <v>45737</v>
      </c>
      <c r="D61" s="14">
        <v>12581</v>
      </c>
      <c r="E61" s="16" t="s">
        <v>252</v>
      </c>
      <c r="F61" s="40" t="s">
        <v>253</v>
      </c>
      <c r="G61" s="17" t="s">
        <v>75</v>
      </c>
      <c r="H61" s="18" t="s">
        <v>54</v>
      </c>
      <c r="I61" s="19" t="s">
        <v>86</v>
      </c>
      <c r="J61" s="20">
        <v>45705</v>
      </c>
      <c r="K61" s="20">
        <v>45729</v>
      </c>
      <c r="L61" s="21">
        <v>250000</v>
      </c>
      <c r="M61" s="22">
        <f t="shared" si="6"/>
        <v>252000</v>
      </c>
      <c r="N61" s="23">
        <v>252000</v>
      </c>
      <c r="O61" s="23">
        <v>0</v>
      </c>
      <c r="P61" s="24">
        <f t="shared" si="7"/>
        <v>-2000</v>
      </c>
      <c r="Q61" s="25">
        <v>0</v>
      </c>
      <c r="R61" s="26">
        <v>63000</v>
      </c>
      <c r="S61" s="91">
        <f t="shared" si="8"/>
        <v>0</v>
      </c>
      <c r="T61" s="91">
        <f t="shared" si="9"/>
        <v>0</v>
      </c>
      <c r="U61" s="27" t="s">
        <v>56</v>
      </c>
      <c r="V61" s="19" t="s">
        <v>51</v>
      </c>
      <c r="W61" s="20">
        <v>45731</v>
      </c>
      <c r="X61" s="22" t="s">
        <v>251</v>
      </c>
      <c r="Y61" s="19" t="s">
        <v>52</v>
      </c>
      <c r="Z61" s="19" t="s">
        <v>52</v>
      </c>
      <c r="AA61" s="19" t="s">
        <v>52</v>
      </c>
      <c r="AB61" s="28"/>
      <c r="AC61" s="90"/>
    </row>
    <row r="62" spans="1:29" s="29" customFormat="1" ht="15" customHeight="1" x14ac:dyDescent="0.25">
      <c r="A62" s="14">
        <v>4</v>
      </c>
      <c r="B62" s="15">
        <v>45734</v>
      </c>
      <c r="C62" s="15">
        <f t="shared" si="5"/>
        <v>45742</v>
      </c>
      <c r="D62" s="14">
        <v>12411</v>
      </c>
      <c r="E62" s="16" t="s">
        <v>107</v>
      </c>
      <c r="F62" s="17" t="s">
        <v>108</v>
      </c>
      <c r="G62" s="17" t="s">
        <v>102</v>
      </c>
      <c r="H62" s="18" t="s">
        <v>48</v>
      </c>
      <c r="I62" s="19" t="s">
        <v>104</v>
      </c>
      <c r="J62" s="20">
        <v>45671</v>
      </c>
      <c r="K62" s="20">
        <v>45698</v>
      </c>
      <c r="L62" s="21">
        <v>63000</v>
      </c>
      <c r="M62" s="22">
        <f t="shared" si="6"/>
        <v>54000</v>
      </c>
      <c r="N62" s="23">
        <v>54000</v>
      </c>
      <c r="O62" s="23">
        <v>0</v>
      </c>
      <c r="P62" s="24">
        <f t="shared" si="7"/>
        <v>9000</v>
      </c>
      <c r="Q62" s="25">
        <v>0</v>
      </c>
      <c r="R62" s="26">
        <v>63000</v>
      </c>
      <c r="S62" s="91">
        <f t="shared" si="8"/>
        <v>0.14285714285714285</v>
      </c>
      <c r="T62" s="91">
        <f t="shared" si="9"/>
        <v>0</v>
      </c>
      <c r="U62" s="27" t="s">
        <v>50</v>
      </c>
      <c r="V62" s="19" t="s">
        <v>51</v>
      </c>
      <c r="W62" s="20">
        <v>45685</v>
      </c>
      <c r="X62" s="22" t="s">
        <v>251</v>
      </c>
      <c r="Y62" s="19" t="s">
        <v>52</v>
      </c>
      <c r="Z62" s="19" t="s">
        <v>52</v>
      </c>
      <c r="AA62" s="19" t="s">
        <v>52</v>
      </c>
      <c r="AB62" s="28"/>
    </row>
    <row r="63" spans="1:29" s="29" customFormat="1" ht="15" customHeight="1" x14ac:dyDescent="0.25">
      <c r="A63" s="14">
        <v>5</v>
      </c>
      <c r="B63" s="15">
        <v>45729</v>
      </c>
      <c r="C63" s="15">
        <f t="shared" si="5"/>
        <v>45737</v>
      </c>
      <c r="D63" s="14">
        <v>12432</v>
      </c>
      <c r="E63" s="16" t="s">
        <v>114</v>
      </c>
      <c r="F63" s="17" t="s">
        <v>115</v>
      </c>
      <c r="G63" s="17" t="s">
        <v>102</v>
      </c>
      <c r="H63" s="18" t="s">
        <v>257</v>
      </c>
      <c r="I63" s="19" t="s">
        <v>104</v>
      </c>
      <c r="J63" s="20">
        <v>45674</v>
      </c>
      <c r="K63" s="20">
        <v>45695</v>
      </c>
      <c r="L63" s="21">
        <v>1000000</v>
      </c>
      <c r="M63" s="22">
        <f t="shared" si="6"/>
        <v>953000</v>
      </c>
      <c r="N63" s="23">
        <v>953000</v>
      </c>
      <c r="O63" s="23">
        <v>0</v>
      </c>
      <c r="P63" s="24">
        <f t="shared" si="7"/>
        <v>47000</v>
      </c>
      <c r="Q63" s="25">
        <v>0</v>
      </c>
      <c r="R63" s="26">
        <v>63000</v>
      </c>
      <c r="S63" s="91">
        <f t="shared" si="8"/>
        <v>0.74603174603174605</v>
      </c>
      <c r="T63" s="91">
        <f t="shared" si="9"/>
        <v>0</v>
      </c>
      <c r="U63" s="27" t="s">
        <v>50</v>
      </c>
      <c r="V63" s="19" t="s">
        <v>51</v>
      </c>
      <c r="W63" s="20">
        <v>45700</v>
      </c>
      <c r="X63" s="22" t="s">
        <v>251</v>
      </c>
      <c r="Y63" s="19" t="s">
        <v>52</v>
      </c>
      <c r="Z63" s="19" t="s">
        <v>52</v>
      </c>
      <c r="AA63" s="19" t="s">
        <v>52</v>
      </c>
      <c r="AB63" s="28"/>
    </row>
    <row r="64" spans="1:29" s="29" customFormat="1" ht="15" customHeight="1" x14ac:dyDescent="0.25">
      <c r="A64" s="14">
        <v>6</v>
      </c>
      <c r="B64" s="15">
        <v>45729</v>
      </c>
      <c r="C64" s="15">
        <f t="shared" si="5"/>
        <v>45737</v>
      </c>
      <c r="D64" s="14">
        <v>12464</v>
      </c>
      <c r="E64" s="16" t="s">
        <v>244</v>
      </c>
      <c r="F64" s="17" t="s">
        <v>243</v>
      </c>
      <c r="G64" s="17" t="s">
        <v>102</v>
      </c>
      <c r="H64" s="18" t="s">
        <v>62</v>
      </c>
      <c r="I64" s="19" t="s">
        <v>63</v>
      </c>
      <c r="J64" s="20">
        <v>45681</v>
      </c>
      <c r="K64" s="20">
        <v>45709</v>
      </c>
      <c r="L64" s="21">
        <v>672000</v>
      </c>
      <c r="M64" s="22">
        <f t="shared" si="6"/>
        <v>672000</v>
      </c>
      <c r="N64" s="23">
        <v>672000</v>
      </c>
      <c r="O64" s="23">
        <v>0</v>
      </c>
      <c r="P64" s="24">
        <f t="shared" si="7"/>
        <v>0</v>
      </c>
      <c r="Q64" s="25">
        <v>0</v>
      </c>
      <c r="R64" s="26">
        <v>84000</v>
      </c>
      <c r="S64" s="91">
        <f t="shared" si="8"/>
        <v>0</v>
      </c>
      <c r="T64" s="91">
        <f t="shared" si="9"/>
        <v>0</v>
      </c>
      <c r="U64" s="27" t="s">
        <v>50</v>
      </c>
      <c r="V64" s="19" t="s">
        <v>51</v>
      </c>
      <c r="W64" s="20">
        <v>45696</v>
      </c>
      <c r="X64" s="22" t="s">
        <v>251</v>
      </c>
      <c r="Y64" s="19" t="s">
        <v>52</v>
      </c>
      <c r="Z64" s="19" t="s">
        <v>52</v>
      </c>
      <c r="AA64" s="19" t="s">
        <v>52</v>
      </c>
      <c r="AB64" s="28"/>
    </row>
    <row r="65" spans="1:29" s="29" customFormat="1" ht="15" customHeight="1" x14ac:dyDescent="0.25">
      <c r="A65" s="14">
        <v>14</v>
      </c>
      <c r="B65" s="15">
        <v>45729</v>
      </c>
      <c r="C65" s="15">
        <f t="shared" si="5"/>
        <v>45737</v>
      </c>
      <c r="D65" s="14">
        <v>12605</v>
      </c>
      <c r="E65" s="16" t="s">
        <v>312</v>
      </c>
      <c r="F65" s="17" t="s">
        <v>313</v>
      </c>
      <c r="G65" s="17" t="s">
        <v>102</v>
      </c>
      <c r="H65" s="18" t="s">
        <v>57</v>
      </c>
      <c r="I65" s="19" t="s">
        <v>94</v>
      </c>
      <c r="J65" s="20">
        <v>45708</v>
      </c>
      <c r="K65" s="20">
        <v>45777</v>
      </c>
      <c r="L65" s="21">
        <v>30000</v>
      </c>
      <c r="M65" s="22">
        <f t="shared" si="6"/>
        <v>32000</v>
      </c>
      <c r="N65" s="23">
        <v>32000</v>
      </c>
      <c r="O65" s="23">
        <v>0</v>
      </c>
      <c r="P65" s="24">
        <f t="shared" si="7"/>
        <v>-2000</v>
      </c>
      <c r="Q65" s="25">
        <v>0</v>
      </c>
      <c r="R65" s="26">
        <v>50000</v>
      </c>
      <c r="S65" s="91">
        <f t="shared" si="8"/>
        <v>0</v>
      </c>
      <c r="T65" s="91">
        <f t="shared" si="9"/>
        <v>0</v>
      </c>
      <c r="U65" s="27" t="s">
        <v>50</v>
      </c>
      <c r="V65" s="19" t="s">
        <v>51</v>
      </c>
      <c r="W65" s="20">
        <v>45729</v>
      </c>
      <c r="X65" s="22" t="s">
        <v>251</v>
      </c>
      <c r="Y65" s="19" t="s">
        <v>52</v>
      </c>
      <c r="Z65" s="19" t="s">
        <v>52</v>
      </c>
      <c r="AA65" s="19" t="s">
        <v>52</v>
      </c>
      <c r="AB65" s="28"/>
    </row>
    <row r="66" spans="1:29" s="29" customFormat="1" ht="15" customHeight="1" x14ac:dyDescent="0.25">
      <c r="A66" s="14">
        <v>5</v>
      </c>
      <c r="B66" s="15">
        <v>45727</v>
      </c>
      <c r="C66" s="15">
        <f t="shared" si="5"/>
        <v>45735</v>
      </c>
      <c r="D66" s="14">
        <v>12444</v>
      </c>
      <c r="E66" s="16" t="s">
        <v>322</v>
      </c>
      <c r="F66" s="17" t="s">
        <v>323</v>
      </c>
      <c r="G66" s="17" t="s">
        <v>132</v>
      </c>
      <c r="H66" s="18" t="s">
        <v>133</v>
      </c>
      <c r="I66" s="19" t="s">
        <v>198</v>
      </c>
      <c r="J66" s="20">
        <v>45680</v>
      </c>
      <c r="K66" s="20">
        <v>45719</v>
      </c>
      <c r="L66" s="21">
        <v>400000</v>
      </c>
      <c r="M66" s="22">
        <f t="shared" si="6"/>
        <v>402000</v>
      </c>
      <c r="N66" s="23">
        <v>402000</v>
      </c>
      <c r="O66" s="23">
        <v>0</v>
      </c>
      <c r="P66" s="24">
        <f t="shared" si="7"/>
        <v>-2000</v>
      </c>
      <c r="Q66" s="25">
        <v>0</v>
      </c>
      <c r="R66" s="26">
        <v>160000</v>
      </c>
      <c r="S66" s="91">
        <f t="shared" si="8"/>
        <v>0</v>
      </c>
      <c r="T66" s="91">
        <f t="shared" si="9"/>
        <v>0</v>
      </c>
      <c r="U66" s="27" t="s">
        <v>56</v>
      </c>
      <c r="V66" s="19" t="s">
        <v>51</v>
      </c>
      <c r="W66" s="20">
        <v>45701</v>
      </c>
      <c r="X66" s="22" t="s">
        <v>251</v>
      </c>
      <c r="Y66" s="19" t="s">
        <v>52</v>
      </c>
      <c r="Z66" s="19" t="s">
        <v>52</v>
      </c>
      <c r="AA66" s="19" t="s">
        <v>52</v>
      </c>
      <c r="AB66" s="28"/>
    </row>
    <row r="67" spans="1:29" s="29" customFormat="1" ht="15" customHeight="1" x14ac:dyDescent="0.25">
      <c r="A67" s="14">
        <v>6</v>
      </c>
      <c r="B67" s="15">
        <v>45734</v>
      </c>
      <c r="C67" s="15">
        <f t="shared" si="5"/>
        <v>45742</v>
      </c>
      <c r="D67" s="14">
        <v>12425</v>
      </c>
      <c r="E67" s="16" t="s">
        <v>316</v>
      </c>
      <c r="F67" s="17" t="s">
        <v>317</v>
      </c>
      <c r="G67" s="17" t="s">
        <v>132</v>
      </c>
      <c r="H67" s="18" t="s">
        <v>133</v>
      </c>
      <c r="I67" s="19" t="s">
        <v>198</v>
      </c>
      <c r="J67" s="20">
        <v>45673</v>
      </c>
      <c r="K67" s="20">
        <v>45721</v>
      </c>
      <c r="L67" s="21">
        <v>2000000</v>
      </c>
      <c r="M67" s="22">
        <f t="shared" si="6"/>
        <v>2016000</v>
      </c>
      <c r="N67" s="23">
        <v>2016000</v>
      </c>
      <c r="O67" s="23">
        <v>0</v>
      </c>
      <c r="P67" s="24">
        <f t="shared" si="7"/>
        <v>-16000</v>
      </c>
      <c r="Q67" s="25">
        <v>0</v>
      </c>
      <c r="R67" s="26">
        <v>128000</v>
      </c>
      <c r="S67" s="91">
        <f t="shared" si="8"/>
        <v>0</v>
      </c>
      <c r="T67" s="91">
        <f t="shared" si="9"/>
        <v>0</v>
      </c>
      <c r="U67" s="27" t="s">
        <v>56</v>
      </c>
      <c r="V67" s="19" t="s">
        <v>51</v>
      </c>
      <c r="W67" s="20">
        <v>45713</v>
      </c>
      <c r="X67" s="22" t="s">
        <v>251</v>
      </c>
      <c r="Y67" s="19" t="s">
        <v>52</v>
      </c>
      <c r="Z67" s="19" t="s">
        <v>52</v>
      </c>
      <c r="AA67" s="19" t="s">
        <v>52</v>
      </c>
      <c r="AB67" s="28"/>
    </row>
    <row r="68" spans="1:29" s="29" customFormat="1" ht="15" customHeight="1" x14ac:dyDescent="0.25">
      <c r="A68" s="14">
        <v>8</v>
      </c>
      <c r="B68" s="15">
        <v>45737</v>
      </c>
      <c r="C68" s="15">
        <f t="shared" si="5"/>
        <v>45745</v>
      </c>
      <c r="D68" s="14">
        <v>12550</v>
      </c>
      <c r="E68" s="16" t="s">
        <v>136</v>
      </c>
      <c r="F68" s="17" t="s">
        <v>479</v>
      </c>
      <c r="G68" s="17" t="s">
        <v>132</v>
      </c>
      <c r="H68" s="18" t="s">
        <v>54</v>
      </c>
      <c r="I68" s="19" t="s">
        <v>135</v>
      </c>
      <c r="J68" s="20">
        <v>45695</v>
      </c>
      <c r="K68" s="20">
        <v>45708</v>
      </c>
      <c r="L68" s="21">
        <v>375000</v>
      </c>
      <c r="M68" s="22">
        <f t="shared" si="6"/>
        <v>309890</v>
      </c>
      <c r="N68" s="23">
        <v>309890</v>
      </c>
      <c r="O68" s="23">
        <v>0</v>
      </c>
      <c r="P68" s="24">
        <f t="shared" si="7"/>
        <v>65110</v>
      </c>
      <c r="Q68" s="25">
        <v>0</v>
      </c>
      <c r="R68" s="26">
        <v>69948</v>
      </c>
      <c r="S68" s="91">
        <f t="shared" si="8"/>
        <v>0.93083433407674276</v>
      </c>
      <c r="T68" s="91">
        <f t="shared" si="9"/>
        <v>0</v>
      </c>
      <c r="U68" s="27" t="s">
        <v>56</v>
      </c>
      <c r="V68" s="19" t="s">
        <v>51</v>
      </c>
      <c r="W68" s="20">
        <v>45716</v>
      </c>
      <c r="X68" s="22" t="s">
        <v>251</v>
      </c>
      <c r="Y68" s="19" t="s">
        <v>52</v>
      </c>
      <c r="Z68" s="19" t="s">
        <v>52</v>
      </c>
      <c r="AA68" s="19" t="s">
        <v>52</v>
      </c>
      <c r="AB68" s="28"/>
    </row>
    <row r="69" spans="1:29" s="29" customFormat="1" ht="15" customHeight="1" x14ac:dyDescent="0.25">
      <c r="A69" s="14">
        <v>10</v>
      </c>
      <c r="B69" s="15">
        <v>45734</v>
      </c>
      <c r="C69" s="15">
        <f t="shared" si="5"/>
        <v>45742</v>
      </c>
      <c r="D69" s="14">
        <v>12563</v>
      </c>
      <c r="E69" s="16" t="s">
        <v>156</v>
      </c>
      <c r="F69" s="17" t="s">
        <v>157</v>
      </c>
      <c r="G69" s="17" t="s">
        <v>132</v>
      </c>
      <c r="H69" s="18" t="s">
        <v>54</v>
      </c>
      <c r="I69" s="19" t="s">
        <v>135</v>
      </c>
      <c r="J69" s="20">
        <v>45699</v>
      </c>
      <c r="K69" s="20">
        <v>45742</v>
      </c>
      <c r="L69" s="21">
        <v>321000</v>
      </c>
      <c r="M69" s="22">
        <f t="shared" si="6"/>
        <v>337110</v>
      </c>
      <c r="N69" s="23">
        <v>337110</v>
      </c>
      <c r="O69" s="23">
        <v>0</v>
      </c>
      <c r="P69" s="24">
        <f t="shared" si="7"/>
        <v>-16110</v>
      </c>
      <c r="Q69" s="25">
        <v>0</v>
      </c>
      <c r="R69" s="26">
        <v>57330</v>
      </c>
      <c r="S69" s="91">
        <f t="shared" si="8"/>
        <v>0</v>
      </c>
      <c r="T69" s="91">
        <f t="shared" si="9"/>
        <v>0</v>
      </c>
      <c r="U69" s="27" t="s">
        <v>56</v>
      </c>
      <c r="V69" s="19" t="s">
        <v>51</v>
      </c>
      <c r="W69" s="20">
        <v>45716</v>
      </c>
      <c r="X69" s="22" t="s">
        <v>251</v>
      </c>
      <c r="Y69" s="19" t="s">
        <v>52</v>
      </c>
      <c r="Z69" s="19" t="s">
        <v>52</v>
      </c>
      <c r="AA69" s="19" t="s">
        <v>52</v>
      </c>
      <c r="AB69" s="28"/>
    </row>
    <row r="70" spans="1:29" s="29" customFormat="1" ht="15" customHeight="1" x14ac:dyDescent="0.25">
      <c r="A70" s="14">
        <v>12</v>
      </c>
      <c r="B70" s="15">
        <v>45729</v>
      </c>
      <c r="C70" s="15">
        <f t="shared" si="5"/>
        <v>45737</v>
      </c>
      <c r="D70" s="14">
        <v>12558</v>
      </c>
      <c r="E70" s="16" t="s">
        <v>307</v>
      </c>
      <c r="F70" s="17" t="s">
        <v>308</v>
      </c>
      <c r="G70" s="17" t="s">
        <v>132</v>
      </c>
      <c r="H70" s="18" t="s">
        <v>133</v>
      </c>
      <c r="I70" s="19" t="s">
        <v>198</v>
      </c>
      <c r="J70" s="20">
        <v>45700</v>
      </c>
      <c r="K70" s="20">
        <v>45749</v>
      </c>
      <c r="L70" s="21">
        <v>550000</v>
      </c>
      <c r="M70" s="22">
        <f t="shared" si="6"/>
        <v>584000</v>
      </c>
      <c r="N70" s="23">
        <v>584000</v>
      </c>
      <c r="O70" s="23">
        <v>0</v>
      </c>
      <c r="P70" s="24">
        <f t="shared" si="7"/>
        <v>-34000</v>
      </c>
      <c r="Q70" s="25">
        <v>0</v>
      </c>
      <c r="R70" s="26">
        <v>128000</v>
      </c>
      <c r="S70" s="91">
        <f t="shared" si="8"/>
        <v>0</v>
      </c>
      <c r="T70" s="91">
        <f t="shared" si="9"/>
        <v>0</v>
      </c>
      <c r="U70" s="27" t="s">
        <v>56</v>
      </c>
      <c r="V70" s="19" t="s">
        <v>51</v>
      </c>
      <c r="W70" s="20">
        <v>45716</v>
      </c>
      <c r="X70" s="22" t="s">
        <v>251</v>
      </c>
      <c r="Y70" s="19" t="s">
        <v>52</v>
      </c>
      <c r="Z70" s="19" t="s">
        <v>52</v>
      </c>
      <c r="AA70" s="19" t="s">
        <v>52</v>
      </c>
      <c r="AB70" s="28"/>
    </row>
    <row r="71" spans="1:29" s="29" customFormat="1" ht="15" customHeight="1" x14ac:dyDescent="0.25">
      <c r="A71" s="14">
        <v>13</v>
      </c>
      <c r="B71" s="15">
        <v>45734</v>
      </c>
      <c r="C71" s="15">
        <f t="shared" si="5"/>
        <v>45742</v>
      </c>
      <c r="D71" s="14">
        <v>12633</v>
      </c>
      <c r="E71" s="16" t="s">
        <v>143</v>
      </c>
      <c r="F71" s="17" t="s">
        <v>144</v>
      </c>
      <c r="G71" s="17" t="s">
        <v>132</v>
      </c>
      <c r="H71" s="18" t="s">
        <v>54</v>
      </c>
      <c r="I71" s="19" t="s">
        <v>135</v>
      </c>
      <c r="J71" s="20">
        <v>45713</v>
      </c>
      <c r="K71" s="20">
        <v>45761</v>
      </c>
      <c r="L71" s="21">
        <v>150000</v>
      </c>
      <c r="M71" s="22">
        <f t="shared" si="6"/>
        <v>175500</v>
      </c>
      <c r="N71" s="23">
        <v>175500</v>
      </c>
      <c r="O71" s="23">
        <v>0</v>
      </c>
      <c r="P71" s="24">
        <f t="shared" si="7"/>
        <v>-25500</v>
      </c>
      <c r="Q71" s="25">
        <v>0</v>
      </c>
      <c r="R71" s="26">
        <v>175500</v>
      </c>
      <c r="S71" s="91">
        <f t="shared" si="8"/>
        <v>0</v>
      </c>
      <c r="T71" s="91">
        <f t="shared" si="9"/>
        <v>0</v>
      </c>
      <c r="U71" s="27" t="s">
        <v>56</v>
      </c>
      <c r="V71" s="19" t="s">
        <v>51</v>
      </c>
      <c r="W71" s="20">
        <v>45734</v>
      </c>
      <c r="X71" s="22" t="s">
        <v>251</v>
      </c>
      <c r="Y71" s="19" t="s">
        <v>52</v>
      </c>
      <c r="Z71" s="19" t="s">
        <v>52</v>
      </c>
      <c r="AA71" s="19" t="s">
        <v>52</v>
      </c>
      <c r="AB71" s="28"/>
    </row>
    <row r="72" spans="1:29" s="29" customFormat="1" ht="15" customHeight="1" x14ac:dyDescent="0.25">
      <c r="A72" s="14">
        <v>10</v>
      </c>
      <c r="B72" s="15">
        <v>45729</v>
      </c>
      <c r="C72" s="15">
        <f t="shared" si="5"/>
        <v>45737</v>
      </c>
      <c r="D72" s="14">
        <v>12328</v>
      </c>
      <c r="E72" s="16" t="s">
        <v>447</v>
      </c>
      <c r="F72" s="40" t="s">
        <v>448</v>
      </c>
      <c r="G72" s="17" t="s">
        <v>75</v>
      </c>
      <c r="H72" s="18" t="s">
        <v>113</v>
      </c>
      <c r="I72" s="19" t="s">
        <v>118</v>
      </c>
      <c r="J72" s="20">
        <v>45657</v>
      </c>
      <c r="K72" s="20">
        <v>45697</v>
      </c>
      <c r="L72" s="21">
        <v>750000</v>
      </c>
      <c r="M72" s="22">
        <f t="shared" si="6"/>
        <v>822000</v>
      </c>
      <c r="N72" s="23">
        <v>822000</v>
      </c>
      <c r="O72" s="23">
        <v>0</v>
      </c>
      <c r="P72" s="24">
        <f t="shared" si="7"/>
        <v>-72000</v>
      </c>
      <c r="Q72" s="25">
        <v>0</v>
      </c>
      <c r="R72" s="26">
        <v>150000</v>
      </c>
      <c r="S72" s="91">
        <f t="shared" si="8"/>
        <v>0</v>
      </c>
      <c r="T72" s="91">
        <f t="shared" si="9"/>
        <v>0</v>
      </c>
      <c r="U72" s="27" t="s">
        <v>50</v>
      </c>
      <c r="V72" s="19" t="s">
        <v>51</v>
      </c>
      <c r="W72" s="20">
        <v>45674</v>
      </c>
      <c r="X72" s="22" t="s">
        <v>251</v>
      </c>
      <c r="Y72" s="19" t="s">
        <v>52</v>
      </c>
      <c r="Z72" s="19" t="s">
        <v>52</v>
      </c>
      <c r="AA72" s="19" t="s">
        <v>52</v>
      </c>
      <c r="AB72" s="28"/>
      <c r="AC72" s="90"/>
    </row>
    <row r="73" spans="1:29" s="29" customFormat="1" ht="15" customHeight="1" x14ac:dyDescent="0.25">
      <c r="A73" s="14">
        <v>14</v>
      </c>
      <c r="B73" s="15">
        <v>45737</v>
      </c>
      <c r="C73" s="15">
        <f t="shared" si="5"/>
        <v>45745</v>
      </c>
      <c r="D73" s="14">
        <v>12467</v>
      </c>
      <c r="E73" s="16" t="s">
        <v>464</v>
      </c>
      <c r="F73" s="40" t="s">
        <v>465</v>
      </c>
      <c r="G73" s="17" t="s">
        <v>75</v>
      </c>
      <c r="H73" s="18" t="s">
        <v>113</v>
      </c>
      <c r="I73" s="19" t="s">
        <v>94</v>
      </c>
      <c r="J73" s="20">
        <v>45684</v>
      </c>
      <c r="K73" s="20">
        <v>45713</v>
      </c>
      <c r="L73" s="21">
        <v>1050000</v>
      </c>
      <c r="M73" s="22">
        <f t="shared" si="6"/>
        <v>1143000</v>
      </c>
      <c r="N73" s="23">
        <v>1143000</v>
      </c>
      <c r="O73" s="23">
        <v>0</v>
      </c>
      <c r="P73" s="24">
        <f t="shared" si="7"/>
        <v>-93000</v>
      </c>
      <c r="Q73" s="25">
        <v>0</v>
      </c>
      <c r="R73" s="26">
        <v>150000</v>
      </c>
      <c r="S73" s="91">
        <f t="shared" si="8"/>
        <v>0</v>
      </c>
      <c r="T73" s="91">
        <f t="shared" si="9"/>
        <v>0</v>
      </c>
      <c r="U73" s="27" t="s">
        <v>50</v>
      </c>
      <c r="V73" s="19" t="s">
        <v>51</v>
      </c>
      <c r="W73" s="20">
        <v>45716</v>
      </c>
      <c r="X73" s="22" t="s">
        <v>251</v>
      </c>
      <c r="Y73" s="19" t="s">
        <v>52</v>
      </c>
      <c r="Z73" s="19" t="s">
        <v>52</v>
      </c>
      <c r="AA73" s="19" t="s">
        <v>52</v>
      </c>
      <c r="AB73" s="28"/>
      <c r="AC73" s="90"/>
    </row>
    <row r="74" spans="1:29" s="29" customFormat="1" ht="15" customHeight="1" x14ac:dyDescent="0.25">
      <c r="A74" s="14">
        <v>22</v>
      </c>
      <c r="B74" s="15">
        <v>45744</v>
      </c>
      <c r="C74" s="15">
        <f t="shared" si="5"/>
        <v>45752</v>
      </c>
      <c r="D74" s="14">
        <v>12570</v>
      </c>
      <c r="E74" s="16" t="s">
        <v>303</v>
      </c>
      <c r="F74" s="40" t="s">
        <v>304</v>
      </c>
      <c r="G74" s="17" t="s">
        <v>75</v>
      </c>
      <c r="H74" s="18" t="s">
        <v>57</v>
      </c>
      <c r="I74" s="19" t="s">
        <v>64</v>
      </c>
      <c r="J74" s="20">
        <v>45700</v>
      </c>
      <c r="K74" s="20">
        <v>45741</v>
      </c>
      <c r="L74" s="21">
        <v>1000000</v>
      </c>
      <c r="M74" s="22">
        <f t="shared" si="6"/>
        <v>1254000</v>
      </c>
      <c r="N74" s="23">
        <v>1254000</v>
      </c>
      <c r="O74" s="23">
        <v>0</v>
      </c>
      <c r="P74" s="24">
        <f t="shared" si="7"/>
        <v>-254000</v>
      </c>
      <c r="Q74" s="25">
        <v>0</v>
      </c>
      <c r="R74" s="26">
        <v>48000</v>
      </c>
      <c r="S74" s="91">
        <f t="shared" si="8"/>
        <v>0</v>
      </c>
      <c r="T74" s="91">
        <f t="shared" si="9"/>
        <v>0</v>
      </c>
      <c r="U74" s="27" t="s">
        <v>50</v>
      </c>
      <c r="V74" s="19" t="s">
        <v>51</v>
      </c>
      <c r="W74" s="20">
        <v>45728</v>
      </c>
      <c r="X74" s="22" t="s">
        <v>251</v>
      </c>
      <c r="Y74" s="19" t="s">
        <v>52</v>
      </c>
      <c r="Z74" s="19" t="s">
        <v>52</v>
      </c>
      <c r="AA74" s="19" t="s">
        <v>52</v>
      </c>
      <c r="AB74" s="28"/>
      <c r="AC74" s="90"/>
    </row>
    <row r="75" spans="1:29" s="29" customFormat="1" ht="15" customHeight="1" x14ac:dyDescent="0.25">
      <c r="A75" s="14">
        <v>2</v>
      </c>
      <c r="B75" s="15">
        <v>45737</v>
      </c>
      <c r="C75" s="15">
        <f t="shared" si="5"/>
        <v>45745</v>
      </c>
      <c r="D75" s="14">
        <v>12256</v>
      </c>
      <c r="E75" s="16" t="s">
        <v>194</v>
      </c>
      <c r="F75" s="17" t="s">
        <v>195</v>
      </c>
      <c r="G75" s="17" t="s">
        <v>102</v>
      </c>
      <c r="H75" s="18" t="s">
        <v>257</v>
      </c>
      <c r="I75" s="19" t="s">
        <v>104</v>
      </c>
      <c r="J75" s="20">
        <v>45642</v>
      </c>
      <c r="K75" s="20">
        <v>45670</v>
      </c>
      <c r="L75" s="21">
        <v>300000</v>
      </c>
      <c r="M75" s="22">
        <f t="shared" si="6"/>
        <v>290000</v>
      </c>
      <c r="N75" s="23">
        <v>290000</v>
      </c>
      <c r="O75" s="23">
        <v>0</v>
      </c>
      <c r="P75" s="24">
        <f t="shared" si="7"/>
        <v>10000</v>
      </c>
      <c r="Q75" s="25">
        <v>0</v>
      </c>
      <c r="R75" s="26">
        <v>96000</v>
      </c>
      <c r="S75" s="91">
        <f t="shared" si="8"/>
        <v>0.10416666666666667</v>
      </c>
      <c r="T75" s="91">
        <f t="shared" si="9"/>
        <v>0</v>
      </c>
      <c r="U75" s="27" t="s">
        <v>50</v>
      </c>
      <c r="V75" s="19" t="s">
        <v>51</v>
      </c>
      <c r="W75" s="20">
        <v>45667</v>
      </c>
      <c r="X75" s="22" t="s">
        <v>251</v>
      </c>
      <c r="Y75" s="19" t="s">
        <v>52</v>
      </c>
      <c r="Z75" s="19" t="s">
        <v>52</v>
      </c>
      <c r="AA75" s="19" t="s">
        <v>52</v>
      </c>
      <c r="AB75" s="28"/>
    </row>
    <row r="76" spans="1:29" s="29" customFormat="1" ht="15" customHeight="1" x14ac:dyDescent="0.25">
      <c r="A76" s="14">
        <v>5</v>
      </c>
      <c r="B76" s="15">
        <v>45737</v>
      </c>
      <c r="C76" s="15">
        <f t="shared" si="5"/>
        <v>45745</v>
      </c>
      <c r="D76" s="14">
        <v>12538</v>
      </c>
      <c r="E76" s="16" t="s">
        <v>284</v>
      </c>
      <c r="F76" s="17" t="s">
        <v>285</v>
      </c>
      <c r="G76" s="17" t="s">
        <v>102</v>
      </c>
      <c r="H76" s="18" t="s">
        <v>522</v>
      </c>
      <c r="I76" s="19"/>
      <c r="J76" s="20">
        <v>45695</v>
      </c>
      <c r="K76" s="20">
        <v>45722</v>
      </c>
      <c r="L76" s="21">
        <v>150000</v>
      </c>
      <c r="M76" s="22">
        <f t="shared" si="6"/>
        <v>149000</v>
      </c>
      <c r="N76" s="23">
        <v>149000</v>
      </c>
      <c r="O76" s="23">
        <v>0</v>
      </c>
      <c r="P76" s="24">
        <f t="shared" si="7"/>
        <v>1000</v>
      </c>
      <c r="Q76" s="25">
        <v>0</v>
      </c>
      <c r="R76" s="26">
        <v>50000</v>
      </c>
      <c r="S76" s="91">
        <f t="shared" si="8"/>
        <v>0.02</v>
      </c>
      <c r="T76" s="91">
        <f t="shared" si="9"/>
        <v>0</v>
      </c>
      <c r="U76" s="27" t="s">
        <v>50</v>
      </c>
      <c r="V76" s="19" t="s">
        <v>51</v>
      </c>
      <c r="W76" s="20">
        <v>45713</v>
      </c>
      <c r="X76" s="22" t="s">
        <v>251</v>
      </c>
      <c r="Y76" s="19" t="s">
        <v>52</v>
      </c>
      <c r="Z76" s="19" t="s">
        <v>52</v>
      </c>
      <c r="AA76" s="19" t="s">
        <v>52</v>
      </c>
      <c r="AB76" s="28"/>
    </row>
    <row r="77" spans="1:29" s="29" customFormat="1" ht="15" customHeight="1" x14ac:dyDescent="0.25">
      <c r="A77" s="14">
        <v>2</v>
      </c>
      <c r="B77" s="15">
        <v>45737</v>
      </c>
      <c r="C77" s="15">
        <f t="shared" si="5"/>
        <v>45745</v>
      </c>
      <c r="D77" s="14">
        <v>12408</v>
      </c>
      <c r="E77" s="16" t="s">
        <v>451</v>
      </c>
      <c r="F77" s="17" t="s">
        <v>326</v>
      </c>
      <c r="G77" s="17" t="s">
        <v>132</v>
      </c>
      <c r="H77" s="18" t="s">
        <v>54</v>
      </c>
      <c r="I77" s="19" t="s">
        <v>198</v>
      </c>
      <c r="J77" s="20">
        <v>45671</v>
      </c>
      <c r="K77" s="20">
        <v>45700</v>
      </c>
      <c r="L77" s="21">
        <v>175000</v>
      </c>
      <c r="M77" s="22">
        <f t="shared" si="6"/>
        <v>216000</v>
      </c>
      <c r="N77" s="23">
        <v>216000</v>
      </c>
      <c r="O77" s="23">
        <v>0</v>
      </c>
      <c r="P77" s="24">
        <f t="shared" si="7"/>
        <v>-41000</v>
      </c>
      <c r="Q77" s="25">
        <v>0</v>
      </c>
      <c r="R77" s="26">
        <v>324000</v>
      </c>
      <c r="S77" s="91">
        <f t="shared" si="8"/>
        <v>0</v>
      </c>
      <c r="T77" s="91">
        <f t="shared" si="9"/>
        <v>0</v>
      </c>
      <c r="U77" s="27" t="s">
        <v>56</v>
      </c>
      <c r="V77" s="19" t="s">
        <v>51</v>
      </c>
      <c r="W77" s="20">
        <v>45740</v>
      </c>
      <c r="X77" s="22" t="s">
        <v>251</v>
      </c>
      <c r="Y77" s="19" t="s">
        <v>52</v>
      </c>
      <c r="Z77" s="19" t="s">
        <v>52</v>
      </c>
      <c r="AA77" s="19" t="s">
        <v>52</v>
      </c>
      <c r="AB77" s="28"/>
    </row>
    <row r="78" spans="1:29" s="29" customFormat="1" ht="15" customHeight="1" x14ac:dyDescent="0.25">
      <c r="A78" s="14">
        <v>3</v>
      </c>
      <c r="B78" s="15">
        <v>45727</v>
      </c>
      <c r="C78" s="15">
        <f t="shared" si="5"/>
        <v>45735</v>
      </c>
      <c r="D78" s="14">
        <v>12350</v>
      </c>
      <c r="E78" s="16" t="s">
        <v>358</v>
      </c>
      <c r="F78" s="17" t="s">
        <v>359</v>
      </c>
      <c r="G78" s="17" t="s">
        <v>132</v>
      </c>
      <c r="H78" s="18" t="s">
        <v>54</v>
      </c>
      <c r="I78" s="19" t="s">
        <v>198</v>
      </c>
      <c r="J78" s="20">
        <v>45679</v>
      </c>
      <c r="K78" s="20">
        <v>45706</v>
      </c>
      <c r="L78" s="21">
        <v>400000</v>
      </c>
      <c r="M78" s="22">
        <f t="shared" si="6"/>
        <v>384000</v>
      </c>
      <c r="N78" s="23">
        <v>384000</v>
      </c>
      <c r="O78" s="23">
        <v>0</v>
      </c>
      <c r="P78" s="24">
        <f t="shared" si="7"/>
        <v>16000</v>
      </c>
      <c r="Q78" s="25">
        <v>0</v>
      </c>
      <c r="R78" s="26">
        <v>324000</v>
      </c>
      <c r="S78" s="91">
        <f t="shared" si="8"/>
        <v>4.9382716049382713E-2</v>
      </c>
      <c r="T78" s="91">
        <f t="shared" si="9"/>
        <v>0</v>
      </c>
      <c r="U78" s="27" t="s">
        <v>56</v>
      </c>
      <c r="V78" s="19" t="s">
        <v>51</v>
      </c>
      <c r="W78" s="20">
        <v>45706</v>
      </c>
      <c r="X78" s="22" t="s">
        <v>251</v>
      </c>
      <c r="Y78" s="19" t="s">
        <v>52</v>
      </c>
      <c r="Z78" s="19" t="s">
        <v>52</v>
      </c>
      <c r="AA78" s="19" t="s">
        <v>52</v>
      </c>
      <c r="AB78" s="28"/>
    </row>
    <row r="79" spans="1:29" s="29" customFormat="1" ht="15" customHeight="1" x14ac:dyDescent="0.25">
      <c r="A79" s="14">
        <v>7</v>
      </c>
      <c r="B79" s="15">
        <v>45736</v>
      </c>
      <c r="C79" s="15">
        <f t="shared" si="5"/>
        <v>45744</v>
      </c>
      <c r="D79" s="14">
        <v>12614</v>
      </c>
      <c r="E79" s="16" t="s">
        <v>224</v>
      </c>
      <c r="F79" s="17" t="s">
        <v>225</v>
      </c>
      <c r="G79" s="17" t="s">
        <v>132</v>
      </c>
      <c r="H79" s="18" t="s">
        <v>54</v>
      </c>
      <c r="I79" s="19" t="s">
        <v>135</v>
      </c>
      <c r="J79" s="20">
        <v>45709</v>
      </c>
      <c r="K79" s="20">
        <v>45751</v>
      </c>
      <c r="L79" s="21">
        <v>30000</v>
      </c>
      <c r="M79" s="22">
        <f t="shared" si="6"/>
        <v>35539</v>
      </c>
      <c r="N79" s="23">
        <v>35539</v>
      </c>
      <c r="O79" s="23">
        <v>0</v>
      </c>
      <c r="P79" s="24">
        <f t="shared" si="7"/>
        <v>-5539</v>
      </c>
      <c r="Q79" s="25">
        <v>0</v>
      </c>
      <c r="R79" s="26">
        <v>75078</v>
      </c>
      <c r="S79" s="91">
        <f t="shared" si="8"/>
        <v>0</v>
      </c>
      <c r="T79" s="91">
        <f t="shared" si="9"/>
        <v>0</v>
      </c>
      <c r="U79" s="27" t="s">
        <v>56</v>
      </c>
      <c r="V79" s="19" t="s">
        <v>51</v>
      </c>
      <c r="W79" s="20">
        <v>45730</v>
      </c>
      <c r="X79" s="22" t="s">
        <v>251</v>
      </c>
      <c r="Y79" s="19" t="s">
        <v>52</v>
      </c>
      <c r="Z79" s="19" t="s">
        <v>52</v>
      </c>
      <c r="AA79" s="19" t="s">
        <v>52</v>
      </c>
      <c r="AB79" s="28"/>
    </row>
    <row r="80" spans="1:29" s="29" customFormat="1" ht="15" customHeight="1" x14ac:dyDescent="0.25">
      <c r="A80" s="14">
        <v>8</v>
      </c>
      <c r="B80" s="15">
        <v>45736</v>
      </c>
      <c r="C80" s="15">
        <f t="shared" si="5"/>
        <v>45744</v>
      </c>
      <c r="D80" s="14">
        <v>12666</v>
      </c>
      <c r="E80" s="16" t="s">
        <v>224</v>
      </c>
      <c r="F80" s="17" t="s">
        <v>225</v>
      </c>
      <c r="G80" s="17" t="s">
        <v>132</v>
      </c>
      <c r="H80" s="18" t="s">
        <v>54</v>
      </c>
      <c r="I80" s="19" t="s">
        <v>135</v>
      </c>
      <c r="J80" s="20">
        <v>45722</v>
      </c>
      <c r="K80" s="20">
        <v>45762</v>
      </c>
      <c r="L80" s="21">
        <v>60000</v>
      </c>
      <c r="M80" s="22">
        <f t="shared" si="6"/>
        <v>64000</v>
      </c>
      <c r="N80" s="23">
        <v>64000</v>
      </c>
      <c r="O80" s="23">
        <v>0</v>
      </c>
      <c r="P80" s="24">
        <f t="shared" si="7"/>
        <v>-4000</v>
      </c>
      <c r="Q80" s="25">
        <v>0</v>
      </c>
      <c r="R80" s="26">
        <v>75078</v>
      </c>
      <c r="S80" s="91">
        <f t="shared" si="8"/>
        <v>0</v>
      </c>
      <c r="T80" s="91">
        <f t="shared" si="9"/>
        <v>0</v>
      </c>
      <c r="U80" s="27" t="s">
        <v>56</v>
      </c>
      <c r="V80" s="19" t="s">
        <v>51</v>
      </c>
      <c r="W80" s="20">
        <v>45730</v>
      </c>
      <c r="X80" s="22" t="s">
        <v>251</v>
      </c>
      <c r="Y80" s="19" t="s">
        <v>52</v>
      </c>
      <c r="Z80" s="19" t="s">
        <v>52</v>
      </c>
      <c r="AA80" s="19" t="s">
        <v>52</v>
      </c>
      <c r="AB80" s="28"/>
    </row>
    <row r="81" spans="1:29" s="29" customFormat="1" ht="15" customHeight="1" x14ac:dyDescent="0.25">
      <c r="A81" s="14">
        <v>4</v>
      </c>
      <c r="B81" s="15">
        <v>45745</v>
      </c>
      <c r="C81" s="15">
        <f t="shared" si="5"/>
        <v>45753</v>
      </c>
      <c r="D81" s="14">
        <v>12279</v>
      </c>
      <c r="E81" s="16" t="s">
        <v>73</v>
      </c>
      <c r="F81" s="17" t="s">
        <v>74</v>
      </c>
      <c r="G81" s="17" t="s">
        <v>75</v>
      </c>
      <c r="H81" s="18" t="s">
        <v>48</v>
      </c>
      <c r="I81" s="19" t="s">
        <v>49</v>
      </c>
      <c r="J81" s="20">
        <v>45646</v>
      </c>
      <c r="K81" s="20">
        <v>45684</v>
      </c>
      <c r="L81" s="21">
        <v>475000</v>
      </c>
      <c r="M81" s="22">
        <f t="shared" si="6"/>
        <v>437000</v>
      </c>
      <c r="N81" s="23">
        <v>437000</v>
      </c>
      <c r="O81" s="23">
        <v>0</v>
      </c>
      <c r="P81" s="24">
        <f t="shared" si="7"/>
        <v>38000</v>
      </c>
      <c r="Q81" s="25">
        <v>0</v>
      </c>
      <c r="R81" s="26">
        <v>36000</v>
      </c>
      <c r="S81" s="91">
        <f t="shared" si="8"/>
        <v>1.0555555555555556</v>
      </c>
      <c r="T81" s="91">
        <f t="shared" si="9"/>
        <v>0</v>
      </c>
      <c r="U81" s="27" t="s">
        <v>50</v>
      </c>
      <c r="V81" s="19" t="s">
        <v>51</v>
      </c>
      <c r="W81" s="20">
        <v>45699</v>
      </c>
      <c r="X81" s="22" t="s">
        <v>251</v>
      </c>
      <c r="Y81" s="19" t="s">
        <v>52</v>
      </c>
      <c r="Z81" s="19" t="s">
        <v>52</v>
      </c>
      <c r="AA81" s="19" t="s">
        <v>52</v>
      </c>
      <c r="AB81" s="28"/>
      <c r="AC81" s="90"/>
    </row>
    <row r="82" spans="1:29" s="29" customFormat="1" ht="15" customHeight="1" x14ac:dyDescent="0.25">
      <c r="A82" s="14">
        <v>13</v>
      </c>
      <c r="B82" s="15">
        <v>45741</v>
      </c>
      <c r="C82" s="15">
        <f t="shared" si="5"/>
        <v>45749</v>
      </c>
      <c r="D82" s="14">
        <v>12480</v>
      </c>
      <c r="E82" s="16" t="s">
        <v>472</v>
      </c>
      <c r="F82" s="40" t="s">
        <v>473</v>
      </c>
      <c r="G82" s="17" t="s">
        <v>75</v>
      </c>
      <c r="H82" s="18" t="s">
        <v>78</v>
      </c>
      <c r="I82" s="19" t="s">
        <v>79</v>
      </c>
      <c r="J82" s="20">
        <v>45687</v>
      </c>
      <c r="K82" s="20">
        <v>45717</v>
      </c>
      <c r="L82" s="21">
        <v>50000</v>
      </c>
      <c r="M82" s="22">
        <f t="shared" si="6"/>
        <v>52000</v>
      </c>
      <c r="N82" s="23">
        <v>52000</v>
      </c>
      <c r="O82" s="23">
        <v>0</v>
      </c>
      <c r="P82" s="24">
        <f t="shared" si="7"/>
        <v>-2000</v>
      </c>
      <c r="Q82" s="25">
        <v>0</v>
      </c>
      <c r="R82" s="26">
        <v>84000</v>
      </c>
      <c r="S82" s="91">
        <f t="shared" si="8"/>
        <v>0</v>
      </c>
      <c r="T82" s="91">
        <f t="shared" si="9"/>
        <v>0</v>
      </c>
      <c r="U82" s="27" t="s">
        <v>56</v>
      </c>
      <c r="V82" s="19" t="s">
        <v>51</v>
      </c>
      <c r="W82" s="20">
        <v>45731</v>
      </c>
      <c r="X82" s="22" t="s">
        <v>251</v>
      </c>
      <c r="Y82" s="19" t="s">
        <v>52</v>
      </c>
      <c r="Z82" s="19" t="s">
        <v>52</v>
      </c>
      <c r="AA82" s="19" t="s">
        <v>52</v>
      </c>
      <c r="AB82" s="28"/>
      <c r="AC82" s="90"/>
    </row>
    <row r="83" spans="1:29" s="29" customFormat="1" ht="15" customHeight="1" x14ac:dyDescent="0.25">
      <c r="A83" s="14">
        <v>16</v>
      </c>
      <c r="B83" s="15">
        <v>45745</v>
      </c>
      <c r="C83" s="15">
        <f t="shared" si="5"/>
        <v>45753</v>
      </c>
      <c r="D83" s="14">
        <v>12545</v>
      </c>
      <c r="E83" s="16" t="s">
        <v>385</v>
      </c>
      <c r="F83" s="40" t="s">
        <v>386</v>
      </c>
      <c r="G83" s="17" t="s">
        <v>75</v>
      </c>
      <c r="H83" s="18" t="s">
        <v>257</v>
      </c>
      <c r="I83" s="19" t="s">
        <v>70</v>
      </c>
      <c r="J83" s="20">
        <v>45694</v>
      </c>
      <c r="K83" s="20">
        <v>45736</v>
      </c>
      <c r="L83" s="21">
        <v>2000000</v>
      </c>
      <c r="M83" s="22">
        <f t="shared" si="6"/>
        <v>2031000</v>
      </c>
      <c r="N83" s="23">
        <v>2031000</v>
      </c>
      <c r="O83" s="23">
        <v>0</v>
      </c>
      <c r="P83" s="24">
        <f t="shared" si="7"/>
        <v>-31000</v>
      </c>
      <c r="Q83" s="25">
        <v>0</v>
      </c>
      <c r="R83" s="26">
        <v>150000</v>
      </c>
      <c r="S83" s="91">
        <f t="shared" si="8"/>
        <v>0</v>
      </c>
      <c r="T83" s="91">
        <f t="shared" si="9"/>
        <v>0</v>
      </c>
      <c r="U83" s="27" t="s">
        <v>50</v>
      </c>
      <c r="V83" s="19" t="s">
        <v>51</v>
      </c>
      <c r="W83" s="20">
        <v>45728</v>
      </c>
      <c r="X83" s="22" t="s">
        <v>251</v>
      </c>
      <c r="Y83" s="19" t="s">
        <v>52</v>
      </c>
      <c r="Z83" s="19" t="s">
        <v>52</v>
      </c>
      <c r="AA83" s="19" t="s">
        <v>52</v>
      </c>
      <c r="AB83" s="28"/>
      <c r="AC83" s="90"/>
    </row>
    <row r="84" spans="1:29" s="29" customFormat="1" ht="15" customHeight="1" x14ac:dyDescent="0.25">
      <c r="A84" s="14">
        <v>19</v>
      </c>
      <c r="B84" s="15">
        <v>45745</v>
      </c>
      <c r="C84" s="15">
        <f t="shared" si="5"/>
        <v>45753</v>
      </c>
      <c r="D84" s="14">
        <v>12590</v>
      </c>
      <c r="E84" s="16" t="s">
        <v>236</v>
      </c>
      <c r="F84" s="40" t="s">
        <v>237</v>
      </c>
      <c r="G84" s="17" t="s">
        <v>75</v>
      </c>
      <c r="H84" s="18" t="s">
        <v>62</v>
      </c>
      <c r="I84" s="19" t="s">
        <v>63</v>
      </c>
      <c r="J84" s="20">
        <v>45706</v>
      </c>
      <c r="K84" s="20">
        <v>45741</v>
      </c>
      <c r="L84" s="21">
        <v>250000</v>
      </c>
      <c r="M84" s="22">
        <f t="shared" si="6"/>
        <v>243000</v>
      </c>
      <c r="N84" s="23">
        <v>243000</v>
      </c>
      <c r="O84" s="23">
        <v>0</v>
      </c>
      <c r="P84" s="24">
        <f t="shared" si="7"/>
        <v>7000</v>
      </c>
      <c r="Q84" s="25">
        <v>0</v>
      </c>
      <c r="R84" s="26">
        <v>150000</v>
      </c>
      <c r="S84" s="91">
        <f t="shared" si="8"/>
        <v>4.6666666666666669E-2</v>
      </c>
      <c r="T84" s="91">
        <f t="shared" si="9"/>
        <v>0</v>
      </c>
      <c r="U84" s="27" t="s">
        <v>50</v>
      </c>
      <c r="V84" s="19" t="s">
        <v>51</v>
      </c>
      <c r="W84" s="20">
        <v>45744</v>
      </c>
      <c r="X84" s="22" t="s">
        <v>251</v>
      </c>
      <c r="Y84" s="19" t="s">
        <v>52</v>
      </c>
      <c r="Z84" s="19" t="s">
        <v>52</v>
      </c>
      <c r="AA84" s="19" t="s">
        <v>52</v>
      </c>
      <c r="AB84" s="28"/>
      <c r="AC84" s="90"/>
    </row>
    <row r="85" spans="1:29" s="29" customFormat="1" ht="15" customHeight="1" x14ac:dyDescent="0.25">
      <c r="A85" s="14">
        <v>20</v>
      </c>
      <c r="B85" s="15">
        <v>45745</v>
      </c>
      <c r="C85" s="15">
        <f t="shared" si="5"/>
        <v>45753</v>
      </c>
      <c r="D85" s="14">
        <v>12596</v>
      </c>
      <c r="E85" s="16" t="s">
        <v>238</v>
      </c>
      <c r="F85" s="40" t="s">
        <v>239</v>
      </c>
      <c r="G85" s="17" t="s">
        <v>75</v>
      </c>
      <c r="H85" s="18" t="s">
        <v>57</v>
      </c>
      <c r="I85" s="19" t="s">
        <v>94</v>
      </c>
      <c r="J85" s="20">
        <v>45708</v>
      </c>
      <c r="K85" s="20">
        <v>45756</v>
      </c>
      <c r="L85" s="21">
        <v>300000</v>
      </c>
      <c r="M85" s="22">
        <f t="shared" si="6"/>
        <v>345000</v>
      </c>
      <c r="N85" s="23">
        <v>345000</v>
      </c>
      <c r="O85" s="23">
        <v>0</v>
      </c>
      <c r="P85" s="24">
        <f t="shared" si="7"/>
        <v>-45000</v>
      </c>
      <c r="Q85" s="25">
        <v>0</v>
      </c>
      <c r="R85" s="26">
        <v>150000</v>
      </c>
      <c r="S85" s="91">
        <f t="shared" si="8"/>
        <v>0</v>
      </c>
      <c r="T85" s="91">
        <f t="shared" si="9"/>
        <v>0</v>
      </c>
      <c r="U85" s="27" t="s">
        <v>50</v>
      </c>
      <c r="V85" s="19" t="s">
        <v>51</v>
      </c>
      <c r="W85" s="20">
        <v>45746</v>
      </c>
      <c r="X85" s="22" t="s">
        <v>251</v>
      </c>
      <c r="Y85" s="19" t="s">
        <v>52</v>
      </c>
      <c r="Z85" s="19" t="s">
        <v>52</v>
      </c>
      <c r="AA85" s="19" t="s">
        <v>52</v>
      </c>
      <c r="AB85" s="28"/>
      <c r="AC85" s="90"/>
    </row>
    <row r="86" spans="1:29" s="29" customFormat="1" ht="15" customHeight="1" x14ac:dyDescent="0.25">
      <c r="A86" s="14">
        <v>22</v>
      </c>
      <c r="B86" s="15">
        <v>45748</v>
      </c>
      <c r="C86" s="15">
        <f t="shared" si="5"/>
        <v>45756</v>
      </c>
      <c r="D86" s="14">
        <v>12615</v>
      </c>
      <c r="E86" s="16" t="s">
        <v>425</v>
      </c>
      <c r="F86" s="40" t="s">
        <v>426</v>
      </c>
      <c r="G86" s="17" t="s">
        <v>75</v>
      </c>
      <c r="H86" s="18" t="s">
        <v>57</v>
      </c>
      <c r="I86" s="19" t="s">
        <v>58</v>
      </c>
      <c r="J86" s="20">
        <v>45709</v>
      </c>
      <c r="K86" s="20">
        <v>45736</v>
      </c>
      <c r="L86" s="21">
        <v>300000</v>
      </c>
      <c r="M86" s="22">
        <f t="shared" si="6"/>
        <v>300000</v>
      </c>
      <c r="N86" s="23">
        <v>300000</v>
      </c>
      <c r="O86" s="23">
        <v>0</v>
      </c>
      <c r="P86" s="24">
        <f t="shared" si="7"/>
        <v>0</v>
      </c>
      <c r="Q86" s="25">
        <v>0</v>
      </c>
      <c r="R86" s="26">
        <v>150000</v>
      </c>
      <c r="S86" s="91">
        <f t="shared" si="8"/>
        <v>0</v>
      </c>
      <c r="T86" s="91">
        <f t="shared" si="9"/>
        <v>0</v>
      </c>
      <c r="U86" s="27" t="s">
        <v>50</v>
      </c>
      <c r="V86" s="19" t="s">
        <v>51</v>
      </c>
      <c r="W86" s="20">
        <v>45744</v>
      </c>
      <c r="X86" s="22" t="s">
        <v>251</v>
      </c>
      <c r="Y86" s="19" t="s">
        <v>52</v>
      </c>
      <c r="Z86" s="19" t="s">
        <v>52</v>
      </c>
      <c r="AA86" s="19" t="s">
        <v>52</v>
      </c>
      <c r="AB86" s="28"/>
      <c r="AC86" s="90"/>
    </row>
    <row r="87" spans="1:29" s="29" customFormat="1" ht="15" customHeight="1" x14ac:dyDescent="0.25">
      <c r="A87" s="14">
        <v>1</v>
      </c>
      <c r="B87" s="15">
        <v>45744</v>
      </c>
      <c r="C87" s="15">
        <f t="shared" si="5"/>
        <v>45752</v>
      </c>
      <c r="D87" s="14">
        <v>12440</v>
      </c>
      <c r="E87" s="16" t="s">
        <v>372</v>
      </c>
      <c r="F87" s="17" t="s">
        <v>461</v>
      </c>
      <c r="G87" s="17" t="s">
        <v>102</v>
      </c>
      <c r="H87" s="18" t="s">
        <v>57</v>
      </c>
      <c r="I87" s="19" t="s">
        <v>58</v>
      </c>
      <c r="J87" s="20">
        <v>45679</v>
      </c>
      <c r="K87" s="20">
        <v>45706</v>
      </c>
      <c r="L87" s="21">
        <v>1000000</v>
      </c>
      <c r="M87" s="22">
        <f t="shared" si="6"/>
        <v>1080000</v>
      </c>
      <c r="N87" s="23">
        <v>1080000</v>
      </c>
      <c r="O87" s="23">
        <v>0</v>
      </c>
      <c r="P87" s="24">
        <f t="shared" si="7"/>
        <v>-80000</v>
      </c>
      <c r="Q87" s="25">
        <v>0</v>
      </c>
      <c r="R87" s="26">
        <v>48000</v>
      </c>
      <c r="S87" s="91">
        <f t="shared" si="8"/>
        <v>0</v>
      </c>
      <c r="T87" s="91">
        <f t="shared" si="9"/>
        <v>0</v>
      </c>
      <c r="U87" s="27" t="s">
        <v>50</v>
      </c>
      <c r="V87" s="19" t="s">
        <v>51</v>
      </c>
      <c r="W87" s="20">
        <v>45696</v>
      </c>
      <c r="X87" s="22" t="s">
        <v>251</v>
      </c>
      <c r="Y87" s="19" t="s">
        <v>52</v>
      </c>
      <c r="Z87" s="19" t="s">
        <v>52</v>
      </c>
      <c r="AA87" s="19" t="s">
        <v>52</v>
      </c>
      <c r="AB87" s="28"/>
    </row>
    <row r="88" spans="1:29" s="29" customFormat="1" ht="15" customHeight="1" x14ac:dyDescent="0.25">
      <c r="A88" s="14">
        <v>2</v>
      </c>
      <c r="B88" s="15">
        <v>45747</v>
      </c>
      <c r="C88" s="15">
        <f t="shared" si="5"/>
        <v>45755</v>
      </c>
      <c r="D88" s="14">
        <v>12483</v>
      </c>
      <c r="E88" s="16" t="s">
        <v>234</v>
      </c>
      <c r="F88" s="17" t="s">
        <v>235</v>
      </c>
      <c r="G88" s="17" t="s">
        <v>102</v>
      </c>
      <c r="H88" s="18" t="s">
        <v>113</v>
      </c>
      <c r="I88" s="19" t="s">
        <v>118</v>
      </c>
      <c r="J88" s="20">
        <v>45686</v>
      </c>
      <c r="K88" s="20">
        <v>45728</v>
      </c>
      <c r="L88" s="21">
        <v>2000000</v>
      </c>
      <c r="M88" s="22">
        <f t="shared" si="6"/>
        <v>1992000</v>
      </c>
      <c r="N88" s="23">
        <v>1992000</v>
      </c>
      <c r="O88" s="23">
        <v>0</v>
      </c>
      <c r="P88" s="24">
        <f t="shared" si="7"/>
        <v>8000</v>
      </c>
      <c r="Q88" s="25">
        <v>0</v>
      </c>
      <c r="R88" s="26">
        <v>100000</v>
      </c>
      <c r="S88" s="91">
        <f t="shared" si="8"/>
        <v>0.08</v>
      </c>
      <c r="T88" s="91">
        <f t="shared" si="9"/>
        <v>0</v>
      </c>
      <c r="U88" s="27" t="s">
        <v>50</v>
      </c>
      <c r="V88" s="19" t="s">
        <v>51</v>
      </c>
      <c r="W88" s="20">
        <v>45726</v>
      </c>
      <c r="X88" s="22" t="s">
        <v>251</v>
      </c>
      <c r="Y88" s="19" t="s">
        <v>52</v>
      </c>
      <c r="Z88" s="19" t="s">
        <v>52</v>
      </c>
      <c r="AA88" s="19" t="s">
        <v>52</v>
      </c>
      <c r="AB88" s="28"/>
    </row>
    <row r="89" spans="1:29" s="29" customFormat="1" ht="15" customHeight="1" x14ac:dyDescent="0.25">
      <c r="A89" s="14">
        <v>5</v>
      </c>
      <c r="B89" s="15">
        <v>45745</v>
      </c>
      <c r="C89" s="15">
        <f t="shared" si="5"/>
        <v>45753</v>
      </c>
      <c r="D89" s="14">
        <v>12639</v>
      </c>
      <c r="E89" s="16" t="s">
        <v>409</v>
      </c>
      <c r="F89" s="17" t="s">
        <v>493</v>
      </c>
      <c r="G89" s="17" t="s">
        <v>102</v>
      </c>
      <c r="H89" s="18" t="s">
        <v>57</v>
      </c>
      <c r="I89" s="19" t="s">
        <v>58</v>
      </c>
      <c r="J89" s="20">
        <v>45714</v>
      </c>
      <c r="K89" s="20" t="s">
        <v>65</v>
      </c>
      <c r="L89" s="21">
        <v>500000</v>
      </c>
      <c r="M89" s="22">
        <f t="shared" si="6"/>
        <v>465000</v>
      </c>
      <c r="N89" s="23">
        <v>465000</v>
      </c>
      <c r="O89" s="23">
        <v>0</v>
      </c>
      <c r="P89" s="24">
        <f t="shared" si="7"/>
        <v>35000</v>
      </c>
      <c r="Q89" s="25">
        <v>0</v>
      </c>
      <c r="R89" s="26">
        <v>50000</v>
      </c>
      <c r="S89" s="91">
        <f t="shared" si="8"/>
        <v>0.7</v>
      </c>
      <c r="T89" s="91">
        <f t="shared" si="9"/>
        <v>0</v>
      </c>
      <c r="U89" s="27" t="s">
        <v>50</v>
      </c>
      <c r="V89" s="19" t="s">
        <v>51</v>
      </c>
      <c r="W89" s="20">
        <v>45741</v>
      </c>
      <c r="X89" s="22" t="s">
        <v>251</v>
      </c>
      <c r="Y89" s="19" t="s">
        <v>52</v>
      </c>
      <c r="Z89" s="19" t="s">
        <v>52</v>
      </c>
      <c r="AA89" s="19" t="s">
        <v>52</v>
      </c>
      <c r="AB89" s="28"/>
    </row>
    <row r="90" spans="1:29" s="29" customFormat="1" ht="15" customHeight="1" x14ac:dyDescent="0.25">
      <c r="A90" s="14">
        <v>6</v>
      </c>
      <c r="B90" s="15">
        <v>45745</v>
      </c>
      <c r="C90" s="15">
        <f t="shared" si="5"/>
        <v>45753</v>
      </c>
      <c r="D90" s="14">
        <v>12644</v>
      </c>
      <c r="E90" s="16" t="s">
        <v>389</v>
      </c>
      <c r="F90" s="17" t="s">
        <v>267</v>
      </c>
      <c r="G90" s="17" t="s">
        <v>102</v>
      </c>
      <c r="H90" s="18" t="s">
        <v>57</v>
      </c>
      <c r="I90" s="19" t="s">
        <v>94</v>
      </c>
      <c r="J90" s="20">
        <v>45715</v>
      </c>
      <c r="K90" s="20">
        <v>45751</v>
      </c>
      <c r="L90" s="21">
        <v>250000</v>
      </c>
      <c r="M90" s="22">
        <f t="shared" si="6"/>
        <v>270000</v>
      </c>
      <c r="N90" s="23">
        <v>270000</v>
      </c>
      <c r="O90" s="23">
        <v>0</v>
      </c>
      <c r="P90" s="24">
        <f t="shared" si="7"/>
        <v>-20000</v>
      </c>
      <c r="Q90" s="25">
        <v>0</v>
      </c>
      <c r="R90" s="26">
        <v>50000</v>
      </c>
      <c r="S90" s="91">
        <f t="shared" si="8"/>
        <v>0</v>
      </c>
      <c r="T90" s="91">
        <f t="shared" si="9"/>
        <v>0</v>
      </c>
      <c r="U90" s="27" t="s">
        <v>50</v>
      </c>
      <c r="V90" s="19" t="s">
        <v>51</v>
      </c>
      <c r="W90" s="20">
        <v>45731</v>
      </c>
      <c r="X90" s="22" t="s">
        <v>251</v>
      </c>
      <c r="Y90" s="19" t="s">
        <v>52</v>
      </c>
      <c r="Z90" s="19" t="s">
        <v>52</v>
      </c>
      <c r="AA90" s="19" t="s">
        <v>52</v>
      </c>
      <c r="AB90" s="28"/>
    </row>
    <row r="91" spans="1:29" s="29" customFormat="1" ht="15" customHeight="1" x14ac:dyDescent="0.25">
      <c r="A91" s="14">
        <v>5</v>
      </c>
      <c r="B91" s="15">
        <v>45741</v>
      </c>
      <c r="C91" s="15">
        <f t="shared" si="5"/>
        <v>45749</v>
      </c>
      <c r="D91" s="14">
        <v>12651</v>
      </c>
      <c r="E91" s="16" t="s">
        <v>337</v>
      </c>
      <c r="F91" s="17" t="s">
        <v>338</v>
      </c>
      <c r="G91" s="17" t="s">
        <v>132</v>
      </c>
      <c r="H91" s="18" t="s">
        <v>54</v>
      </c>
      <c r="I91" s="19" t="s">
        <v>135</v>
      </c>
      <c r="J91" s="20">
        <v>45720</v>
      </c>
      <c r="K91" s="20">
        <v>45762</v>
      </c>
      <c r="L91" s="21">
        <v>25000</v>
      </c>
      <c r="M91" s="22">
        <f t="shared" si="6"/>
        <v>33020</v>
      </c>
      <c r="N91" s="23">
        <v>33020</v>
      </c>
      <c r="O91" s="23">
        <v>0</v>
      </c>
      <c r="P91" s="24">
        <f t="shared" si="7"/>
        <v>-8020</v>
      </c>
      <c r="Q91" s="25">
        <v>0</v>
      </c>
      <c r="R91" s="26">
        <v>57276</v>
      </c>
      <c r="S91" s="91">
        <f t="shared" si="8"/>
        <v>0</v>
      </c>
      <c r="T91" s="91">
        <f t="shared" si="9"/>
        <v>0</v>
      </c>
      <c r="U91" s="27" t="s">
        <v>56</v>
      </c>
      <c r="V91" s="19" t="s">
        <v>51</v>
      </c>
      <c r="W91" s="20">
        <v>45736</v>
      </c>
      <c r="X91" s="22" t="s">
        <v>251</v>
      </c>
      <c r="Y91" s="19" t="s">
        <v>52</v>
      </c>
      <c r="Z91" s="19" t="s">
        <v>52</v>
      </c>
      <c r="AA91" s="19" t="s">
        <v>52</v>
      </c>
      <c r="AB91" s="28"/>
    </row>
    <row r="92" spans="1:29" s="29" customFormat="1" ht="15" customHeight="1" x14ac:dyDescent="0.25">
      <c r="A92" s="14">
        <v>2</v>
      </c>
      <c r="B92" s="15">
        <v>45755</v>
      </c>
      <c r="C92" s="15">
        <f t="shared" si="5"/>
        <v>45763</v>
      </c>
      <c r="D92" s="14">
        <v>12625</v>
      </c>
      <c r="E92" s="16" t="s">
        <v>263</v>
      </c>
      <c r="F92" s="17" t="s">
        <v>264</v>
      </c>
      <c r="G92" s="17" t="s">
        <v>47</v>
      </c>
      <c r="H92" s="18" t="s">
        <v>54</v>
      </c>
      <c r="I92" s="19" t="s">
        <v>55</v>
      </c>
      <c r="J92" s="20">
        <v>45713</v>
      </c>
      <c r="K92" s="20">
        <v>45740</v>
      </c>
      <c r="L92" s="21">
        <v>400000</v>
      </c>
      <c r="M92" s="22">
        <f t="shared" si="6"/>
        <v>428000</v>
      </c>
      <c r="N92" s="23">
        <v>428000</v>
      </c>
      <c r="O92" s="23">
        <v>0</v>
      </c>
      <c r="P92" s="24">
        <f t="shared" si="7"/>
        <v>-28000</v>
      </c>
      <c r="Q92" s="25">
        <v>0</v>
      </c>
      <c r="R92" s="26">
        <v>50000</v>
      </c>
      <c r="S92" s="91">
        <f t="shared" si="8"/>
        <v>0</v>
      </c>
      <c r="T92" s="91">
        <f t="shared" si="9"/>
        <v>0</v>
      </c>
      <c r="U92" s="27" t="s">
        <v>56</v>
      </c>
      <c r="V92" s="19" t="s">
        <v>51</v>
      </c>
      <c r="W92" s="20">
        <v>45731</v>
      </c>
      <c r="X92" s="22" t="s">
        <v>251</v>
      </c>
      <c r="Y92" s="19" t="s">
        <v>52</v>
      </c>
      <c r="Z92" s="19" t="s">
        <v>52</v>
      </c>
      <c r="AA92" s="19" t="s">
        <v>52</v>
      </c>
      <c r="AB92" s="28"/>
    </row>
    <row r="93" spans="1:29" s="29" customFormat="1" ht="15" customHeight="1" x14ac:dyDescent="0.25">
      <c r="A93" s="14">
        <v>3</v>
      </c>
      <c r="B93" s="15">
        <v>45748</v>
      </c>
      <c r="C93" s="15">
        <f t="shared" si="5"/>
        <v>45756</v>
      </c>
      <c r="D93" s="14">
        <v>12588</v>
      </c>
      <c r="E93" s="16" t="s">
        <v>482</v>
      </c>
      <c r="F93" s="17" t="s">
        <v>483</v>
      </c>
      <c r="G93" s="17" t="s">
        <v>47</v>
      </c>
      <c r="H93" s="18" t="s">
        <v>57</v>
      </c>
      <c r="I93" s="19" t="s">
        <v>58</v>
      </c>
      <c r="J93" s="20">
        <v>45705</v>
      </c>
      <c r="K93" s="20">
        <v>45747</v>
      </c>
      <c r="L93" s="21">
        <v>1200000</v>
      </c>
      <c r="M93" s="22">
        <f t="shared" si="6"/>
        <v>1284000</v>
      </c>
      <c r="N93" s="23">
        <v>1284000</v>
      </c>
      <c r="O93" s="23">
        <v>0</v>
      </c>
      <c r="P93" s="24">
        <f t="shared" si="7"/>
        <v>-84000</v>
      </c>
      <c r="Q93" s="25">
        <v>0</v>
      </c>
      <c r="R93" s="26">
        <v>50000</v>
      </c>
      <c r="S93" s="91">
        <f t="shared" si="8"/>
        <v>0</v>
      </c>
      <c r="T93" s="91">
        <f t="shared" si="9"/>
        <v>0</v>
      </c>
      <c r="U93" s="27" t="s">
        <v>50</v>
      </c>
      <c r="V93" s="19" t="s">
        <v>51</v>
      </c>
      <c r="W93" s="20">
        <v>45738</v>
      </c>
      <c r="X93" s="22" t="s">
        <v>251</v>
      </c>
      <c r="Y93" s="19" t="s">
        <v>52</v>
      </c>
      <c r="Z93" s="19" t="s">
        <v>52</v>
      </c>
      <c r="AA93" s="19" t="s">
        <v>52</v>
      </c>
      <c r="AB93" s="28"/>
    </row>
    <row r="94" spans="1:29" s="29" customFormat="1" ht="15" customHeight="1" x14ac:dyDescent="0.25">
      <c r="A94" s="14">
        <v>4</v>
      </c>
      <c r="B94" s="15">
        <v>45756</v>
      </c>
      <c r="C94" s="15">
        <f t="shared" si="5"/>
        <v>45764</v>
      </c>
      <c r="D94" s="14">
        <v>12592</v>
      </c>
      <c r="E94" s="16" t="s">
        <v>485</v>
      </c>
      <c r="F94" s="17" t="s">
        <v>486</v>
      </c>
      <c r="G94" s="17" t="s">
        <v>47</v>
      </c>
      <c r="H94" s="18" t="s">
        <v>57</v>
      </c>
      <c r="I94" s="19" t="s">
        <v>58</v>
      </c>
      <c r="J94" s="20">
        <v>45706</v>
      </c>
      <c r="K94" s="20">
        <v>45747</v>
      </c>
      <c r="L94" s="21">
        <v>250000</v>
      </c>
      <c r="M94" s="22">
        <f t="shared" si="6"/>
        <v>280000</v>
      </c>
      <c r="N94" s="23">
        <v>280000</v>
      </c>
      <c r="O94" s="23">
        <v>0</v>
      </c>
      <c r="P94" s="24">
        <f t="shared" si="7"/>
        <v>-30000</v>
      </c>
      <c r="Q94" s="25">
        <v>0</v>
      </c>
      <c r="R94" s="26">
        <v>42000</v>
      </c>
      <c r="S94" s="91">
        <f t="shared" si="8"/>
        <v>0</v>
      </c>
      <c r="T94" s="91">
        <f t="shared" si="9"/>
        <v>0</v>
      </c>
      <c r="U94" s="27" t="s">
        <v>50</v>
      </c>
      <c r="V94" s="19" t="s">
        <v>51</v>
      </c>
      <c r="W94" s="20">
        <v>45747</v>
      </c>
      <c r="X94" s="22" t="s">
        <v>251</v>
      </c>
      <c r="Y94" s="19" t="s">
        <v>52</v>
      </c>
      <c r="Z94" s="19" t="s">
        <v>52</v>
      </c>
      <c r="AA94" s="19" t="s">
        <v>52</v>
      </c>
      <c r="AB94" s="28"/>
    </row>
    <row r="95" spans="1:29" s="29" customFormat="1" ht="15" customHeight="1" x14ac:dyDescent="0.25">
      <c r="A95" s="14">
        <v>5</v>
      </c>
      <c r="B95" s="15">
        <v>45741</v>
      </c>
      <c r="C95" s="15">
        <f t="shared" si="5"/>
        <v>45749</v>
      </c>
      <c r="D95" s="14">
        <v>12629</v>
      </c>
      <c r="E95" s="16" t="s">
        <v>53</v>
      </c>
      <c r="F95" s="17" t="s">
        <v>402</v>
      </c>
      <c r="G95" s="17" t="s">
        <v>47</v>
      </c>
      <c r="H95" s="18" t="s">
        <v>54</v>
      </c>
      <c r="I95" s="19" t="s">
        <v>55</v>
      </c>
      <c r="J95" s="20">
        <v>45713</v>
      </c>
      <c r="K95" s="20">
        <v>45748</v>
      </c>
      <c r="L95" s="21">
        <v>300000</v>
      </c>
      <c r="M95" s="22">
        <f t="shared" si="6"/>
        <v>336000</v>
      </c>
      <c r="N95" s="23">
        <v>336000</v>
      </c>
      <c r="O95" s="23">
        <v>0</v>
      </c>
      <c r="P95" s="24">
        <f t="shared" si="7"/>
        <v>-36000</v>
      </c>
      <c r="Q95" s="25">
        <v>0</v>
      </c>
      <c r="R95" s="26">
        <v>100000</v>
      </c>
      <c r="S95" s="91">
        <f t="shared" si="8"/>
        <v>0</v>
      </c>
      <c r="T95" s="91">
        <f t="shared" si="9"/>
        <v>0</v>
      </c>
      <c r="U95" s="27" t="s">
        <v>56</v>
      </c>
      <c r="V95" s="19" t="s">
        <v>51</v>
      </c>
      <c r="W95" s="20">
        <v>45726</v>
      </c>
      <c r="X95" s="22" t="s">
        <v>251</v>
      </c>
      <c r="Y95" s="19" t="s">
        <v>52</v>
      </c>
      <c r="Z95" s="19" t="s">
        <v>52</v>
      </c>
      <c r="AA95" s="19" t="s">
        <v>52</v>
      </c>
      <c r="AB95" s="28"/>
    </row>
    <row r="96" spans="1:29" s="29" customFormat="1" ht="15" customHeight="1" x14ac:dyDescent="0.25">
      <c r="A96" s="14">
        <v>6</v>
      </c>
      <c r="B96" s="15">
        <v>45754</v>
      </c>
      <c r="C96" s="15">
        <f t="shared" si="5"/>
        <v>45762</v>
      </c>
      <c r="D96" s="14">
        <v>12676</v>
      </c>
      <c r="E96" s="16" t="s">
        <v>527</v>
      </c>
      <c r="F96" s="17" t="s">
        <v>528</v>
      </c>
      <c r="G96" s="17" t="s">
        <v>47</v>
      </c>
      <c r="H96" s="18" t="s">
        <v>62</v>
      </c>
      <c r="I96" s="19" t="s">
        <v>63</v>
      </c>
      <c r="J96" s="20">
        <v>45728</v>
      </c>
      <c r="K96" s="20">
        <v>45751</v>
      </c>
      <c r="L96" s="21">
        <v>100000</v>
      </c>
      <c r="M96" s="22">
        <f t="shared" si="6"/>
        <v>112000</v>
      </c>
      <c r="N96" s="23">
        <v>112000</v>
      </c>
      <c r="O96" s="23">
        <v>0</v>
      </c>
      <c r="P96" s="24">
        <f t="shared" si="7"/>
        <v>-12000</v>
      </c>
      <c r="Q96" s="25">
        <v>0</v>
      </c>
      <c r="R96" s="26">
        <v>60000</v>
      </c>
      <c r="S96" s="91">
        <f t="shared" si="8"/>
        <v>0</v>
      </c>
      <c r="T96" s="91">
        <f t="shared" si="9"/>
        <v>0</v>
      </c>
      <c r="U96" s="27" t="s">
        <v>50</v>
      </c>
      <c r="V96" s="19" t="s">
        <v>51</v>
      </c>
      <c r="W96" s="20">
        <v>45750</v>
      </c>
      <c r="X96" s="22" t="s">
        <v>251</v>
      </c>
      <c r="Y96" s="19" t="s">
        <v>52</v>
      </c>
      <c r="Z96" s="19" t="s">
        <v>52</v>
      </c>
      <c r="AA96" s="19" t="s">
        <v>52</v>
      </c>
      <c r="AB96" s="42"/>
    </row>
    <row r="97" spans="1:29" s="29" customFormat="1" ht="15" customHeight="1" x14ac:dyDescent="0.25">
      <c r="A97" s="14">
        <v>9</v>
      </c>
      <c r="B97" s="15">
        <v>45756</v>
      </c>
      <c r="C97" s="15">
        <f t="shared" si="5"/>
        <v>45764</v>
      </c>
      <c r="D97" s="14">
        <v>12711</v>
      </c>
      <c r="E97" s="16" t="s">
        <v>45</v>
      </c>
      <c r="F97" s="17" t="s">
        <v>540</v>
      </c>
      <c r="G97" s="17" t="s">
        <v>47</v>
      </c>
      <c r="H97" s="18" t="s">
        <v>541</v>
      </c>
      <c r="I97" s="19" t="s">
        <v>49</v>
      </c>
      <c r="J97" s="20">
        <v>45735</v>
      </c>
      <c r="K97" s="20">
        <v>45778</v>
      </c>
      <c r="L97" s="21">
        <v>180000</v>
      </c>
      <c r="M97" s="22">
        <f t="shared" si="6"/>
        <v>208000</v>
      </c>
      <c r="N97" s="23">
        <v>208000</v>
      </c>
      <c r="O97" s="23">
        <v>0</v>
      </c>
      <c r="P97" s="24">
        <f t="shared" si="7"/>
        <v>-28000</v>
      </c>
      <c r="Q97" s="25">
        <v>0</v>
      </c>
      <c r="R97" s="26">
        <v>60000</v>
      </c>
      <c r="S97" s="91">
        <f t="shared" si="8"/>
        <v>0</v>
      </c>
      <c r="T97" s="91">
        <f t="shared" si="9"/>
        <v>0</v>
      </c>
      <c r="U97" s="27" t="s">
        <v>50</v>
      </c>
      <c r="V97" s="19" t="s">
        <v>51</v>
      </c>
      <c r="W97" s="20">
        <v>45751</v>
      </c>
      <c r="X97" s="22" t="s">
        <v>251</v>
      </c>
      <c r="Y97" s="19" t="s">
        <v>52</v>
      </c>
      <c r="Z97" s="19" t="s">
        <v>52</v>
      </c>
      <c r="AA97" s="19" t="s">
        <v>52</v>
      </c>
      <c r="AB97" s="42"/>
    </row>
    <row r="98" spans="1:29" s="29" customFormat="1" ht="15" customHeight="1" x14ac:dyDescent="0.25">
      <c r="A98" s="14">
        <v>8</v>
      </c>
      <c r="B98" s="15">
        <v>45755</v>
      </c>
      <c r="C98" s="15">
        <f t="shared" si="5"/>
        <v>45763</v>
      </c>
      <c r="D98" s="14">
        <v>12407</v>
      </c>
      <c r="E98" s="16" t="s">
        <v>380</v>
      </c>
      <c r="F98" s="40" t="s">
        <v>381</v>
      </c>
      <c r="G98" s="17" t="s">
        <v>75</v>
      </c>
      <c r="H98" s="18" t="s">
        <v>78</v>
      </c>
      <c r="I98" s="19" t="s">
        <v>79</v>
      </c>
      <c r="J98" s="20">
        <v>45670</v>
      </c>
      <c r="K98" s="20">
        <v>45698</v>
      </c>
      <c r="L98" s="21">
        <v>3000000</v>
      </c>
      <c r="M98" s="22">
        <f t="shared" si="6"/>
        <v>3195000</v>
      </c>
      <c r="N98" s="23">
        <v>3195000</v>
      </c>
      <c r="O98" s="23">
        <v>0</v>
      </c>
      <c r="P98" s="24">
        <f t="shared" si="7"/>
        <v>-195000</v>
      </c>
      <c r="Q98" s="25">
        <v>0</v>
      </c>
      <c r="R98" s="26">
        <v>105000</v>
      </c>
      <c r="S98" s="91">
        <f t="shared" si="8"/>
        <v>0</v>
      </c>
      <c r="T98" s="91">
        <f t="shared" si="9"/>
        <v>0</v>
      </c>
      <c r="U98" s="27" t="s">
        <v>56</v>
      </c>
      <c r="V98" s="19" t="s">
        <v>51</v>
      </c>
      <c r="W98" s="20">
        <v>45694</v>
      </c>
      <c r="X98" s="22" t="s">
        <v>251</v>
      </c>
      <c r="Y98" s="19" t="s">
        <v>52</v>
      </c>
      <c r="Z98" s="19" t="s">
        <v>52</v>
      </c>
      <c r="AA98" s="19" t="s">
        <v>52</v>
      </c>
      <c r="AB98" s="28"/>
      <c r="AC98" s="90"/>
    </row>
    <row r="99" spans="1:29" s="29" customFormat="1" ht="15" customHeight="1" x14ac:dyDescent="0.25">
      <c r="A99" s="14">
        <v>10</v>
      </c>
      <c r="B99" s="15">
        <v>45756</v>
      </c>
      <c r="C99" s="15">
        <f t="shared" si="5"/>
        <v>45764</v>
      </c>
      <c r="D99" s="14">
        <v>12414</v>
      </c>
      <c r="E99" s="16" t="s">
        <v>206</v>
      </c>
      <c r="F99" s="40" t="s">
        <v>207</v>
      </c>
      <c r="G99" s="17" t="s">
        <v>75</v>
      </c>
      <c r="H99" s="18" t="s">
        <v>522</v>
      </c>
      <c r="I99" s="19" t="s">
        <v>49</v>
      </c>
      <c r="J99" s="20">
        <v>45672</v>
      </c>
      <c r="K99" s="20">
        <v>45709</v>
      </c>
      <c r="L99" s="21">
        <v>500000</v>
      </c>
      <c r="M99" s="22">
        <f t="shared" si="6"/>
        <v>558000</v>
      </c>
      <c r="N99" s="23">
        <v>558000</v>
      </c>
      <c r="O99" s="23">
        <v>0</v>
      </c>
      <c r="P99" s="24">
        <f t="shared" si="7"/>
        <v>-58000</v>
      </c>
      <c r="Q99" s="25">
        <v>0</v>
      </c>
      <c r="R99" s="26">
        <v>150000</v>
      </c>
      <c r="S99" s="91">
        <f t="shared" si="8"/>
        <v>0</v>
      </c>
      <c r="T99" s="91">
        <f t="shared" si="9"/>
        <v>0</v>
      </c>
      <c r="U99" s="27" t="s">
        <v>50</v>
      </c>
      <c r="V99" s="19" t="s">
        <v>51</v>
      </c>
      <c r="W99" s="20">
        <v>45687</v>
      </c>
      <c r="X99" s="22" t="s">
        <v>251</v>
      </c>
      <c r="Y99" s="19" t="s">
        <v>52</v>
      </c>
      <c r="Z99" s="19" t="s">
        <v>52</v>
      </c>
      <c r="AA99" s="19" t="s">
        <v>52</v>
      </c>
      <c r="AB99" s="28"/>
      <c r="AC99" s="90"/>
    </row>
    <row r="100" spans="1:29" s="29" customFormat="1" ht="15" customHeight="1" x14ac:dyDescent="0.25">
      <c r="A100" s="14">
        <v>11</v>
      </c>
      <c r="B100" s="15">
        <v>45755</v>
      </c>
      <c r="C100" s="15">
        <f t="shared" si="5"/>
        <v>45763</v>
      </c>
      <c r="D100" s="14">
        <v>11901</v>
      </c>
      <c r="E100" s="16" t="s">
        <v>470</v>
      </c>
      <c r="F100" s="40" t="s">
        <v>471</v>
      </c>
      <c r="G100" s="17" t="s">
        <v>75</v>
      </c>
      <c r="H100" s="18" t="s">
        <v>54</v>
      </c>
      <c r="I100" s="19" t="s">
        <v>421</v>
      </c>
      <c r="J100" s="20">
        <v>45686</v>
      </c>
      <c r="K100" s="20">
        <v>45719</v>
      </c>
      <c r="L100" s="21">
        <v>100000</v>
      </c>
      <c r="M100" s="22">
        <f t="shared" si="6"/>
        <v>106000</v>
      </c>
      <c r="N100" s="23">
        <v>106000</v>
      </c>
      <c r="O100" s="23">
        <v>0</v>
      </c>
      <c r="P100" s="24">
        <f t="shared" si="7"/>
        <v>-6000</v>
      </c>
      <c r="Q100" s="25">
        <v>0</v>
      </c>
      <c r="R100" s="26">
        <v>84000</v>
      </c>
      <c r="S100" s="91">
        <f t="shared" si="8"/>
        <v>0</v>
      </c>
      <c r="T100" s="91">
        <f t="shared" si="9"/>
        <v>0</v>
      </c>
      <c r="U100" s="27" t="s">
        <v>56</v>
      </c>
      <c r="V100" s="19" t="s">
        <v>51</v>
      </c>
      <c r="W100" s="20">
        <v>45747</v>
      </c>
      <c r="X100" s="22" t="s">
        <v>251</v>
      </c>
      <c r="Y100" s="19" t="s">
        <v>52</v>
      </c>
      <c r="Z100" s="19" t="s">
        <v>52</v>
      </c>
      <c r="AA100" s="19" t="s">
        <v>52</v>
      </c>
      <c r="AB100" s="28"/>
      <c r="AC100" s="90"/>
    </row>
    <row r="101" spans="1:29" s="29" customFormat="1" ht="15" customHeight="1" x14ac:dyDescent="0.25">
      <c r="A101" s="14">
        <v>12</v>
      </c>
      <c r="B101" s="15">
        <v>45751</v>
      </c>
      <c r="C101" s="15">
        <f t="shared" si="5"/>
        <v>45759</v>
      </c>
      <c r="D101" s="14">
        <v>12493</v>
      </c>
      <c r="E101" s="16" t="s">
        <v>353</v>
      </c>
      <c r="F101" s="40" t="s">
        <v>354</v>
      </c>
      <c r="G101" s="17" t="s">
        <v>75</v>
      </c>
      <c r="H101" s="18" t="s">
        <v>78</v>
      </c>
      <c r="I101" s="19" t="s">
        <v>79</v>
      </c>
      <c r="J101" s="20">
        <v>45688</v>
      </c>
      <c r="K101" s="20">
        <v>45729</v>
      </c>
      <c r="L101" s="21">
        <v>2500000</v>
      </c>
      <c r="M101" s="22">
        <f t="shared" si="6"/>
        <v>2516000</v>
      </c>
      <c r="N101" s="23">
        <v>2516000</v>
      </c>
      <c r="O101" s="23">
        <v>0</v>
      </c>
      <c r="P101" s="24">
        <f t="shared" si="7"/>
        <v>-16000</v>
      </c>
      <c r="Q101" s="25">
        <v>0</v>
      </c>
      <c r="R101" s="26">
        <v>84000</v>
      </c>
      <c r="S101" s="91">
        <f t="shared" si="8"/>
        <v>0</v>
      </c>
      <c r="T101" s="91">
        <f t="shared" si="9"/>
        <v>0</v>
      </c>
      <c r="U101" s="27" t="s">
        <v>56</v>
      </c>
      <c r="V101" s="19" t="s">
        <v>51</v>
      </c>
      <c r="W101" s="20">
        <v>45702</v>
      </c>
      <c r="X101" s="22" t="s">
        <v>251</v>
      </c>
      <c r="Y101" s="19" t="s">
        <v>52</v>
      </c>
      <c r="Z101" s="19" t="s">
        <v>52</v>
      </c>
      <c r="AA101" s="19" t="s">
        <v>52</v>
      </c>
      <c r="AB101" s="28"/>
      <c r="AC101" s="90"/>
    </row>
    <row r="102" spans="1:29" s="29" customFormat="1" ht="15" customHeight="1" x14ac:dyDescent="0.25">
      <c r="A102" s="14">
        <v>14</v>
      </c>
      <c r="B102" s="15">
        <v>45754</v>
      </c>
      <c r="C102" s="15">
        <f t="shared" ref="C102:C165" si="10">B102+8</f>
        <v>45762</v>
      </c>
      <c r="D102" s="14">
        <v>12549</v>
      </c>
      <c r="E102" s="16" t="s">
        <v>89</v>
      </c>
      <c r="F102" s="40" t="s">
        <v>90</v>
      </c>
      <c r="G102" s="17" t="s">
        <v>75</v>
      </c>
      <c r="H102" s="18" t="s">
        <v>257</v>
      </c>
      <c r="I102" s="19" t="s">
        <v>70</v>
      </c>
      <c r="J102" s="20">
        <v>45694</v>
      </c>
      <c r="K102" s="20">
        <v>45736</v>
      </c>
      <c r="L102" s="21">
        <v>2000000</v>
      </c>
      <c r="M102" s="22">
        <f t="shared" ref="M102:M165" si="11">SUM(N102:O102)</f>
        <v>2079000</v>
      </c>
      <c r="N102" s="23">
        <v>2079000</v>
      </c>
      <c r="O102" s="23">
        <v>0</v>
      </c>
      <c r="P102" s="24">
        <f t="shared" ref="P102:P165" si="12">L102-N102</f>
        <v>-79000</v>
      </c>
      <c r="Q102" s="25">
        <v>0</v>
      </c>
      <c r="R102" s="26">
        <v>150000</v>
      </c>
      <c r="S102" s="91">
        <f t="shared" si="8"/>
        <v>0</v>
      </c>
      <c r="T102" s="91">
        <f t="shared" si="9"/>
        <v>0</v>
      </c>
      <c r="U102" s="27" t="s">
        <v>50</v>
      </c>
      <c r="V102" s="19" t="s">
        <v>51</v>
      </c>
      <c r="W102" s="20">
        <v>45728</v>
      </c>
      <c r="X102" s="22" t="s">
        <v>251</v>
      </c>
      <c r="Y102" s="19" t="s">
        <v>52</v>
      </c>
      <c r="Z102" s="19" t="s">
        <v>52</v>
      </c>
      <c r="AA102" s="19" t="s">
        <v>52</v>
      </c>
      <c r="AB102" s="28"/>
      <c r="AC102" s="90"/>
    </row>
    <row r="103" spans="1:29" s="29" customFormat="1" ht="15" customHeight="1" x14ac:dyDescent="0.25">
      <c r="A103" s="14">
        <v>22</v>
      </c>
      <c r="B103" s="15">
        <v>45756</v>
      </c>
      <c r="C103" s="15">
        <f t="shared" si="10"/>
        <v>45764</v>
      </c>
      <c r="D103" s="14">
        <v>12643</v>
      </c>
      <c r="E103" s="16" t="s">
        <v>392</v>
      </c>
      <c r="F103" s="40" t="s">
        <v>393</v>
      </c>
      <c r="G103" s="17" t="s">
        <v>75</v>
      </c>
      <c r="H103" s="18" t="s">
        <v>54</v>
      </c>
      <c r="I103" s="19" t="s">
        <v>64</v>
      </c>
      <c r="J103" s="20">
        <v>45715</v>
      </c>
      <c r="K103" s="20">
        <v>45757</v>
      </c>
      <c r="L103" s="21">
        <v>2000000</v>
      </c>
      <c r="M103" s="22">
        <f t="shared" si="11"/>
        <v>2100000</v>
      </c>
      <c r="N103" s="23">
        <v>2100000</v>
      </c>
      <c r="O103" s="23">
        <v>0</v>
      </c>
      <c r="P103" s="24">
        <f t="shared" si="12"/>
        <v>-100000</v>
      </c>
      <c r="Q103" s="25">
        <v>0</v>
      </c>
      <c r="R103" s="26">
        <v>150000</v>
      </c>
      <c r="S103" s="91">
        <f t="shared" si="8"/>
        <v>0</v>
      </c>
      <c r="T103" s="91">
        <f t="shared" si="9"/>
        <v>0</v>
      </c>
      <c r="U103" s="27" t="s">
        <v>50</v>
      </c>
      <c r="V103" s="19" t="s">
        <v>51</v>
      </c>
      <c r="W103" s="20">
        <v>45752</v>
      </c>
      <c r="X103" s="22" t="s">
        <v>251</v>
      </c>
      <c r="Y103" s="19" t="s">
        <v>52</v>
      </c>
      <c r="Z103" s="19" t="s">
        <v>52</v>
      </c>
      <c r="AA103" s="19" t="s">
        <v>52</v>
      </c>
      <c r="AB103" s="28"/>
      <c r="AC103" s="90"/>
    </row>
    <row r="104" spans="1:29" s="29" customFormat="1" ht="15" customHeight="1" x14ac:dyDescent="0.25">
      <c r="A104" s="14">
        <v>2</v>
      </c>
      <c r="B104" s="15">
        <v>45751</v>
      </c>
      <c r="C104" s="15">
        <f t="shared" si="10"/>
        <v>45759</v>
      </c>
      <c r="D104" s="14">
        <v>12556</v>
      </c>
      <c r="E104" s="16" t="s">
        <v>372</v>
      </c>
      <c r="F104" s="17" t="s">
        <v>478</v>
      </c>
      <c r="G104" s="17" t="s">
        <v>102</v>
      </c>
      <c r="H104" s="18" t="s">
        <v>57</v>
      </c>
      <c r="I104" s="19" t="s">
        <v>58</v>
      </c>
      <c r="J104" s="20">
        <v>45698</v>
      </c>
      <c r="K104" s="20">
        <v>45733</v>
      </c>
      <c r="L104" s="21">
        <v>1500000</v>
      </c>
      <c r="M104" s="22">
        <f t="shared" si="11"/>
        <v>1373000</v>
      </c>
      <c r="N104" s="23">
        <v>1373000</v>
      </c>
      <c r="O104" s="23">
        <v>0</v>
      </c>
      <c r="P104" s="24">
        <f t="shared" si="12"/>
        <v>127000</v>
      </c>
      <c r="Q104" s="25">
        <v>0</v>
      </c>
      <c r="R104" s="26">
        <v>48000</v>
      </c>
      <c r="S104" s="91">
        <f t="shared" si="8"/>
        <v>2.6458333333333335</v>
      </c>
      <c r="T104" s="91">
        <f t="shared" si="9"/>
        <v>0</v>
      </c>
      <c r="U104" s="27" t="s">
        <v>50</v>
      </c>
      <c r="V104" s="19" t="s">
        <v>51</v>
      </c>
      <c r="W104" s="20">
        <v>45716</v>
      </c>
      <c r="X104" s="22" t="s">
        <v>251</v>
      </c>
      <c r="Y104" s="19" t="s">
        <v>52</v>
      </c>
      <c r="Z104" s="19" t="s">
        <v>52</v>
      </c>
      <c r="AA104" s="19" t="s">
        <v>52</v>
      </c>
      <c r="AB104" s="28"/>
    </row>
    <row r="105" spans="1:29" s="29" customFormat="1" ht="15" customHeight="1" x14ac:dyDescent="0.25">
      <c r="A105" s="14">
        <v>4</v>
      </c>
      <c r="B105" s="15">
        <v>45751</v>
      </c>
      <c r="C105" s="15">
        <f t="shared" si="10"/>
        <v>45759</v>
      </c>
      <c r="D105" s="14">
        <v>12671</v>
      </c>
      <c r="E105" s="16" t="s">
        <v>244</v>
      </c>
      <c r="F105" s="17" t="s">
        <v>243</v>
      </c>
      <c r="G105" s="17" t="s">
        <v>102</v>
      </c>
      <c r="H105" s="18" t="s">
        <v>62</v>
      </c>
      <c r="I105" s="19" t="s">
        <v>63</v>
      </c>
      <c r="J105" s="20">
        <v>45728</v>
      </c>
      <c r="K105" s="20">
        <v>45756</v>
      </c>
      <c r="L105" s="21">
        <v>400000</v>
      </c>
      <c r="M105" s="22">
        <f t="shared" si="11"/>
        <v>396000</v>
      </c>
      <c r="N105" s="23">
        <v>396000</v>
      </c>
      <c r="O105" s="23">
        <v>0</v>
      </c>
      <c r="P105" s="24">
        <f t="shared" si="12"/>
        <v>4000</v>
      </c>
      <c r="Q105" s="25">
        <v>0</v>
      </c>
      <c r="R105" s="26">
        <v>84000</v>
      </c>
      <c r="S105" s="91">
        <f t="shared" si="8"/>
        <v>4.7619047619047616E-2</v>
      </c>
      <c r="T105" s="91">
        <f t="shared" si="9"/>
        <v>0</v>
      </c>
      <c r="U105" s="27" t="s">
        <v>50</v>
      </c>
      <c r="V105" s="19" t="s">
        <v>51</v>
      </c>
      <c r="W105" s="20">
        <v>45752</v>
      </c>
      <c r="X105" s="22" t="s">
        <v>251</v>
      </c>
      <c r="Y105" s="19" t="s">
        <v>52</v>
      </c>
      <c r="Z105" s="19" t="s">
        <v>52</v>
      </c>
      <c r="AA105" s="19" t="s">
        <v>52</v>
      </c>
      <c r="AB105" s="28"/>
    </row>
    <row r="106" spans="1:29" s="29" customFormat="1" ht="15" customHeight="1" x14ac:dyDescent="0.25">
      <c r="A106" s="14">
        <v>2</v>
      </c>
      <c r="B106" s="15">
        <v>45751</v>
      </c>
      <c r="C106" s="15">
        <f t="shared" si="10"/>
        <v>45759</v>
      </c>
      <c r="D106" s="14">
        <v>12393</v>
      </c>
      <c r="E106" s="16" t="s">
        <v>152</v>
      </c>
      <c r="F106" s="17" t="s">
        <v>153</v>
      </c>
      <c r="G106" s="17" t="s">
        <v>132</v>
      </c>
      <c r="H106" s="18" t="s">
        <v>54</v>
      </c>
      <c r="I106" s="19" t="s">
        <v>135</v>
      </c>
      <c r="J106" s="20">
        <v>45672</v>
      </c>
      <c r="K106" s="20">
        <v>45716</v>
      </c>
      <c r="L106" s="21">
        <v>100000</v>
      </c>
      <c r="M106" s="22">
        <f t="shared" si="11"/>
        <v>112820</v>
      </c>
      <c r="N106" s="23">
        <v>112820</v>
      </c>
      <c r="O106" s="23">
        <v>0</v>
      </c>
      <c r="P106" s="24">
        <f t="shared" si="12"/>
        <v>-12820</v>
      </c>
      <c r="Q106" s="25">
        <v>0</v>
      </c>
      <c r="R106" s="26">
        <v>57330</v>
      </c>
      <c r="S106" s="91">
        <f t="shared" si="8"/>
        <v>0</v>
      </c>
      <c r="T106" s="91">
        <f t="shared" si="9"/>
        <v>0</v>
      </c>
      <c r="U106" s="27" t="s">
        <v>56</v>
      </c>
      <c r="V106" s="19" t="s">
        <v>51</v>
      </c>
      <c r="W106" s="20">
        <v>45745</v>
      </c>
      <c r="X106" s="22" t="s">
        <v>251</v>
      </c>
      <c r="Y106" s="19" t="s">
        <v>52</v>
      </c>
      <c r="Z106" s="19" t="s">
        <v>52</v>
      </c>
      <c r="AA106" s="19" t="s">
        <v>52</v>
      </c>
      <c r="AB106" s="28"/>
    </row>
    <row r="107" spans="1:29" s="29" customFormat="1" ht="15" customHeight="1" x14ac:dyDescent="0.25">
      <c r="A107" s="14">
        <v>3</v>
      </c>
      <c r="B107" s="15">
        <v>45751</v>
      </c>
      <c r="C107" s="15">
        <f t="shared" si="10"/>
        <v>45759</v>
      </c>
      <c r="D107" s="14">
        <v>12431</v>
      </c>
      <c r="E107" s="16" t="s">
        <v>451</v>
      </c>
      <c r="F107" s="17" t="s">
        <v>326</v>
      </c>
      <c r="G107" s="17" t="s">
        <v>132</v>
      </c>
      <c r="H107" s="18" t="s">
        <v>54</v>
      </c>
      <c r="I107" s="19" t="s">
        <v>198</v>
      </c>
      <c r="J107" s="20">
        <v>45674</v>
      </c>
      <c r="K107" s="20">
        <v>45728</v>
      </c>
      <c r="L107" s="21">
        <v>450000</v>
      </c>
      <c r="M107" s="22">
        <f t="shared" si="11"/>
        <v>498970</v>
      </c>
      <c r="N107" s="23">
        <v>498970</v>
      </c>
      <c r="O107" s="23">
        <v>0</v>
      </c>
      <c r="P107" s="24">
        <f t="shared" si="12"/>
        <v>-48970</v>
      </c>
      <c r="Q107" s="25">
        <v>0</v>
      </c>
      <c r="R107" s="26">
        <v>324000</v>
      </c>
      <c r="S107" s="91">
        <f t="shared" si="8"/>
        <v>0</v>
      </c>
      <c r="T107" s="91">
        <f t="shared" si="9"/>
        <v>0</v>
      </c>
      <c r="U107" s="27" t="s">
        <v>56</v>
      </c>
      <c r="V107" s="19" t="s">
        <v>51</v>
      </c>
      <c r="W107" s="20">
        <v>45736</v>
      </c>
      <c r="X107" s="22" t="s">
        <v>251</v>
      </c>
      <c r="Y107" s="19" t="s">
        <v>52</v>
      </c>
      <c r="Z107" s="19" t="s">
        <v>52</v>
      </c>
      <c r="AA107" s="19" t="s">
        <v>52</v>
      </c>
      <c r="AB107" s="28"/>
    </row>
    <row r="108" spans="1:29" s="29" customFormat="1" ht="15" customHeight="1" x14ac:dyDescent="0.25">
      <c r="A108" s="14">
        <v>4</v>
      </c>
      <c r="B108" s="15">
        <v>45754</v>
      </c>
      <c r="C108" s="15">
        <f t="shared" si="10"/>
        <v>45762</v>
      </c>
      <c r="D108" s="14">
        <v>12587</v>
      </c>
      <c r="E108" s="16" t="s">
        <v>331</v>
      </c>
      <c r="F108" s="17" t="s">
        <v>332</v>
      </c>
      <c r="G108" s="17" t="s">
        <v>132</v>
      </c>
      <c r="H108" s="18" t="s">
        <v>54</v>
      </c>
      <c r="I108" s="19" t="s">
        <v>135</v>
      </c>
      <c r="J108" s="20">
        <v>45707</v>
      </c>
      <c r="K108" s="20">
        <v>45740</v>
      </c>
      <c r="L108" s="21">
        <v>25000</v>
      </c>
      <c r="M108" s="22">
        <f t="shared" si="11"/>
        <v>29440</v>
      </c>
      <c r="N108" s="23">
        <v>29440</v>
      </c>
      <c r="O108" s="23">
        <v>0</v>
      </c>
      <c r="P108" s="24">
        <f t="shared" si="12"/>
        <v>-4440</v>
      </c>
      <c r="Q108" s="25">
        <v>0</v>
      </c>
      <c r="R108" s="26">
        <v>75078</v>
      </c>
      <c r="S108" s="91">
        <f t="shared" si="8"/>
        <v>0</v>
      </c>
      <c r="T108" s="91">
        <f t="shared" si="9"/>
        <v>0</v>
      </c>
      <c r="U108" s="27" t="s">
        <v>56</v>
      </c>
      <c r="V108" s="19" t="s">
        <v>51</v>
      </c>
      <c r="W108" s="20">
        <v>45746</v>
      </c>
      <c r="X108" s="22" t="s">
        <v>251</v>
      </c>
      <c r="Y108" s="19" t="s">
        <v>52</v>
      </c>
      <c r="Z108" s="19" t="s">
        <v>52</v>
      </c>
      <c r="AA108" s="19" t="s">
        <v>52</v>
      </c>
      <c r="AB108" s="28"/>
    </row>
    <row r="109" spans="1:29" s="29" customFormat="1" ht="15" customHeight="1" x14ac:dyDescent="0.25">
      <c r="A109" s="14">
        <v>6</v>
      </c>
      <c r="B109" s="15">
        <v>45755</v>
      </c>
      <c r="C109" s="15">
        <f t="shared" si="10"/>
        <v>45763</v>
      </c>
      <c r="D109" s="14">
        <v>12649</v>
      </c>
      <c r="E109" s="16" t="s">
        <v>305</v>
      </c>
      <c r="F109" s="17" t="s">
        <v>306</v>
      </c>
      <c r="G109" s="17" t="s">
        <v>132</v>
      </c>
      <c r="H109" s="18" t="s">
        <v>54</v>
      </c>
      <c r="I109" s="19" t="s">
        <v>135</v>
      </c>
      <c r="J109" s="20">
        <v>45720</v>
      </c>
      <c r="K109" s="20">
        <v>45762</v>
      </c>
      <c r="L109" s="21">
        <v>25000</v>
      </c>
      <c r="M109" s="22">
        <f t="shared" si="11"/>
        <v>37930</v>
      </c>
      <c r="N109" s="23">
        <v>37930</v>
      </c>
      <c r="O109" s="23">
        <v>0</v>
      </c>
      <c r="P109" s="24">
        <f t="shared" si="12"/>
        <v>-12930</v>
      </c>
      <c r="Q109" s="25">
        <v>0</v>
      </c>
      <c r="R109" s="26">
        <v>75078</v>
      </c>
      <c r="S109" s="91">
        <f t="shared" si="8"/>
        <v>0</v>
      </c>
      <c r="T109" s="91">
        <f t="shared" si="9"/>
        <v>0</v>
      </c>
      <c r="U109" s="27" t="s">
        <v>56</v>
      </c>
      <c r="V109" s="19" t="s">
        <v>51</v>
      </c>
      <c r="W109" s="20">
        <v>45751</v>
      </c>
      <c r="X109" s="22" t="s">
        <v>251</v>
      </c>
      <c r="Y109" s="19" t="s">
        <v>52</v>
      </c>
      <c r="Z109" s="19" t="s">
        <v>52</v>
      </c>
      <c r="AA109" s="19" t="s">
        <v>52</v>
      </c>
      <c r="AB109" s="28"/>
    </row>
    <row r="110" spans="1:29" s="29" customFormat="1" ht="15" customHeight="1" x14ac:dyDescent="0.25">
      <c r="A110" s="14">
        <v>9</v>
      </c>
      <c r="B110" s="15">
        <v>45755</v>
      </c>
      <c r="C110" s="15">
        <f t="shared" si="10"/>
        <v>45763</v>
      </c>
      <c r="D110" s="14">
        <v>12733</v>
      </c>
      <c r="E110" s="16" t="s">
        <v>415</v>
      </c>
      <c r="F110" s="17" t="s">
        <v>416</v>
      </c>
      <c r="G110" s="17" t="s">
        <v>132</v>
      </c>
      <c r="H110" s="18" t="s">
        <v>133</v>
      </c>
      <c r="I110" s="19" t="s">
        <v>198</v>
      </c>
      <c r="J110" s="20">
        <v>45742</v>
      </c>
      <c r="K110" s="20">
        <v>45784</v>
      </c>
      <c r="L110" s="21">
        <v>175000</v>
      </c>
      <c r="M110" s="22">
        <f t="shared" si="11"/>
        <v>200000</v>
      </c>
      <c r="N110" s="23">
        <v>200000</v>
      </c>
      <c r="O110" s="23">
        <v>0</v>
      </c>
      <c r="P110" s="24">
        <f t="shared" si="12"/>
        <v>-25000</v>
      </c>
      <c r="Q110" s="25">
        <v>0</v>
      </c>
      <c r="R110" s="26">
        <v>128000</v>
      </c>
      <c r="S110" s="91">
        <f t="shared" si="8"/>
        <v>0</v>
      </c>
      <c r="T110" s="91">
        <f t="shared" si="9"/>
        <v>0</v>
      </c>
      <c r="U110" s="27" t="s">
        <v>56</v>
      </c>
      <c r="V110" s="19" t="s">
        <v>51</v>
      </c>
      <c r="W110" s="20">
        <v>45759</v>
      </c>
      <c r="X110" s="22" t="s">
        <v>251</v>
      </c>
      <c r="Y110" s="19" t="s">
        <v>52</v>
      </c>
      <c r="Z110" s="19" t="s">
        <v>52</v>
      </c>
      <c r="AA110" s="19" t="s">
        <v>52</v>
      </c>
      <c r="AB110" s="28"/>
    </row>
    <row r="111" spans="1:29" s="29" customFormat="1" ht="15" customHeight="1" x14ac:dyDescent="0.25">
      <c r="A111" s="14">
        <v>1</v>
      </c>
      <c r="B111" s="15">
        <v>45758</v>
      </c>
      <c r="C111" s="15">
        <f t="shared" si="10"/>
        <v>45766</v>
      </c>
      <c r="D111" s="14">
        <v>12202</v>
      </c>
      <c r="E111" s="16" t="s">
        <v>417</v>
      </c>
      <c r="F111" s="17" t="s">
        <v>418</v>
      </c>
      <c r="G111" s="17" t="s">
        <v>102</v>
      </c>
      <c r="H111" s="18" t="s">
        <v>57</v>
      </c>
      <c r="I111" s="19" t="s">
        <v>58</v>
      </c>
      <c r="J111" s="20">
        <v>45635</v>
      </c>
      <c r="K111" s="20">
        <v>45716</v>
      </c>
      <c r="L111" s="21">
        <v>500000</v>
      </c>
      <c r="M111" s="22">
        <f t="shared" si="11"/>
        <v>280000</v>
      </c>
      <c r="N111" s="23">
        <v>280000</v>
      </c>
      <c r="O111" s="23">
        <v>0</v>
      </c>
      <c r="P111" s="24">
        <f t="shared" si="12"/>
        <v>220000</v>
      </c>
      <c r="Q111" s="25">
        <v>0</v>
      </c>
      <c r="R111" s="26">
        <v>50000</v>
      </c>
      <c r="S111" s="91">
        <f t="shared" si="8"/>
        <v>4.4000000000000004</v>
      </c>
      <c r="T111" s="91">
        <f t="shared" si="9"/>
        <v>0</v>
      </c>
      <c r="U111" s="27" t="s">
        <v>50</v>
      </c>
      <c r="V111" s="19" t="s">
        <v>51</v>
      </c>
      <c r="W111" s="20">
        <v>45665</v>
      </c>
      <c r="X111" s="22" t="s">
        <v>251</v>
      </c>
      <c r="Y111" s="19" t="s">
        <v>52</v>
      </c>
      <c r="Z111" s="19" t="s">
        <v>52</v>
      </c>
      <c r="AA111" s="19" t="s">
        <v>52</v>
      </c>
      <c r="AB111" s="28"/>
    </row>
    <row r="112" spans="1:29" s="29" customFormat="1" ht="15" customHeight="1" x14ac:dyDescent="0.25">
      <c r="A112" s="14">
        <v>5</v>
      </c>
      <c r="B112" s="15">
        <v>45754</v>
      </c>
      <c r="C112" s="15">
        <f t="shared" si="10"/>
        <v>45762</v>
      </c>
      <c r="D112" s="14">
        <v>12358</v>
      </c>
      <c r="E112" s="16" t="s">
        <v>293</v>
      </c>
      <c r="F112" s="40" t="s">
        <v>294</v>
      </c>
      <c r="G112" s="17" t="s">
        <v>75</v>
      </c>
      <c r="H112" s="18" t="s">
        <v>62</v>
      </c>
      <c r="I112" s="19" t="s">
        <v>63</v>
      </c>
      <c r="J112" s="20">
        <v>45663</v>
      </c>
      <c r="K112" s="20">
        <v>45693</v>
      </c>
      <c r="L112" s="21">
        <v>1500000</v>
      </c>
      <c r="M112" s="22">
        <f t="shared" si="11"/>
        <v>1083000</v>
      </c>
      <c r="N112" s="23">
        <v>1083000</v>
      </c>
      <c r="O112" s="23">
        <v>0</v>
      </c>
      <c r="P112" s="24">
        <f t="shared" si="12"/>
        <v>417000</v>
      </c>
      <c r="Q112" s="25">
        <v>0</v>
      </c>
      <c r="R112" s="26">
        <v>150000</v>
      </c>
      <c r="S112" s="91">
        <f t="shared" si="8"/>
        <v>2.78</v>
      </c>
      <c r="T112" s="91">
        <f t="shared" si="9"/>
        <v>0</v>
      </c>
      <c r="U112" s="27" t="s">
        <v>50</v>
      </c>
      <c r="V112" s="19" t="s">
        <v>51</v>
      </c>
      <c r="W112" s="20">
        <v>45751</v>
      </c>
      <c r="X112" s="22" t="s">
        <v>251</v>
      </c>
      <c r="Y112" s="19" t="s">
        <v>52</v>
      </c>
      <c r="Z112" s="19" t="s">
        <v>52</v>
      </c>
      <c r="AA112" s="19" t="s">
        <v>52</v>
      </c>
      <c r="AB112" s="28"/>
      <c r="AC112" s="90"/>
    </row>
    <row r="113" spans="1:29" s="29" customFormat="1" ht="15" customHeight="1" x14ac:dyDescent="0.25">
      <c r="A113" s="14">
        <v>2</v>
      </c>
      <c r="B113" s="15">
        <v>45758</v>
      </c>
      <c r="C113" s="15">
        <f t="shared" si="10"/>
        <v>45766</v>
      </c>
      <c r="D113" s="14">
        <v>12442</v>
      </c>
      <c r="E113" s="16" t="s">
        <v>459</v>
      </c>
      <c r="F113" s="40" t="s">
        <v>460</v>
      </c>
      <c r="G113" s="17" t="s">
        <v>75</v>
      </c>
      <c r="H113" s="18" t="s">
        <v>78</v>
      </c>
      <c r="I113" s="19" t="s">
        <v>79</v>
      </c>
      <c r="J113" s="20">
        <v>45678</v>
      </c>
      <c r="K113" s="20">
        <v>45713</v>
      </c>
      <c r="L113" s="21">
        <v>450000</v>
      </c>
      <c r="M113" s="22">
        <f t="shared" si="11"/>
        <v>480000</v>
      </c>
      <c r="N113" s="23">
        <v>480000</v>
      </c>
      <c r="O113" s="23">
        <v>0</v>
      </c>
      <c r="P113" s="24">
        <f t="shared" si="12"/>
        <v>-30000</v>
      </c>
      <c r="Q113" s="25">
        <v>0</v>
      </c>
      <c r="R113" s="26">
        <v>96000</v>
      </c>
      <c r="S113" s="91">
        <f t="shared" si="8"/>
        <v>0</v>
      </c>
      <c r="T113" s="91">
        <f t="shared" si="9"/>
        <v>0</v>
      </c>
      <c r="U113" s="27" t="s">
        <v>56</v>
      </c>
      <c r="V113" s="19" t="s">
        <v>51</v>
      </c>
      <c r="W113" s="20">
        <v>45759</v>
      </c>
      <c r="X113" s="22" t="s">
        <v>251</v>
      </c>
      <c r="Y113" s="19" t="s">
        <v>52</v>
      </c>
      <c r="Z113" s="19" t="s">
        <v>52</v>
      </c>
      <c r="AA113" s="19" t="s">
        <v>52</v>
      </c>
      <c r="AB113" s="28"/>
      <c r="AC113" s="90"/>
    </row>
    <row r="114" spans="1:29" s="29" customFormat="1" ht="15" customHeight="1" x14ac:dyDescent="0.25">
      <c r="A114" s="14">
        <v>4</v>
      </c>
      <c r="B114" s="15">
        <v>45765</v>
      </c>
      <c r="C114" s="15">
        <f t="shared" si="10"/>
        <v>45773</v>
      </c>
      <c r="D114" s="14">
        <v>12265</v>
      </c>
      <c r="E114" s="16" t="s">
        <v>430</v>
      </c>
      <c r="F114" s="40" t="s">
        <v>431</v>
      </c>
      <c r="G114" s="17" t="s">
        <v>75</v>
      </c>
      <c r="H114" s="18" t="s">
        <v>542</v>
      </c>
      <c r="I114" s="19" t="s">
        <v>70</v>
      </c>
      <c r="J114" s="20">
        <v>45643</v>
      </c>
      <c r="K114" s="20">
        <v>45670</v>
      </c>
      <c r="L114" s="21">
        <v>2000000</v>
      </c>
      <c r="M114" s="22">
        <f t="shared" si="11"/>
        <v>1929000</v>
      </c>
      <c r="N114" s="23">
        <v>1929000</v>
      </c>
      <c r="O114" s="23">
        <v>0</v>
      </c>
      <c r="P114" s="24">
        <f t="shared" si="12"/>
        <v>71000</v>
      </c>
      <c r="Q114" s="25">
        <v>0</v>
      </c>
      <c r="R114" s="26">
        <v>150000</v>
      </c>
      <c r="S114" s="91">
        <f t="shared" si="8"/>
        <v>0.47333333333333333</v>
      </c>
      <c r="T114" s="91">
        <f t="shared" si="9"/>
        <v>0</v>
      </c>
      <c r="U114" s="27" t="s">
        <v>50</v>
      </c>
      <c r="V114" s="19" t="s">
        <v>51</v>
      </c>
      <c r="W114" s="20">
        <v>45684</v>
      </c>
      <c r="X114" s="22" t="s">
        <v>251</v>
      </c>
      <c r="Y114" s="19" t="s">
        <v>52</v>
      </c>
      <c r="Z114" s="19" t="s">
        <v>52</v>
      </c>
      <c r="AA114" s="19" t="s">
        <v>52</v>
      </c>
      <c r="AB114" s="28"/>
      <c r="AC114" s="90"/>
    </row>
    <row r="115" spans="1:29" s="29" customFormat="1" ht="15" customHeight="1" x14ac:dyDescent="0.25">
      <c r="A115" s="14">
        <v>8</v>
      </c>
      <c r="B115" s="15">
        <v>45758</v>
      </c>
      <c r="C115" s="15">
        <f t="shared" si="10"/>
        <v>45766</v>
      </c>
      <c r="D115" s="14">
        <v>12537</v>
      </c>
      <c r="E115" s="16" t="s">
        <v>320</v>
      </c>
      <c r="F115" s="40" t="s">
        <v>321</v>
      </c>
      <c r="G115" s="17" t="s">
        <v>75</v>
      </c>
      <c r="H115" s="18" t="s">
        <v>133</v>
      </c>
      <c r="I115" s="19" t="s">
        <v>198</v>
      </c>
      <c r="J115" s="20">
        <v>45695</v>
      </c>
      <c r="K115" s="20">
        <v>45733</v>
      </c>
      <c r="L115" s="21">
        <v>150000</v>
      </c>
      <c r="M115" s="22">
        <f t="shared" si="11"/>
        <v>182000</v>
      </c>
      <c r="N115" s="23">
        <v>182000</v>
      </c>
      <c r="O115" s="23">
        <v>0</v>
      </c>
      <c r="P115" s="24">
        <f t="shared" si="12"/>
        <v>-32000</v>
      </c>
      <c r="Q115" s="25">
        <v>0</v>
      </c>
      <c r="R115" s="26">
        <v>72000</v>
      </c>
      <c r="S115" s="91">
        <f t="shared" si="8"/>
        <v>0</v>
      </c>
      <c r="T115" s="91">
        <f t="shared" si="9"/>
        <v>0</v>
      </c>
      <c r="U115" s="27" t="s">
        <v>56</v>
      </c>
      <c r="V115" s="19" t="s">
        <v>51</v>
      </c>
      <c r="W115" s="20">
        <v>45759</v>
      </c>
      <c r="X115" s="22" t="s">
        <v>251</v>
      </c>
      <c r="Y115" s="19" t="s">
        <v>52</v>
      </c>
      <c r="Z115" s="19" t="s">
        <v>52</v>
      </c>
      <c r="AA115" s="19" t="s">
        <v>52</v>
      </c>
      <c r="AB115" s="28"/>
      <c r="AC115" s="90"/>
    </row>
    <row r="116" spans="1:29" s="29" customFormat="1" ht="15" customHeight="1" x14ac:dyDescent="0.25">
      <c r="A116" s="14">
        <v>11</v>
      </c>
      <c r="B116" s="15">
        <v>45762</v>
      </c>
      <c r="C116" s="15">
        <f t="shared" si="10"/>
        <v>45770</v>
      </c>
      <c r="D116" s="14">
        <v>12642</v>
      </c>
      <c r="E116" s="16" t="s">
        <v>497</v>
      </c>
      <c r="F116" s="40" t="s">
        <v>498</v>
      </c>
      <c r="G116" s="17" t="s">
        <v>75</v>
      </c>
      <c r="H116" s="18" t="s">
        <v>133</v>
      </c>
      <c r="I116" s="19" t="s">
        <v>198</v>
      </c>
      <c r="J116" s="20">
        <v>45719</v>
      </c>
      <c r="K116" s="20">
        <v>45740</v>
      </c>
      <c r="L116" s="21">
        <v>60000</v>
      </c>
      <c r="M116" s="22">
        <f t="shared" si="11"/>
        <v>60000</v>
      </c>
      <c r="N116" s="23">
        <v>60000</v>
      </c>
      <c r="O116" s="23">
        <v>0</v>
      </c>
      <c r="P116" s="24">
        <f t="shared" si="12"/>
        <v>0</v>
      </c>
      <c r="Q116" s="25">
        <v>0</v>
      </c>
      <c r="R116" s="26">
        <v>60000</v>
      </c>
      <c r="S116" s="91">
        <f t="shared" si="8"/>
        <v>0</v>
      </c>
      <c r="T116" s="91">
        <f t="shared" si="9"/>
        <v>0</v>
      </c>
      <c r="U116" s="27" t="s">
        <v>56</v>
      </c>
      <c r="V116" s="19" t="s">
        <v>51</v>
      </c>
      <c r="W116" s="20">
        <v>45750</v>
      </c>
      <c r="X116" s="22" t="s">
        <v>251</v>
      </c>
      <c r="Y116" s="19" t="s">
        <v>52</v>
      </c>
      <c r="Z116" s="19" t="s">
        <v>52</v>
      </c>
      <c r="AA116" s="19" t="s">
        <v>52</v>
      </c>
      <c r="AB116" s="28"/>
      <c r="AC116" s="90"/>
    </row>
    <row r="117" spans="1:29" s="29" customFormat="1" ht="15" customHeight="1" x14ac:dyDescent="0.25">
      <c r="A117" s="14">
        <v>13</v>
      </c>
      <c r="B117" s="15">
        <v>45762</v>
      </c>
      <c r="C117" s="15">
        <f t="shared" si="10"/>
        <v>45770</v>
      </c>
      <c r="D117" s="14">
        <v>12672</v>
      </c>
      <c r="E117" s="16" t="s">
        <v>295</v>
      </c>
      <c r="F117" s="40" t="s">
        <v>296</v>
      </c>
      <c r="G117" s="17" t="s">
        <v>75</v>
      </c>
      <c r="H117" s="18" t="s">
        <v>542</v>
      </c>
      <c r="I117" s="19" t="s">
        <v>49</v>
      </c>
      <c r="J117" s="20">
        <v>45723</v>
      </c>
      <c r="K117" s="20">
        <v>45747</v>
      </c>
      <c r="L117" s="21">
        <v>2000000</v>
      </c>
      <c r="M117" s="22">
        <f t="shared" si="11"/>
        <v>2097000</v>
      </c>
      <c r="N117" s="23">
        <v>2097000</v>
      </c>
      <c r="O117" s="23">
        <v>0</v>
      </c>
      <c r="P117" s="24">
        <f t="shared" si="12"/>
        <v>-97000</v>
      </c>
      <c r="Q117" s="25">
        <v>0</v>
      </c>
      <c r="R117" s="26">
        <v>150000</v>
      </c>
      <c r="S117" s="91">
        <f t="shared" si="8"/>
        <v>0</v>
      </c>
      <c r="T117" s="91">
        <f t="shared" si="9"/>
        <v>0</v>
      </c>
      <c r="U117" s="27" t="s">
        <v>50</v>
      </c>
      <c r="V117" s="19" t="s">
        <v>51</v>
      </c>
      <c r="W117" s="20">
        <v>45730</v>
      </c>
      <c r="X117" s="22" t="s">
        <v>251</v>
      </c>
      <c r="Y117" s="19" t="s">
        <v>52</v>
      </c>
      <c r="Z117" s="19" t="s">
        <v>52</v>
      </c>
      <c r="AA117" s="19" t="s">
        <v>52</v>
      </c>
      <c r="AB117" s="28"/>
      <c r="AC117" s="90"/>
    </row>
    <row r="118" spans="1:29" s="29" customFormat="1" ht="15" customHeight="1" x14ac:dyDescent="0.25">
      <c r="A118" s="14">
        <v>15</v>
      </c>
      <c r="B118" s="15">
        <v>45758</v>
      </c>
      <c r="C118" s="15">
        <f t="shared" si="10"/>
        <v>45766</v>
      </c>
      <c r="D118" s="14">
        <v>12647</v>
      </c>
      <c r="E118" s="16" t="s">
        <v>462</v>
      </c>
      <c r="F118" s="40" t="s">
        <v>463</v>
      </c>
      <c r="G118" s="17" t="s">
        <v>75</v>
      </c>
      <c r="H118" s="18" t="s">
        <v>542</v>
      </c>
      <c r="I118" s="19" t="s">
        <v>49</v>
      </c>
      <c r="J118" s="20">
        <v>45715</v>
      </c>
      <c r="K118" s="20">
        <v>45754</v>
      </c>
      <c r="L118" s="21">
        <v>150000</v>
      </c>
      <c r="M118" s="22">
        <f t="shared" si="11"/>
        <v>174000</v>
      </c>
      <c r="N118" s="23">
        <v>174000</v>
      </c>
      <c r="O118" s="23">
        <v>0</v>
      </c>
      <c r="P118" s="24">
        <f t="shared" si="12"/>
        <v>-24000</v>
      </c>
      <c r="Q118" s="25">
        <v>0</v>
      </c>
      <c r="R118" s="26">
        <v>150000</v>
      </c>
      <c r="S118" s="91">
        <f t="shared" si="8"/>
        <v>0</v>
      </c>
      <c r="T118" s="91">
        <f t="shared" si="9"/>
        <v>0</v>
      </c>
      <c r="U118" s="27" t="s">
        <v>50</v>
      </c>
      <c r="V118" s="19" t="s">
        <v>51</v>
      </c>
      <c r="W118" s="20">
        <v>45751</v>
      </c>
      <c r="X118" s="22" t="s">
        <v>251</v>
      </c>
      <c r="Y118" s="19" t="s">
        <v>52</v>
      </c>
      <c r="Z118" s="19" t="s">
        <v>52</v>
      </c>
      <c r="AA118" s="19" t="s">
        <v>52</v>
      </c>
      <c r="AB118" s="28"/>
      <c r="AC118" s="90"/>
    </row>
    <row r="119" spans="1:29" s="29" customFormat="1" ht="15" customHeight="1" x14ac:dyDescent="0.25">
      <c r="A119" s="14">
        <v>17</v>
      </c>
      <c r="B119" s="15">
        <v>45762</v>
      </c>
      <c r="C119" s="15">
        <f t="shared" si="10"/>
        <v>45770</v>
      </c>
      <c r="D119" s="14">
        <v>12710</v>
      </c>
      <c r="E119" s="16" t="s">
        <v>190</v>
      </c>
      <c r="F119" s="40" t="s">
        <v>191</v>
      </c>
      <c r="G119" s="17" t="s">
        <v>75</v>
      </c>
      <c r="H119" s="18" t="s">
        <v>542</v>
      </c>
      <c r="I119" s="19" t="s">
        <v>49</v>
      </c>
      <c r="J119" s="20">
        <v>45735</v>
      </c>
      <c r="K119" s="20">
        <v>45762</v>
      </c>
      <c r="L119" s="21">
        <v>200000</v>
      </c>
      <c r="M119" s="22">
        <f t="shared" si="11"/>
        <v>196000</v>
      </c>
      <c r="N119" s="23">
        <v>196000</v>
      </c>
      <c r="O119" s="23">
        <v>0</v>
      </c>
      <c r="P119" s="24">
        <f t="shared" si="12"/>
        <v>4000</v>
      </c>
      <c r="Q119" s="25">
        <v>0</v>
      </c>
      <c r="R119" s="26">
        <v>50000</v>
      </c>
      <c r="S119" s="91">
        <f t="shared" si="8"/>
        <v>0.08</v>
      </c>
      <c r="T119" s="91">
        <f t="shared" si="9"/>
        <v>0</v>
      </c>
      <c r="U119" s="27" t="s">
        <v>50</v>
      </c>
      <c r="V119" s="19" t="s">
        <v>51</v>
      </c>
      <c r="W119" s="20">
        <v>45751</v>
      </c>
      <c r="X119" s="22" t="s">
        <v>251</v>
      </c>
      <c r="Y119" s="19" t="s">
        <v>52</v>
      </c>
      <c r="Z119" s="19" t="s">
        <v>52</v>
      </c>
      <c r="AA119" s="19" t="s">
        <v>52</v>
      </c>
      <c r="AB119" s="28"/>
      <c r="AC119" s="90"/>
    </row>
    <row r="120" spans="1:29" s="29" customFormat="1" ht="15" customHeight="1" x14ac:dyDescent="0.25">
      <c r="A120" s="14">
        <v>19</v>
      </c>
      <c r="B120" s="15">
        <v>45762</v>
      </c>
      <c r="C120" s="15">
        <f t="shared" si="10"/>
        <v>45770</v>
      </c>
      <c r="D120" s="14">
        <v>12731</v>
      </c>
      <c r="E120" s="16" t="s">
        <v>456</v>
      </c>
      <c r="F120" s="40" t="s">
        <v>80</v>
      </c>
      <c r="G120" s="17" t="s">
        <v>75</v>
      </c>
      <c r="H120" s="18" t="s">
        <v>57</v>
      </c>
      <c r="I120" s="19" t="s">
        <v>58</v>
      </c>
      <c r="J120" s="20">
        <v>45741</v>
      </c>
      <c r="K120" s="20">
        <v>45768</v>
      </c>
      <c r="L120" s="21">
        <v>300000</v>
      </c>
      <c r="M120" s="22">
        <f t="shared" si="11"/>
        <v>300000</v>
      </c>
      <c r="N120" s="23">
        <v>300000</v>
      </c>
      <c r="O120" s="23">
        <v>0</v>
      </c>
      <c r="P120" s="24">
        <f t="shared" si="12"/>
        <v>0</v>
      </c>
      <c r="Q120" s="25">
        <v>0</v>
      </c>
      <c r="R120" s="26">
        <v>150000</v>
      </c>
      <c r="S120" s="91">
        <f t="shared" si="8"/>
        <v>0</v>
      </c>
      <c r="T120" s="91">
        <f t="shared" si="9"/>
        <v>0</v>
      </c>
      <c r="U120" s="27" t="s">
        <v>50</v>
      </c>
      <c r="V120" s="19" t="s">
        <v>51</v>
      </c>
      <c r="W120" s="20">
        <v>45759</v>
      </c>
      <c r="X120" s="22" t="s">
        <v>251</v>
      </c>
      <c r="Y120" s="19" t="s">
        <v>52</v>
      </c>
      <c r="Z120" s="19" t="s">
        <v>52</v>
      </c>
      <c r="AA120" s="19" t="s">
        <v>52</v>
      </c>
      <c r="AB120" s="28"/>
      <c r="AC120" s="90"/>
    </row>
    <row r="121" spans="1:29" s="29" customFormat="1" ht="15" customHeight="1" x14ac:dyDescent="0.25">
      <c r="A121" s="14">
        <v>31</v>
      </c>
      <c r="B121" s="15">
        <v>45758</v>
      </c>
      <c r="C121" s="15">
        <f t="shared" si="10"/>
        <v>45766</v>
      </c>
      <c r="D121" s="14">
        <v>12623</v>
      </c>
      <c r="E121" s="16" t="s">
        <v>97</v>
      </c>
      <c r="F121" s="40" t="s">
        <v>98</v>
      </c>
      <c r="G121" s="17" t="s">
        <v>75</v>
      </c>
      <c r="H121" s="18" t="s">
        <v>54</v>
      </c>
      <c r="I121" s="19" t="s">
        <v>86</v>
      </c>
      <c r="J121" s="20">
        <v>45713</v>
      </c>
      <c r="K121" s="20">
        <v>45751</v>
      </c>
      <c r="L121" s="21">
        <v>500000</v>
      </c>
      <c r="M121" s="22">
        <f t="shared" si="11"/>
        <v>561000</v>
      </c>
      <c r="N121" s="23">
        <v>561000</v>
      </c>
      <c r="O121" s="23">
        <v>0</v>
      </c>
      <c r="P121" s="24">
        <f t="shared" si="12"/>
        <v>-61000</v>
      </c>
      <c r="Q121" s="25">
        <v>0</v>
      </c>
      <c r="R121" s="26">
        <v>126000</v>
      </c>
      <c r="S121" s="91">
        <f t="shared" si="8"/>
        <v>0</v>
      </c>
      <c r="T121" s="91">
        <f t="shared" si="9"/>
        <v>0</v>
      </c>
      <c r="U121" s="27" t="s">
        <v>56</v>
      </c>
      <c r="V121" s="19" t="s">
        <v>51</v>
      </c>
      <c r="W121" s="20">
        <v>45744</v>
      </c>
      <c r="X121" s="22" t="s">
        <v>251</v>
      </c>
      <c r="Y121" s="19" t="s">
        <v>52</v>
      </c>
      <c r="Z121" s="19" t="s">
        <v>52</v>
      </c>
      <c r="AA121" s="19" t="s">
        <v>52</v>
      </c>
      <c r="AB121" s="28"/>
      <c r="AC121" s="90"/>
    </row>
    <row r="122" spans="1:29" s="29" customFormat="1" ht="15" customHeight="1" x14ac:dyDescent="0.25">
      <c r="A122" s="14">
        <v>2</v>
      </c>
      <c r="B122" s="15">
        <v>45762</v>
      </c>
      <c r="C122" s="15">
        <f t="shared" si="10"/>
        <v>45770</v>
      </c>
      <c r="D122" s="14">
        <v>12694</v>
      </c>
      <c r="E122" s="16" t="s">
        <v>109</v>
      </c>
      <c r="F122" s="17" t="s">
        <v>110</v>
      </c>
      <c r="G122" s="17" t="s">
        <v>102</v>
      </c>
      <c r="H122" s="18" t="s">
        <v>57</v>
      </c>
      <c r="I122" s="19" t="s">
        <v>94</v>
      </c>
      <c r="J122" s="20">
        <v>45730</v>
      </c>
      <c r="K122" s="20">
        <v>45757</v>
      </c>
      <c r="L122" s="21">
        <v>600000</v>
      </c>
      <c r="M122" s="22">
        <f t="shared" si="11"/>
        <v>579000</v>
      </c>
      <c r="N122" s="23">
        <v>579000</v>
      </c>
      <c r="O122" s="23">
        <v>0</v>
      </c>
      <c r="P122" s="24">
        <f t="shared" si="12"/>
        <v>21000</v>
      </c>
      <c r="Q122" s="25">
        <v>0</v>
      </c>
      <c r="R122" s="26">
        <v>50000</v>
      </c>
      <c r="S122" s="91">
        <f t="shared" si="8"/>
        <v>0.42</v>
      </c>
      <c r="T122" s="91">
        <f t="shared" si="9"/>
        <v>0</v>
      </c>
      <c r="U122" s="27" t="s">
        <v>50</v>
      </c>
      <c r="V122" s="19" t="s">
        <v>51</v>
      </c>
      <c r="W122" s="20">
        <v>45750</v>
      </c>
      <c r="X122" s="22" t="s">
        <v>251</v>
      </c>
      <c r="Y122" s="19" t="s">
        <v>52</v>
      </c>
      <c r="Z122" s="19" t="s">
        <v>52</v>
      </c>
      <c r="AA122" s="19" t="s">
        <v>52</v>
      </c>
      <c r="AB122" s="28"/>
    </row>
    <row r="123" spans="1:29" s="29" customFormat="1" ht="15" customHeight="1" x14ac:dyDescent="0.25">
      <c r="A123" s="14">
        <v>3</v>
      </c>
      <c r="B123" s="15">
        <v>45762</v>
      </c>
      <c r="C123" s="15">
        <f t="shared" si="10"/>
        <v>45770</v>
      </c>
      <c r="D123" s="14">
        <v>12693</v>
      </c>
      <c r="E123" s="16" t="s">
        <v>537</v>
      </c>
      <c r="F123" s="17" t="s">
        <v>538</v>
      </c>
      <c r="G123" s="17" t="s">
        <v>102</v>
      </c>
      <c r="H123" s="18" t="s">
        <v>57</v>
      </c>
      <c r="I123" s="19" t="s">
        <v>58</v>
      </c>
      <c r="J123" s="20">
        <v>45734</v>
      </c>
      <c r="K123" s="20">
        <v>45757</v>
      </c>
      <c r="L123" s="21">
        <v>300000</v>
      </c>
      <c r="M123" s="22">
        <f t="shared" si="11"/>
        <v>307000</v>
      </c>
      <c r="N123" s="23">
        <v>307000</v>
      </c>
      <c r="O123" s="23">
        <v>0</v>
      </c>
      <c r="P123" s="24">
        <f t="shared" si="12"/>
        <v>-7000</v>
      </c>
      <c r="Q123" s="25">
        <v>0</v>
      </c>
      <c r="R123" s="26">
        <v>100000</v>
      </c>
      <c r="S123" s="91">
        <f t="shared" ref="S123:S186" si="13">IF(P123&gt;0,P123/$R123,0)</f>
        <v>0</v>
      </c>
      <c r="T123" s="91">
        <f t="shared" ref="T123:T186" si="14">IF(Q123&gt;0,Q123/$R123,0)</f>
        <v>0</v>
      </c>
      <c r="U123" s="27" t="s">
        <v>50</v>
      </c>
      <c r="V123" s="19" t="s">
        <v>51</v>
      </c>
      <c r="W123" s="20">
        <v>45752</v>
      </c>
      <c r="X123" s="22" t="s">
        <v>251</v>
      </c>
      <c r="Y123" s="19" t="s">
        <v>52</v>
      </c>
      <c r="Z123" s="19" t="s">
        <v>52</v>
      </c>
      <c r="AA123" s="19" t="s">
        <v>52</v>
      </c>
      <c r="AB123" s="28"/>
    </row>
    <row r="124" spans="1:29" s="29" customFormat="1" ht="15" customHeight="1" x14ac:dyDescent="0.25">
      <c r="A124" s="14">
        <v>2</v>
      </c>
      <c r="B124" s="15">
        <v>45761</v>
      </c>
      <c r="C124" s="15">
        <f t="shared" si="10"/>
        <v>45769</v>
      </c>
      <c r="D124" s="14">
        <v>12650</v>
      </c>
      <c r="E124" s="16" t="s">
        <v>154</v>
      </c>
      <c r="F124" s="17" t="s">
        <v>155</v>
      </c>
      <c r="G124" s="17" t="s">
        <v>132</v>
      </c>
      <c r="H124" s="18" t="s">
        <v>54</v>
      </c>
      <c r="I124" s="19" t="s">
        <v>135</v>
      </c>
      <c r="J124" s="20">
        <v>45720</v>
      </c>
      <c r="K124" s="20">
        <v>45762</v>
      </c>
      <c r="L124" s="21">
        <v>80000</v>
      </c>
      <c r="M124" s="22">
        <f t="shared" si="11"/>
        <v>84670</v>
      </c>
      <c r="N124" s="23">
        <v>84670</v>
      </c>
      <c r="O124" s="23">
        <v>0</v>
      </c>
      <c r="P124" s="24">
        <f t="shared" si="12"/>
        <v>-4670</v>
      </c>
      <c r="Q124" s="25">
        <v>0</v>
      </c>
      <c r="R124" s="26">
        <v>57330</v>
      </c>
      <c r="S124" s="91">
        <f t="shared" si="13"/>
        <v>0</v>
      </c>
      <c r="T124" s="91">
        <f t="shared" si="14"/>
        <v>0</v>
      </c>
      <c r="U124" s="27" t="s">
        <v>56</v>
      </c>
      <c r="V124" s="19" t="s">
        <v>51</v>
      </c>
      <c r="W124" s="20">
        <v>45745</v>
      </c>
      <c r="X124" s="22" t="s">
        <v>251</v>
      </c>
      <c r="Y124" s="19" t="s">
        <v>52</v>
      </c>
      <c r="Z124" s="19" t="s">
        <v>52</v>
      </c>
      <c r="AA124" s="19" t="s">
        <v>52</v>
      </c>
      <c r="AB124" s="28"/>
    </row>
    <row r="125" spans="1:29" s="29" customFormat="1" ht="15" customHeight="1" x14ac:dyDescent="0.25">
      <c r="A125" s="14">
        <v>4</v>
      </c>
      <c r="B125" s="15">
        <v>45758</v>
      </c>
      <c r="C125" s="15">
        <f t="shared" si="10"/>
        <v>45766</v>
      </c>
      <c r="D125" s="14">
        <v>12703</v>
      </c>
      <c r="E125" s="16" t="s">
        <v>307</v>
      </c>
      <c r="F125" s="17" t="s">
        <v>308</v>
      </c>
      <c r="G125" s="17" t="s">
        <v>132</v>
      </c>
      <c r="H125" s="18" t="s">
        <v>133</v>
      </c>
      <c r="I125" s="19" t="s">
        <v>198</v>
      </c>
      <c r="J125" s="20">
        <v>45737</v>
      </c>
      <c r="K125" s="20">
        <v>45784</v>
      </c>
      <c r="L125" s="21">
        <v>400000</v>
      </c>
      <c r="M125" s="22">
        <f t="shared" si="11"/>
        <v>386280</v>
      </c>
      <c r="N125" s="23">
        <v>386280</v>
      </c>
      <c r="O125" s="23">
        <v>0</v>
      </c>
      <c r="P125" s="24">
        <f t="shared" si="12"/>
        <v>13720</v>
      </c>
      <c r="Q125" s="25">
        <v>0</v>
      </c>
      <c r="R125" s="26">
        <v>128000</v>
      </c>
      <c r="S125" s="91">
        <f t="shared" si="13"/>
        <v>0.1071875</v>
      </c>
      <c r="T125" s="91">
        <f t="shared" si="14"/>
        <v>0</v>
      </c>
      <c r="U125" s="27" t="s">
        <v>56</v>
      </c>
      <c r="V125" s="19" t="s">
        <v>51</v>
      </c>
      <c r="W125" s="20">
        <v>45755</v>
      </c>
      <c r="X125" s="22" t="s">
        <v>251</v>
      </c>
      <c r="Y125" s="19" t="s">
        <v>52</v>
      </c>
      <c r="Z125" s="19" t="s">
        <v>52</v>
      </c>
      <c r="AA125" s="19" t="s">
        <v>52</v>
      </c>
      <c r="AB125" s="28"/>
    </row>
    <row r="126" spans="1:29" s="29" customFormat="1" ht="15" customHeight="1" x14ac:dyDescent="0.25">
      <c r="A126" s="14">
        <v>1</v>
      </c>
      <c r="B126" s="15">
        <v>45769</v>
      </c>
      <c r="C126" s="15">
        <f t="shared" si="10"/>
        <v>45777</v>
      </c>
      <c r="D126" s="14">
        <v>12484</v>
      </c>
      <c r="E126" s="16" t="s">
        <v>468</v>
      </c>
      <c r="F126" s="17" t="s">
        <v>469</v>
      </c>
      <c r="G126" s="17" t="s">
        <v>47</v>
      </c>
      <c r="H126" s="18" t="s">
        <v>57</v>
      </c>
      <c r="I126" s="19" t="s">
        <v>58</v>
      </c>
      <c r="J126" s="20">
        <v>45686</v>
      </c>
      <c r="K126" s="20">
        <v>45742</v>
      </c>
      <c r="L126" s="21">
        <v>2000000</v>
      </c>
      <c r="M126" s="22">
        <f t="shared" si="11"/>
        <v>1964000</v>
      </c>
      <c r="N126" s="23">
        <v>1964000</v>
      </c>
      <c r="O126" s="23">
        <v>0</v>
      </c>
      <c r="P126" s="24">
        <f t="shared" si="12"/>
        <v>36000</v>
      </c>
      <c r="Q126" s="25">
        <v>0</v>
      </c>
      <c r="R126" s="26">
        <v>96000</v>
      </c>
      <c r="S126" s="91">
        <f t="shared" si="13"/>
        <v>0.375</v>
      </c>
      <c r="T126" s="91">
        <f t="shared" si="14"/>
        <v>0</v>
      </c>
      <c r="U126" s="27" t="s">
        <v>50</v>
      </c>
      <c r="V126" s="19" t="s">
        <v>51</v>
      </c>
      <c r="W126" s="20">
        <v>45723</v>
      </c>
      <c r="X126" s="22" t="s">
        <v>251</v>
      </c>
      <c r="Y126" s="19" t="s">
        <v>52</v>
      </c>
      <c r="Z126" s="19" t="s">
        <v>52</v>
      </c>
      <c r="AA126" s="19" t="s">
        <v>52</v>
      </c>
      <c r="AB126" s="28"/>
    </row>
    <row r="127" spans="1:29" s="29" customFormat="1" ht="15" customHeight="1" x14ac:dyDescent="0.25">
      <c r="A127" s="14">
        <v>2</v>
      </c>
      <c r="B127" s="15">
        <v>45769</v>
      </c>
      <c r="C127" s="15">
        <f t="shared" si="10"/>
        <v>45777</v>
      </c>
      <c r="D127" s="14">
        <v>12739</v>
      </c>
      <c r="E127" s="16" t="s">
        <v>129</v>
      </c>
      <c r="F127" s="17" t="s">
        <v>555</v>
      </c>
      <c r="G127" s="17" t="s">
        <v>47</v>
      </c>
      <c r="H127" s="18" t="s">
        <v>62</v>
      </c>
      <c r="I127" s="19" t="s">
        <v>63</v>
      </c>
      <c r="J127" s="20">
        <v>45741</v>
      </c>
      <c r="K127" s="20">
        <v>45776</v>
      </c>
      <c r="L127" s="21">
        <v>1000000</v>
      </c>
      <c r="M127" s="22">
        <f t="shared" si="11"/>
        <v>974000</v>
      </c>
      <c r="N127" s="23">
        <v>974000</v>
      </c>
      <c r="O127" s="23">
        <v>0</v>
      </c>
      <c r="P127" s="24">
        <f t="shared" si="12"/>
        <v>26000</v>
      </c>
      <c r="Q127" s="25">
        <v>0</v>
      </c>
      <c r="R127" s="26">
        <v>84000</v>
      </c>
      <c r="S127" s="91">
        <f t="shared" si="13"/>
        <v>0.30952380952380953</v>
      </c>
      <c r="T127" s="91">
        <f t="shared" si="14"/>
        <v>0</v>
      </c>
      <c r="U127" s="27" t="s">
        <v>50</v>
      </c>
      <c r="V127" s="19" t="s">
        <v>51</v>
      </c>
      <c r="W127" s="20">
        <v>45758</v>
      </c>
      <c r="X127" s="22" t="s">
        <v>251</v>
      </c>
      <c r="Y127" s="19" t="s">
        <v>52</v>
      </c>
      <c r="Z127" s="19" t="s">
        <v>52</v>
      </c>
      <c r="AA127" s="19" t="s">
        <v>52</v>
      </c>
      <c r="AB127" s="42"/>
    </row>
    <row r="128" spans="1:29" s="29" customFormat="1" ht="15" customHeight="1" x14ac:dyDescent="0.25">
      <c r="A128" s="14">
        <v>3</v>
      </c>
      <c r="B128" s="15">
        <v>45769</v>
      </c>
      <c r="C128" s="15">
        <f t="shared" si="10"/>
        <v>45777</v>
      </c>
      <c r="D128" s="14">
        <v>12679</v>
      </c>
      <c r="E128" s="16" t="s">
        <v>314</v>
      </c>
      <c r="F128" s="17" t="s">
        <v>315</v>
      </c>
      <c r="G128" s="17" t="s">
        <v>47</v>
      </c>
      <c r="H128" s="18" t="s">
        <v>133</v>
      </c>
      <c r="I128" s="19" t="s">
        <v>198</v>
      </c>
      <c r="J128" s="20">
        <v>45727</v>
      </c>
      <c r="K128" s="20">
        <v>45778</v>
      </c>
      <c r="L128" s="21">
        <v>75000</v>
      </c>
      <c r="M128" s="22">
        <f t="shared" si="11"/>
        <v>73000</v>
      </c>
      <c r="N128" s="23">
        <v>73000</v>
      </c>
      <c r="O128" s="23">
        <v>0</v>
      </c>
      <c r="P128" s="24">
        <f t="shared" si="12"/>
        <v>2000</v>
      </c>
      <c r="Q128" s="25">
        <v>0</v>
      </c>
      <c r="R128" s="26">
        <v>32000</v>
      </c>
      <c r="S128" s="91">
        <f t="shared" si="13"/>
        <v>6.25E-2</v>
      </c>
      <c r="T128" s="91">
        <f t="shared" si="14"/>
        <v>0</v>
      </c>
      <c r="U128" s="27" t="s">
        <v>56</v>
      </c>
      <c r="V128" s="19" t="s">
        <v>51</v>
      </c>
      <c r="W128" s="20">
        <v>45759</v>
      </c>
      <c r="X128" s="22" t="s">
        <v>251</v>
      </c>
      <c r="Y128" s="19" t="s">
        <v>52</v>
      </c>
      <c r="Z128" s="19" t="s">
        <v>52</v>
      </c>
      <c r="AA128" s="19" t="s">
        <v>52</v>
      </c>
      <c r="AB128" s="42"/>
    </row>
    <row r="129" spans="1:29" s="29" customFormat="1" ht="15" customHeight="1" x14ac:dyDescent="0.25">
      <c r="A129" s="14">
        <v>4</v>
      </c>
      <c r="B129" s="15">
        <v>45769</v>
      </c>
      <c r="C129" s="15">
        <f t="shared" si="10"/>
        <v>45777</v>
      </c>
      <c r="D129" s="14">
        <v>12741</v>
      </c>
      <c r="E129" s="16" t="s">
        <v>400</v>
      </c>
      <c r="F129" s="17" t="s">
        <v>401</v>
      </c>
      <c r="G129" s="17" t="s">
        <v>47</v>
      </c>
      <c r="H129" s="18" t="s">
        <v>542</v>
      </c>
      <c r="I129" s="19" t="s">
        <v>49</v>
      </c>
      <c r="J129" s="20">
        <v>45742</v>
      </c>
      <c r="K129" s="20">
        <v>45777</v>
      </c>
      <c r="L129" s="21">
        <v>100000</v>
      </c>
      <c r="M129" s="22">
        <f t="shared" si="11"/>
        <v>106000</v>
      </c>
      <c r="N129" s="23">
        <v>106000</v>
      </c>
      <c r="O129" s="23">
        <v>0</v>
      </c>
      <c r="P129" s="24">
        <f t="shared" si="12"/>
        <v>-6000</v>
      </c>
      <c r="Q129" s="25">
        <v>0</v>
      </c>
      <c r="R129" s="26">
        <v>100000</v>
      </c>
      <c r="S129" s="91">
        <f t="shared" si="13"/>
        <v>0</v>
      </c>
      <c r="T129" s="91">
        <f t="shared" si="14"/>
        <v>0</v>
      </c>
      <c r="U129" s="27" t="s">
        <v>50</v>
      </c>
      <c r="V129" s="19" t="s">
        <v>51</v>
      </c>
      <c r="W129" s="20">
        <v>45759</v>
      </c>
      <c r="X129" s="22" t="s">
        <v>251</v>
      </c>
      <c r="Y129" s="19" t="s">
        <v>52</v>
      </c>
      <c r="Z129" s="19" t="s">
        <v>52</v>
      </c>
      <c r="AA129" s="19" t="s">
        <v>52</v>
      </c>
      <c r="AB129" s="42"/>
    </row>
    <row r="130" spans="1:29" s="29" customFormat="1" ht="15" customHeight="1" x14ac:dyDescent="0.25">
      <c r="A130" s="14">
        <v>2</v>
      </c>
      <c r="B130" s="15">
        <v>45769</v>
      </c>
      <c r="C130" s="15">
        <f t="shared" si="10"/>
        <v>45777</v>
      </c>
      <c r="D130" s="14">
        <v>12319</v>
      </c>
      <c r="E130" s="84" t="s">
        <v>303</v>
      </c>
      <c r="F130" s="86" t="s">
        <v>304</v>
      </c>
      <c r="G130" s="87" t="s">
        <v>75</v>
      </c>
      <c r="H130" s="88" t="s">
        <v>57</v>
      </c>
      <c r="I130" s="19" t="s">
        <v>64</v>
      </c>
      <c r="J130" s="20">
        <v>45653</v>
      </c>
      <c r="K130" s="20">
        <v>45680</v>
      </c>
      <c r="L130" s="21">
        <v>1000000</v>
      </c>
      <c r="M130" s="22">
        <f t="shared" si="11"/>
        <v>1024000</v>
      </c>
      <c r="N130" s="23">
        <v>1024000</v>
      </c>
      <c r="O130" s="23">
        <v>0</v>
      </c>
      <c r="P130" s="24">
        <f t="shared" si="12"/>
        <v>-24000</v>
      </c>
      <c r="Q130" s="25">
        <v>0</v>
      </c>
      <c r="R130" s="26">
        <v>48000</v>
      </c>
      <c r="S130" s="91">
        <f t="shared" si="13"/>
        <v>0</v>
      </c>
      <c r="T130" s="91">
        <f t="shared" si="14"/>
        <v>0</v>
      </c>
      <c r="U130" s="27" t="s">
        <v>50</v>
      </c>
      <c r="V130" s="19" t="s">
        <v>51</v>
      </c>
      <c r="W130" s="20">
        <v>45680</v>
      </c>
      <c r="X130" s="22" t="s">
        <v>251</v>
      </c>
      <c r="Y130" s="19" t="s">
        <v>52</v>
      </c>
      <c r="Z130" s="19" t="s">
        <v>52</v>
      </c>
      <c r="AA130" s="19" t="s">
        <v>52</v>
      </c>
      <c r="AB130" s="28"/>
      <c r="AC130" s="90"/>
    </row>
    <row r="131" spans="1:29" s="29" customFormat="1" ht="15" customHeight="1" x14ac:dyDescent="0.25">
      <c r="A131" s="14">
        <v>12</v>
      </c>
      <c r="B131" s="15">
        <v>45769</v>
      </c>
      <c r="C131" s="15">
        <f t="shared" si="10"/>
        <v>45777</v>
      </c>
      <c r="D131" s="14">
        <v>12754</v>
      </c>
      <c r="E131" s="16" t="s">
        <v>443</v>
      </c>
      <c r="F131" s="40" t="s">
        <v>444</v>
      </c>
      <c r="G131" s="17" t="s">
        <v>75</v>
      </c>
      <c r="H131" s="18" t="s">
        <v>54</v>
      </c>
      <c r="I131" s="19" t="s">
        <v>421</v>
      </c>
      <c r="J131" s="20">
        <v>45743</v>
      </c>
      <c r="K131" s="20">
        <v>45778</v>
      </c>
      <c r="L131" s="21">
        <v>250000</v>
      </c>
      <c r="M131" s="22">
        <f t="shared" si="11"/>
        <v>274000</v>
      </c>
      <c r="N131" s="23">
        <v>274000</v>
      </c>
      <c r="O131" s="23">
        <v>0</v>
      </c>
      <c r="P131" s="24">
        <f t="shared" si="12"/>
        <v>-24000</v>
      </c>
      <c r="Q131" s="25">
        <v>0</v>
      </c>
      <c r="R131" s="26">
        <v>84000</v>
      </c>
      <c r="S131" s="91">
        <f t="shared" si="13"/>
        <v>0</v>
      </c>
      <c r="T131" s="91">
        <f t="shared" si="14"/>
        <v>0</v>
      </c>
      <c r="U131" s="27" t="s">
        <v>56</v>
      </c>
      <c r="V131" s="19" t="s">
        <v>51</v>
      </c>
      <c r="W131" s="20">
        <v>45761</v>
      </c>
      <c r="X131" s="22" t="s">
        <v>251</v>
      </c>
      <c r="Y131" s="19" t="s">
        <v>52</v>
      </c>
      <c r="Z131" s="19" t="s">
        <v>52</v>
      </c>
      <c r="AA131" s="19" t="s">
        <v>52</v>
      </c>
      <c r="AB131" s="28"/>
      <c r="AC131" s="90"/>
    </row>
    <row r="132" spans="1:29" s="29" customFormat="1" ht="15" customHeight="1" x14ac:dyDescent="0.25">
      <c r="A132" s="14">
        <v>5</v>
      </c>
      <c r="B132" s="15">
        <v>45775</v>
      </c>
      <c r="C132" s="15">
        <f t="shared" si="10"/>
        <v>45783</v>
      </c>
      <c r="D132" s="14">
        <v>12610</v>
      </c>
      <c r="E132" s="16" t="s">
        <v>76</v>
      </c>
      <c r="F132" s="40" t="s">
        <v>77</v>
      </c>
      <c r="G132" s="17" t="s">
        <v>75</v>
      </c>
      <c r="H132" s="18" t="s">
        <v>62</v>
      </c>
      <c r="I132" s="19" t="s">
        <v>63</v>
      </c>
      <c r="J132" s="20">
        <v>45708</v>
      </c>
      <c r="K132" s="20">
        <v>45744</v>
      </c>
      <c r="L132" s="21">
        <v>500000</v>
      </c>
      <c r="M132" s="22">
        <f t="shared" si="11"/>
        <v>450000</v>
      </c>
      <c r="N132" s="23">
        <v>450000</v>
      </c>
      <c r="O132" s="23">
        <v>0</v>
      </c>
      <c r="P132" s="24">
        <f t="shared" si="12"/>
        <v>50000</v>
      </c>
      <c r="Q132" s="25">
        <v>0</v>
      </c>
      <c r="R132" s="26">
        <v>150000</v>
      </c>
      <c r="S132" s="91">
        <f t="shared" si="13"/>
        <v>0.33333333333333331</v>
      </c>
      <c r="T132" s="91">
        <f t="shared" si="14"/>
        <v>0</v>
      </c>
      <c r="U132" s="27" t="s">
        <v>50</v>
      </c>
      <c r="V132" s="19" t="s">
        <v>51</v>
      </c>
      <c r="W132" s="20">
        <v>45744</v>
      </c>
      <c r="X132" s="22" t="s">
        <v>251</v>
      </c>
      <c r="Y132" s="19" t="s">
        <v>52</v>
      </c>
      <c r="Z132" s="19" t="s">
        <v>52</v>
      </c>
      <c r="AA132" s="19" t="s">
        <v>52</v>
      </c>
      <c r="AB132" s="28"/>
      <c r="AC132" s="90"/>
    </row>
    <row r="133" spans="1:29" s="29" customFormat="1" ht="15" customHeight="1" x14ac:dyDescent="0.25">
      <c r="A133" s="14">
        <v>3</v>
      </c>
      <c r="B133" s="15">
        <v>45773</v>
      </c>
      <c r="C133" s="15">
        <f t="shared" si="10"/>
        <v>45781</v>
      </c>
      <c r="D133" s="14">
        <v>12547</v>
      </c>
      <c r="E133" s="16" t="s">
        <v>341</v>
      </c>
      <c r="F133" s="40" t="s">
        <v>348</v>
      </c>
      <c r="G133" s="17" t="s">
        <v>75</v>
      </c>
      <c r="H133" s="18" t="s">
        <v>542</v>
      </c>
      <c r="I133" s="19" t="s">
        <v>70</v>
      </c>
      <c r="J133" s="20">
        <v>45694</v>
      </c>
      <c r="K133" s="20">
        <v>45736</v>
      </c>
      <c r="L133" s="21">
        <v>4000000</v>
      </c>
      <c r="M133" s="22">
        <f t="shared" si="11"/>
        <v>4050000</v>
      </c>
      <c r="N133" s="23">
        <v>4050000</v>
      </c>
      <c r="O133" s="23">
        <v>0</v>
      </c>
      <c r="P133" s="24">
        <f t="shared" si="12"/>
        <v>-50000</v>
      </c>
      <c r="Q133" s="25">
        <v>0</v>
      </c>
      <c r="R133" s="26">
        <v>150000</v>
      </c>
      <c r="S133" s="91">
        <f t="shared" si="13"/>
        <v>0</v>
      </c>
      <c r="T133" s="91">
        <f t="shared" si="14"/>
        <v>0</v>
      </c>
      <c r="U133" s="27" t="s">
        <v>50</v>
      </c>
      <c r="V133" s="19" t="s">
        <v>51</v>
      </c>
      <c r="W133" s="20">
        <v>45759</v>
      </c>
      <c r="X133" s="22" t="s">
        <v>251</v>
      </c>
      <c r="Y133" s="19" t="s">
        <v>52</v>
      </c>
      <c r="Z133" s="19" t="s">
        <v>52</v>
      </c>
      <c r="AA133" s="19" t="s">
        <v>52</v>
      </c>
      <c r="AB133" s="28"/>
      <c r="AC133" s="90"/>
    </row>
    <row r="134" spans="1:29" s="29" customFormat="1" ht="15" customHeight="1" x14ac:dyDescent="0.25">
      <c r="A134" s="14">
        <v>4</v>
      </c>
      <c r="B134" s="15">
        <v>45773</v>
      </c>
      <c r="C134" s="15">
        <f t="shared" si="10"/>
        <v>45781</v>
      </c>
      <c r="D134" s="14">
        <v>12612</v>
      </c>
      <c r="E134" s="16" t="s">
        <v>340</v>
      </c>
      <c r="F134" s="40" t="s">
        <v>201</v>
      </c>
      <c r="G134" s="17" t="s">
        <v>75</v>
      </c>
      <c r="H134" s="18" t="s">
        <v>57</v>
      </c>
      <c r="I134" s="19" t="s">
        <v>58</v>
      </c>
      <c r="J134" s="20">
        <v>45708</v>
      </c>
      <c r="K134" s="20">
        <v>45736</v>
      </c>
      <c r="L134" s="21">
        <v>750000</v>
      </c>
      <c r="M134" s="22">
        <f t="shared" si="11"/>
        <v>750000</v>
      </c>
      <c r="N134" s="23">
        <v>750000</v>
      </c>
      <c r="O134" s="23">
        <v>0</v>
      </c>
      <c r="P134" s="24">
        <f t="shared" si="12"/>
        <v>0</v>
      </c>
      <c r="Q134" s="25">
        <v>0</v>
      </c>
      <c r="R134" s="26">
        <v>150000</v>
      </c>
      <c r="S134" s="91">
        <f t="shared" si="13"/>
        <v>0</v>
      </c>
      <c r="T134" s="91">
        <f t="shared" si="14"/>
        <v>0</v>
      </c>
      <c r="U134" s="27" t="s">
        <v>50</v>
      </c>
      <c r="V134" s="19" t="s">
        <v>51</v>
      </c>
      <c r="W134" s="20">
        <v>45761</v>
      </c>
      <c r="X134" s="22" t="s">
        <v>251</v>
      </c>
      <c r="Y134" s="19" t="s">
        <v>52</v>
      </c>
      <c r="Z134" s="19" t="s">
        <v>52</v>
      </c>
      <c r="AA134" s="19" t="s">
        <v>52</v>
      </c>
      <c r="AB134" s="28"/>
      <c r="AC134" s="90"/>
    </row>
    <row r="135" spans="1:29" s="29" customFormat="1" ht="15" customHeight="1" x14ac:dyDescent="0.25">
      <c r="A135" s="14">
        <v>7</v>
      </c>
      <c r="B135" s="15">
        <v>45777</v>
      </c>
      <c r="C135" s="15">
        <f t="shared" si="10"/>
        <v>45785</v>
      </c>
      <c r="D135" s="14">
        <v>12704</v>
      </c>
      <c r="E135" s="16" t="s">
        <v>87</v>
      </c>
      <c r="F135" s="40" t="s">
        <v>88</v>
      </c>
      <c r="G135" s="17" t="s">
        <v>75</v>
      </c>
      <c r="H135" s="18" t="s">
        <v>542</v>
      </c>
      <c r="I135" s="19" t="s">
        <v>49</v>
      </c>
      <c r="J135" s="20">
        <v>45755</v>
      </c>
      <c r="K135" s="20">
        <v>45765</v>
      </c>
      <c r="L135" s="21">
        <v>1200000</v>
      </c>
      <c r="M135" s="22">
        <f t="shared" si="11"/>
        <v>1338000</v>
      </c>
      <c r="N135" s="23">
        <v>1338000</v>
      </c>
      <c r="O135" s="23">
        <v>0</v>
      </c>
      <c r="P135" s="24">
        <f t="shared" si="12"/>
        <v>-138000</v>
      </c>
      <c r="Q135" s="25">
        <v>0</v>
      </c>
      <c r="R135" s="26">
        <v>150000</v>
      </c>
      <c r="S135" s="91">
        <f t="shared" si="13"/>
        <v>0</v>
      </c>
      <c r="T135" s="91">
        <f t="shared" si="14"/>
        <v>0</v>
      </c>
      <c r="U135" s="27" t="s">
        <v>50</v>
      </c>
      <c r="V135" s="19" t="s">
        <v>51</v>
      </c>
      <c r="W135" s="20">
        <v>45758</v>
      </c>
      <c r="X135" s="22" t="s">
        <v>251</v>
      </c>
      <c r="Y135" s="19" t="s">
        <v>52</v>
      </c>
      <c r="Z135" s="19" t="s">
        <v>52</v>
      </c>
      <c r="AA135" s="19" t="s">
        <v>52</v>
      </c>
      <c r="AB135" s="28"/>
      <c r="AC135" s="90"/>
    </row>
    <row r="136" spans="1:29" s="29" customFormat="1" ht="15" customHeight="1" x14ac:dyDescent="0.25">
      <c r="A136" s="14">
        <v>11</v>
      </c>
      <c r="B136" s="15">
        <v>45773</v>
      </c>
      <c r="C136" s="15">
        <f t="shared" si="10"/>
        <v>45781</v>
      </c>
      <c r="D136" s="14">
        <v>12772</v>
      </c>
      <c r="E136" s="16" t="s">
        <v>73</v>
      </c>
      <c r="F136" s="40" t="s">
        <v>74</v>
      </c>
      <c r="G136" s="17" t="s">
        <v>75</v>
      </c>
      <c r="H136" s="18" t="s">
        <v>542</v>
      </c>
      <c r="I136" s="19" t="s">
        <v>49</v>
      </c>
      <c r="J136" s="20">
        <v>45748</v>
      </c>
      <c r="K136" s="20">
        <v>45775</v>
      </c>
      <c r="L136" s="21">
        <v>600000</v>
      </c>
      <c r="M136" s="22">
        <f t="shared" si="11"/>
        <v>606000</v>
      </c>
      <c r="N136" s="23">
        <v>606000</v>
      </c>
      <c r="O136" s="23">
        <v>0</v>
      </c>
      <c r="P136" s="24">
        <f t="shared" si="12"/>
        <v>-6000</v>
      </c>
      <c r="Q136" s="25">
        <v>0</v>
      </c>
      <c r="R136" s="26">
        <v>36000</v>
      </c>
      <c r="S136" s="91">
        <f t="shared" si="13"/>
        <v>0</v>
      </c>
      <c r="T136" s="91">
        <f t="shared" si="14"/>
        <v>0</v>
      </c>
      <c r="U136" s="27" t="s">
        <v>50</v>
      </c>
      <c r="V136" s="19" t="s">
        <v>51</v>
      </c>
      <c r="W136" s="20">
        <v>45768</v>
      </c>
      <c r="X136" s="22" t="s">
        <v>251</v>
      </c>
      <c r="Y136" s="19" t="s">
        <v>52</v>
      </c>
      <c r="Z136" s="19" t="s">
        <v>52</v>
      </c>
      <c r="AA136" s="19" t="s">
        <v>52</v>
      </c>
      <c r="AB136" s="28"/>
      <c r="AC136" s="90"/>
    </row>
    <row r="137" spans="1:29" s="29" customFormat="1" ht="15" customHeight="1" x14ac:dyDescent="0.25">
      <c r="A137" s="14">
        <v>14</v>
      </c>
      <c r="B137" s="15">
        <v>45777</v>
      </c>
      <c r="C137" s="15">
        <f t="shared" si="10"/>
        <v>45785</v>
      </c>
      <c r="D137" s="14">
        <v>12785</v>
      </c>
      <c r="E137" s="16" t="s">
        <v>410</v>
      </c>
      <c r="F137" s="40" t="s">
        <v>411</v>
      </c>
      <c r="G137" s="17" t="s">
        <v>75</v>
      </c>
      <c r="H137" s="18" t="s">
        <v>542</v>
      </c>
      <c r="I137" s="19" t="s">
        <v>104</v>
      </c>
      <c r="J137" s="20">
        <v>45751</v>
      </c>
      <c r="K137" s="20">
        <v>45798</v>
      </c>
      <c r="L137" s="21">
        <v>500000</v>
      </c>
      <c r="M137" s="22">
        <f t="shared" si="11"/>
        <v>498000</v>
      </c>
      <c r="N137" s="23">
        <v>498000</v>
      </c>
      <c r="O137" s="23">
        <v>0</v>
      </c>
      <c r="P137" s="24">
        <f t="shared" si="12"/>
        <v>2000</v>
      </c>
      <c r="Q137" s="25">
        <v>0</v>
      </c>
      <c r="R137" s="26">
        <v>150000</v>
      </c>
      <c r="S137" s="91">
        <f t="shared" si="13"/>
        <v>1.3333333333333334E-2</v>
      </c>
      <c r="T137" s="91">
        <f t="shared" si="14"/>
        <v>0</v>
      </c>
      <c r="U137" s="27" t="s">
        <v>50</v>
      </c>
      <c r="V137" s="19" t="s">
        <v>51</v>
      </c>
      <c r="W137" s="20">
        <v>45772</v>
      </c>
      <c r="X137" s="22" t="s">
        <v>251</v>
      </c>
      <c r="Y137" s="19" t="s">
        <v>52</v>
      </c>
      <c r="Z137" s="19" t="s">
        <v>52</v>
      </c>
      <c r="AA137" s="19" t="s">
        <v>52</v>
      </c>
      <c r="AB137" s="28"/>
      <c r="AC137" s="90"/>
    </row>
    <row r="138" spans="1:29" s="29" customFormat="1" ht="15" customHeight="1" x14ac:dyDescent="0.25">
      <c r="A138" s="14">
        <v>1</v>
      </c>
      <c r="B138" s="15">
        <v>45773</v>
      </c>
      <c r="C138" s="15">
        <f t="shared" si="10"/>
        <v>45781</v>
      </c>
      <c r="D138" s="14">
        <v>12667</v>
      </c>
      <c r="E138" s="16" t="s">
        <v>466</v>
      </c>
      <c r="F138" s="17" t="s">
        <v>467</v>
      </c>
      <c r="G138" s="17" t="s">
        <v>102</v>
      </c>
      <c r="H138" s="18" t="s">
        <v>57</v>
      </c>
      <c r="I138" s="19" t="s">
        <v>58</v>
      </c>
      <c r="J138" s="20">
        <v>45723</v>
      </c>
      <c r="K138" s="20">
        <v>45751</v>
      </c>
      <c r="L138" s="21">
        <v>1000000</v>
      </c>
      <c r="M138" s="22">
        <f t="shared" si="11"/>
        <v>905000</v>
      </c>
      <c r="N138" s="23">
        <v>905000</v>
      </c>
      <c r="O138" s="23"/>
      <c r="P138" s="24">
        <f t="shared" si="12"/>
        <v>95000</v>
      </c>
      <c r="Q138" s="25">
        <v>0</v>
      </c>
      <c r="R138" s="26">
        <v>50000</v>
      </c>
      <c r="S138" s="91">
        <f t="shared" si="13"/>
        <v>1.9</v>
      </c>
      <c r="T138" s="91">
        <f t="shared" si="14"/>
        <v>0</v>
      </c>
      <c r="U138" s="27" t="s">
        <v>50</v>
      </c>
      <c r="V138" s="19" t="s">
        <v>51</v>
      </c>
      <c r="W138" s="20">
        <v>45751</v>
      </c>
      <c r="X138" s="22" t="s">
        <v>251</v>
      </c>
      <c r="Y138" s="19" t="s">
        <v>52</v>
      </c>
      <c r="Z138" s="19" t="s">
        <v>52</v>
      </c>
      <c r="AA138" s="19" t="s">
        <v>52</v>
      </c>
      <c r="AB138" s="28"/>
    </row>
    <row r="139" spans="1:29" s="29" customFormat="1" ht="15" customHeight="1" x14ac:dyDescent="0.25">
      <c r="A139" s="14">
        <v>2</v>
      </c>
      <c r="B139" s="15">
        <v>45773</v>
      </c>
      <c r="C139" s="15">
        <f t="shared" si="10"/>
        <v>45781</v>
      </c>
      <c r="D139" s="14">
        <v>12716</v>
      </c>
      <c r="E139" s="16" t="s">
        <v>121</v>
      </c>
      <c r="F139" s="17" t="s">
        <v>122</v>
      </c>
      <c r="G139" s="17" t="s">
        <v>102</v>
      </c>
      <c r="H139" s="18" t="s">
        <v>542</v>
      </c>
      <c r="I139" s="19" t="s">
        <v>70</v>
      </c>
      <c r="J139" s="20">
        <v>45736</v>
      </c>
      <c r="K139" s="20">
        <v>45777</v>
      </c>
      <c r="L139" s="21">
        <v>300000</v>
      </c>
      <c r="M139" s="22">
        <f t="shared" si="11"/>
        <v>309000</v>
      </c>
      <c r="N139" s="23">
        <v>309000</v>
      </c>
      <c r="O139" s="23"/>
      <c r="P139" s="24">
        <f t="shared" si="12"/>
        <v>-9000</v>
      </c>
      <c r="Q139" s="25">
        <v>0</v>
      </c>
      <c r="R139" s="26">
        <v>50000</v>
      </c>
      <c r="S139" s="91">
        <f t="shared" si="13"/>
        <v>0</v>
      </c>
      <c r="T139" s="91">
        <f t="shared" si="14"/>
        <v>0</v>
      </c>
      <c r="U139" s="27" t="s">
        <v>50</v>
      </c>
      <c r="V139" s="19" t="s">
        <v>51</v>
      </c>
      <c r="W139" s="20">
        <v>45757</v>
      </c>
      <c r="X139" s="22" t="s">
        <v>251</v>
      </c>
      <c r="Y139" s="19" t="s">
        <v>52</v>
      </c>
      <c r="Z139" s="19" t="s">
        <v>52</v>
      </c>
      <c r="AA139" s="19" t="s">
        <v>52</v>
      </c>
      <c r="AB139" s="28"/>
    </row>
    <row r="140" spans="1:29" s="29" customFormat="1" ht="15" customHeight="1" x14ac:dyDescent="0.25">
      <c r="A140" s="14">
        <v>15</v>
      </c>
      <c r="B140" s="15">
        <v>45777</v>
      </c>
      <c r="C140" s="15">
        <f t="shared" si="10"/>
        <v>45785</v>
      </c>
      <c r="D140" s="14">
        <v>12798</v>
      </c>
      <c r="E140" s="16" t="s">
        <v>357</v>
      </c>
      <c r="F140" s="17" t="s">
        <v>247</v>
      </c>
      <c r="G140" s="17" t="s">
        <v>102</v>
      </c>
      <c r="H140" s="18" t="s">
        <v>57</v>
      </c>
      <c r="I140" s="19" t="s">
        <v>64</v>
      </c>
      <c r="J140" s="20">
        <v>45755</v>
      </c>
      <c r="K140" s="20">
        <v>45832</v>
      </c>
      <c r="L140" s="21">
        <v>50000</v>
      </c>
      <c r="M140" s="22">
        <f t="shared" si="11"/>
        <v>50000</v>
      </c>
      <c r="N140" s="23">
        <v>50000</v>
      </c>
      <c r="O140" s="23">
        <v>0</v>
      </c>
      <c r="P140" s="24">
        <f t="shared" si="12"/>
        <v>0</v>
      </c>
      <c r="Q140" s="25">
        <v>0</v>
      </c>
      <c r="R140" s="26">
        <v>42000</v>
      </c>
      <c r="S140" s="91">
        <f t="shared" si="13"/>
        <v>0</v>
      </c>
      <c r="T140" s="91">
        <f t="shared" si="14"/>
        <v>0</v>
      </c>
      <c r="U140" s="27" t="s">
        <v>50</v>
      </c>
      <c r="V140" s="19" t="s">
        <v>51</v>
      </c>
      <c r="W140" s="20">
        <v>45774</v>
      </c>
      <c r="X140" s="22" t="s">
        <v>251</v>
      </c>
      <c r="Y140" s="19" t="s">
        <v>52</v>
      </c>
      <c r="Z140" s="19" t="s">
        <v>52</v>
      </c>
      <c r="AA140" s="19" t="s">
        <v>52</v>
      </c>
      <c r="AB140" s="28"/>
    </row>
    <row r="141" spans="1:29" s="29" customFormat="1" ht="15" customHeight="1" x14ac:dyDescent="0.25">
      <c r="A141" s="14">
        <v>1</v>
      </c>
      <c r="B141" s="15">
        <v>45777</v>
      </c>
      <c r="C141" s="15">
        <f t="shared" si="10"/>
        <v>45785</v>
      </c>
      <c r="D141" s="14">
        <v>12274</v>
      </c>
      <c r="E141" s="16" t="s">
        <v>324</v>
      </c>
      <c r="F141" s="17" t="s">
        <v>325</v>
      </c>
      <c r="G141" s="17" t="s">
        <v>132</v>
      </c>
      <c r="H141" s="18" t="s">
        <v>54</v>
      </c>
      <c r="I141" s="19" t="s">
        <v>198</v>
      </c>
      <c r="J141" s="20">
        <v>45645</v>
      </c>
      <c r="K141" s="20">
        <v>45694</v>
      </c>
      <c r="L141" s="21">
        <v>2000000</v>
      </c>
      <c r="M141" s="22">
        <f t="shared" si="11"/>
        <v>2135170</v>
      </c>
      <c r="N141" s="23">
        <v>2135170</v>
      </c>
      <c r="O141" s="23">
        <v>0</v>
      </c>
      <c r="P141" s="24">
        <f t="shared" si="12"/>
        <v>-135170</v>
      </c>
      <c r="Q141" s="25">
        <v>0</v>
      </c>
      <c r="R141" s="26">
        <v>324000</v>
      </c>
      <c r="S141" s="91">
        <f t="shared" si="13"/>
        <v>0</v>
      </c>
      <c r="T141" s="91">
        <f t="shared" si="14"/>
        <v>0</v>
      </c>
      <c r="U141" s="27" t="s">
        <v>56</v>
      </c>
      <c r="V141" s="19" t="s">
        <v>51</v>
      </c>
      <c r="W141" s="20">
        <v>45698</v>
      </c>
      <c r="X141" s="22" t="s">
        <v>251</v>
      </c>
      <c r="Y141" s="19" t="s">
        <v>52</v>
      </c>
      <c r="Z141" s="19" t="s">
        <v>52</v>
      </c>
      <c r="AA141" s="19" t="s">
        <v>52</v>
      </c>
      <c r="AB141"/>
    </row>
    <row r="142" spans="1:29" s="29" customFormat="1" ht="15" customHeight="1" x14ac:dyDescent="0.25">
      <c r="A142" s="14">
        <v>11</v>
      </c>
      <c r="B142" s="15">
        <v>45777</v>
      </c>
      <c r="C142" s="15">
        <f t="shared" si="10"/>
        <v>45785</v>
      </c>
      <c r="D142" s="14">
        <v>12765</v>
      </c>
      <c r="E142" s="16" t="s">
        <v>255</v>
      </c>
      <c r="F142" s="17" t="s">
        <v>256</v>
      </c>
      <c r="G142" s="17" t="s">
        <v>132</v>
      </c>
      <c r="H142" s="18" t="s">
        <v>54</v>
      </c>
      <c r="I142" s="19" t="s">
        <v>135</v>
      </c>
      <c r="J142" s="20">
        <v>45748</v>
      </c>
      <c r="K142" s="20">
        <v>45821</v>
      </c>
      <c r="L142" s="21">
        <v>30000</v>
      </c>
      <c r="M142" s="22">
        <f t="shared" si="11"/>
        <v>31850</v>
      </c>
      <c r="N142" s="23">
        <v>31850</v>
      </c>
      <c r="O142" s="23">
        <v>0</v>
      </c>
      <c r="P142" s="24">
        <f t="shared" si="12"/>
        <v>-1850</v>
      </c>
      <c r="Q142" s="25">
        <v>0</v>
      </c>
      <c r="R142" s="26">
        <v>57330</v>
      </c>
      <c r="S142" s="91">
        <f t="shared" si="13"/>
        <v>0</v>
      </c>
      <c r="T142" s="91">
        <f t="shared" si="14"/>
        <v>0</v>
      </c>
      <c r="U142" s="27" t="s">
        <v>56</v>
      </c>
      <c r="V142" s="19" t="s">
        <v>51</v>
      </c>
      <c r="W142" s="20">
        <v>45772</v>
      </c>
      <c r="X142" s="22" t="s">
        <v>251</v>
      </c>
      <c r="Y142" s="19" t="s">
        <v>52</v>
      </c>
      <c r="Z142" s="19" t="s">
        <v>52</v>
      </c>
      <c r="AA142" s="19" t="s">
        <v>52</v>
      </c>
      <c r="AB142" s="28"/>
    </row>
    <row r="143" spans="1:29" s="29" customFormat="1" ht="15" customHeight="1" x14ac:dyDescent="0.25">
      <c r="A143" s="14">
        <v>13</v>
      </c>
      <c r="B143" s="15">
        <v>45777</v>
      </c>
      <c r="C143" s="15">
        <f t="shared" si="10"/>
        <v>45785</v>
      </c>
      <c r="D143" s="14">
        <v>12766</v>
      </c>
      <c r="E143" s="16" t="s">
        <v>327</v>
      </c>
      <c r="F143" s="17" t="s">
        <v>328</v>
      </c>
      <c r="G143" s="17" t="s">
        <v>132</v>
      </c>
      <c r="H143" s="18" t="s">
        <v>54</v>
      </c>
      <c r="I143" s="19" t="s">
        <v>135</v>
      </c>
      <c r="J143" s="20">
        <v>45748</v>
      </c>
      <c r="K143" s="20">
        <v>45824</v>
      </c>
      <c r="L143" s="21">
        <v>30000</v>
      </c>
      <c r="M143" s="22">
        <f t="shared" si="11"/>
        <v>35520</v>
      </c>
      <c r="N143" s="23">
        <v>35520</v>
      </c>
      <c r="O143" s="23">
        <v>0</v>
      </c>
      <c r="P143" s="24">
        <f t="shared" si="12"/>
        <v>-5520</v>
      </c>
      <c r="Q143" s="25">
        <v>0</v>
      </c>
      <c r="R143" s="26">
        <v>75078</v>
      </c>
      <c r="S143" s="91">
        <f t="shared" si="13"/>
        <v>0</v>
      </c>
      <c r="T143" s="91">
        <f t="shared" si="14"/>
        <v>0</v>
      </c>
      <c r="U143" s="27" t="s">
        <v>56</v>
      </c>
      <c r="V143" s="19" t="s">
        <v>51</v>
      </c>
      <c r="W143" s="20">
        <v>45772</v>
      </c>
      <c r="X143" s="22" t="s">
        <v>251</v>
      </c>
      <c r="Y143" s="19" t="s">
        <v>52</v>
      </c>
      <c r="Z143" s="19" t="s">
        <v>52</v>
      </c>
      <c r="AA143" s="19" t="s">
        <v>52</v>
      </c>
      <c r="AB143" s="28"/>
    </row>
    <row r="144" spans="1:29" s="29" customFormat="1" ht="15" customHeight="1" x14ac:dyDescent="0.25">
      <c r="A144" s="14">
        <v>14</v>
      </c>
      <c r="B144" s="15">
        <v>45777</v>
      </c>
      <c r="C144" s="15">
        <f t="shared" si="10"/>
        <v>45785</v>
      </c>
      <c r="D144" s="14">
        <v>12767</v>
      </c>
      <c r="E144" s="16" t="s">
        <v>137</v>
      </c>
      <c r="F144" s="17" t="s">
        <v>138</v>
      </c>
      <c r="G144" s="17" t="s">
        <v>132</v>
      </c>
      <c r="H144" s="18" t="s">
        <v>54</v>
      </c>
      <c r="I144" s="19" t="s">
        <v>135</v>
      </c>
      <c r="J144" s="20">
        <v>45748</v>
      </c>
      <c r="K144" s="20">
        <v>45824</v>
      </c>
      <c r="L144" s="21">
        <v>40000</v>
      </c>
      <c r="M144" s="22">
        <f t="shared" si="11"/>
        <v>40650</v>
      </c>
      <c r="N144" s="23">
        <v>40650</v>
      </c>
      <c r="O144" s="23">
        <v>0</v>
      </c>
      <c r="P144" s="24">
        <f t="shared" si="12"/>
        <v>-650</v>
      </c>
      <c r="Q144" s="25">
        <v>0</v>
      </c>
      <c r="R144" s="26">
        <v>69948</v>
      </c>
      <c r="S144" s="91">
        <f t="shared" si="13"/>
        <v>0</v>
      </c>
      <c r="T144" s="91">
        <f t="shared" si="14"/>
        <v>0</v>
      </c>
      <c r="U144" s="27" t="s">
        <v>56</v>
      </c>
      <c r="V144" s="19" t="s">
        <v>51</v>
      </c>
      <c r="W144" s="20">
        <v>45772</v>
      </c>
      <c r="X144" s="22" t="s">
        <v>251</v>
      </c>
      <c r="Y144" s="19" t="s">
        <v>52</v>
      </c>
      <c r="Z144" s="19" t="s">
        <v>52</v>
      </c>
      <c r="AA144" s="19" t="s">
        <v>52</v>
      </c>
      <c r="AB144" s="28"/>
    </row>
    <row r="145" spans="1:29" s="29" customFormat="1" ht="15" customHeight="1" x14ac:dyDescent="0.25">
      <c r="A145" s="14">
        <v>1</v>
      </c>
      <c r="B145" s="15">
        <v>45773</v>
      </c>
      <c r="C145" s="15">
        <f t="shared" si="10"/>
        <v>45781</v>
      </c>
      <c r="D145" s="14">
        <v>12793</v>
      </c>
      <c r="E145" s="16" t="s">
        <v>202</v>
      </c>
      <c r="F145" s="17" t="s">
        <v>203</v>
      </c>
      <c r="G145" s="17" t="s">
        <v>47</v>
      </c>
      <c r="H145" s="18" t="s">
        <v>542</v>
      </c>
      <c r="I145" s="19" t="s">
        <v>104</v>
      </c>
      <c r="J145" s="20">
        <v>45751</v>
      </c>
      <c r="K145" s="20">
        <v>45777</v>
      </c>
      <c r="L145" s="21">
        <v>50000</v>
      </c>
      <c r="M145" s="22">
        <f t="shared" si="11"/>
        <v>49000</v>
      </c>
      <c r="N145" s="23">
        <v>49000</v>
      </c>
      <c r="O145" s="23">
        <v>0</v>
      </c>
      <c r="P145" s="24">
        <f t="shared" si="12"/>
        <v>1000</v>
      </c>
      <c r="Q145" s="25">
        <v>0</v>
      </c>
      <c r="R145" s="26">
        <v>50000</v>
      </c>
      <c r="S145" s="91">
        <f t="shared" si="13"/>
        <v>0.02</v>
      </c>
      <c r="T145" s="91">
        <f t="shared" si="14"/>
        <v>0</v>
      </c>
      <c r="U145" s="27" t="s">
        <v>50</v>
      </c>
      <c r="V145" s="19" t="s">
        <v>51</v>
      </c>
      <c r="W145" s="20">
        <v>45772</v>
      </c>
      <c r="X145" s="22" t="s">
        <v>251</v>
      </c>
      <c r="Y145" s="19" t="s">
        <v>52</v>
      </c>
      <c r="Z145" s="19" t="s">
        <v>52</v>
      </c>
      <c r="AA145" s="19" t="s">
        <v>52</v>
      </c>
      <c r="AB145" s="42"/>
    </row>
    <row r="146" spans="1:29" s="29" customFormat="1" ht="15" customHeight="1" x14ac:dyDescent="0.25">
      <c r="A146" s="14">
        <v>1</v>
      </c>
      <c r="B146" s="15">
        <v>45789</v>
      </c>
      <c r="C146" s="15">
        <f t="shared" si="10"/>
        <v>45797</v>
      </c>
      <c r="D146" s="14">
        <v>12454</v>
      </c>
      <c r="E146" s="16" t="s">
        <v>365</v>
      </c>
      <c r="F146" s="40" t="s">
        <v>366</v>
      </c>
      <c r="G146" s="17" t="s">
        <v>75</v>
      </c>
      <c r="H146" s="18" t="s">
        <v>57</v>
      </c>
      <c r="I146" s="19" t="s">
        <v>58</v>
      </c>
      <c r="J146" s="20">
        <v>45681</v>
      </c>
      <c r="K146" s="20">
        <v>45733</v>
      </c>
      <c r="L146" s="21">
        <v>450000</v>
      </c>
      <c r="M146" s="22">
        <f t="shared" si="11"/>
        <v>300000</v>
      </c>
      <c r="N146" s="23">
        <v>300000</v>
      </c>
      <c r="O146" s="23">
        <v>0</v>
      </c>
      <c r="P146" s="24">
        <f t="shared" si="12"/>
        <v>150000</v>
      </c>
      <c r="Q146" s="25">
        <v>0</v>
      </c>
      <c r="R146" s="26">
        <v>150000</v>
      </c>
      <c r="S146" s="91">
        <f t="shared" si="13"/>
        <v>1</v>
      </c>
      <c r="T146" s="91">
        <f t="shared" si="14"/>
        <v>0</v>
      </c>
      <c r="U146" s="27" t="s">
        <v>50</v>
      </c>
      <c r="V146" s="19" t="s">
        <v>51</v>
      </c>
      <c r="W146" s="20">
        <v>45747</v>
      </c>
      <c r="X146" s="22" t="s">
        <v>251</v>
      </c>
      <c r="Y146" s="19" t="s">
        <v>52</v>
      </c>
      <c r="Z146" s="19" t="s">
        <v>52</v>
      </c>
      <c r="AA146" s="19" t="s">
        <v>52</v>
      </c>
      <c r="AB146"/>
      <c r="AC146" s="90"/>
    </row>
    <row r="147" spans="1:29" s="29" customFormat="1" ht="15" customHeight="1" x14ac:dyDescent="0.25">
      <c r="A147" s="14">
        <v>2</v>
      </c>
      <c r="B147" s="15">
        <v>45778</v>
      </c>
      <c r="C147" s="15">
        <f t="shared" si="10"/>
        <v>45786</v>
      </c>
      <c r="D147" s="14">
        <v>12491</v>
      </c>
      <c r="E147" s="16" t="s">
        <v>556</v>
      </c>
      <c r="F147" s="40" t="s">
        <v>474</v>
      </c>
      <c r="G147" s="17" t="s">
        <v>75</v>
      </c>
      <c r="H147" s="18" t="s">
        <v>57</v>
      </c>
      <c r="I147" s="19" t="s">
        <v>58</v>
      </c>
      <c r="J147" s="20">
        <v>45688</v>
      </c>
      <c r="K147" s="20">
        <v>45708</v>
      </c>
      <c r="L147" s="21">
        <v>81000</v>
      </c>
      <c r="M147" s="22">
        <f t="shared" si="11"/>
        <v>87000</v>
      </c>
      <c r="N147" s="23">
        <v>87000</v>
      </c>
      <c r="O147" s="23">
        <v>0</v>
      </c>
      <c r="P147" s="24">
        <f t="shared" si="12"/>
        <v>-6000</v>
      </c>
      <c r="Q147" s="25">
        <v>0</v>
      </c>
      <c r="R147" s="26">
        <v>150000</v>
      </c>
      <c r="S147" s="91">
        <f t="shared" si="13"/>
        <v>0</v>
      </c>
      <c r="T147" s="91">
        <f t="shared" si="14"/>
        <v>0</v>
      </c>
      <c r="U147" s="27" t="s">
        <v>50</v>
      </c>
      <c r="V147" s="19" t="s">
        <v>51</v>
      </c>
      <c r="W147" s="20">
        <v>45740</v>
      </c>
      <c r="X147" s="22" t="s">
        <v>251</v>
      </c>
      <c r="Y147" s="19" t="s">
        <v>52</v>
      </c>
      <c r="Z147" s="19" t="s">
        <v>52</v>
      </c>
      <c r="AA147" s="19" t="s">
        <v>52</v>
      </c>
      <c r="AB147" s="28"/>
      <c r="AC147" s="90"/>
    </row>
    <row r="148" spans="1:29" s="29" customFormat="1" ht="15" customHeight="1" x14ac:dyDescent="0.25">
      <c r="A148" s="14">
        <v>4</v>
      </c>
      <c r="B148" s="15">
        <v>45780</v>
      </c>
      <c r="C148" s="15">
        <f t="shared" si="10"/>
        <v>45788</v>
      </c>
      <c r="D148" s="14">
        <v>12709</v>
      </c>
      <c r="E148" s="16" t="s">
        <v>206</v>
      </c>
      <c r="F148" s="40" t="s">
        <v>207</v>
      </c>
      <c r="G148" s="17" t="s">
        <v>75</v>
      </c>
      <c r="H148" s="18" t="s">
        <v>542</v>
      </c>
      <c r="I148" s="19" t="s">
        <v>49</v>
      </c>
      <c r="J148" s="20">
        <v>45735</v>
      </c>
      <c r="K148" s="20">
        <v>45762</v>
      </c>
      <c r="L148" s="21">
        <v>600000</v>
      </c>
      <c r="M148" s="22">
        <f t="shared" si="11"/>
        <v>501000</v>
      </c>
      <c r="N148" s="23">
        <v>501000</v>
      </c>
      <c r="O148" s="23">
        <v>0</v>
      </c>
      <c r="P148" s="24">
        <f t="shared" si="12"/>
        <v>99000</v>
      </c>
      <c r="Q148" s="25">
        <v>0</v>
      </c>
      <c r="R148" s="26">
        <v>150000</v>
      </c>
      <c r="S148" s="91">
        <f t="shared" si="13"/>
        <v>0.66</v>
      </c>
      <c r="T148" s="91">
        <f t="shared" si="14"/>
        <v>0</v>
      </c>
      <c r="U148" s="27" t="s">
        <v>50</v>
      </c>
      <c r="V148" s="19" t="s">
        <v>51</v>
      </c>
      <c r="W148" s="20">
        <v>45752</v>
      </c>
      <c r="X148" s="22" t="s">
        <v>251</v>
      </c>
      <c r="Y148" s="19" t="s">
        <v>52</v>
      </c>
      <c r="Z148" s="19" t="s">
        <v>52</v>
      </c>
      <c r="AA148" s="19" t="s">
        <v>52</v>
      </c>
      <c r="AB148" s="28"/>
      <c r="AC148" s="90"/>
    </row>
    <row r="149" spans="1:29" s="29" customFormat="1" ht="15" customHeight="1" x14ac:dyDescent="0.25">
      <c r="A149" s="14">
        <v>5</v>
      </c>
      <c r="B149" s="15">
        <v>45783</v>
      </c>
      <c r="C149" s="15">
        <f t="shared" si="10"/>
        <v>45791</v>
      </c>
      <c r="D149" s="14">
        <v>12729</v>
      </c>
      <c r="E149" s="16" t="s">
        <v>552</v>
      </c>
      <c r="F149" s="40" t="s">
        <v>553</v>
      </c>
      <c r="G149" s="17" t="s">
        <v>75</v>
      </c>
      <c r="H149" s="18" t="s">
        <v>78</v>
      </c>
      <c r="I149" s="19" t="s">
        <v>79</v>
      </c>
      <c r="J149" s="20">
        <v>45740</v>
      </c>
      <c r="K149" s="20">
        <v>45778</v>
      </c>
      <c r="L149" s="21">
        <v>150000</v>
      </c>
      <c r="M149" s="22">
        <f t="shared" si="11"/>
        <v>156000</v>
      </c>
      <c r="N149" s="23">
        <v>156000</v>
      </c>
      <c r="O149" s="23">
        <v>0</v>
      </c>
      <c r="P149" s="24">
        <f t="shared" si="12"/>
        <v>-6000</v>
      </c>
      <c r="Q149" s="25">
        <v>0</v>
      </c>
      <c r="R149" s="26">
        <v>96000</v>
      </c>
      <c r="S149" s="91">
        <f t="shared" si="13"/>
        <v>0</v>
      </c>
      <c r="T149" s="91">
        <f t="shared" si="14"/>
        <v>0</v>
      </c>
      <c r="U149" s="27" t="s">
        <v>56</v>
      </c>
      <c r="V149" s="19" t="s">
        <v>51</v>
      </c>
      <c r="W149" s="20">
        <v>45773</v>
      </c>
      <c r="X149" s="22" t="s">
        <v>251</v>
      </c>
      <c r="Y149" s="19" t="s">
        <v>52</v>
      </c>
      <c r="Z149" s="19" t="s">
        <v>52</v>
      </c>
      <c r="AA149" s="19" t="s">
        <v>52</v>
      </c>
      <c r="AB149" s="28"/>
      <c r="AC149" s="90"/>
    </row>
    <row r="150" spans="1:29" s="29" customFormat="1" ht="15" customHeight="1" x14ac:dyDescent="0.25">
      <c r="A150" s="14">
        <v>6</v>
      </c>
      <c r="B150" s="15">
        <v>45786</v>
      </c>
      <c r="C150" s="15">
        <f t="shared" si="10"/>
        <v>45794</v>
      </c>
      <c r="D150" s="14">
        <v>12755</v>
      </c>
      <c r="E150" s="16" t="s">
        <v>427</v>
      </c>
      <c r="F150" s="40" t="s">
        <v>561</v>
      </c>
      <c r="G150" s="17" t="s">
        <v>75</v>
      </c>
      <c r="H150" s="18" t="s">
        <v>57</v>
      </c>
      <c r="I150" s="19" t="s">
        <v>58</v>
      </c>
      <c r="J150" s="20">
        <v>45743</v>
      </c>
      <c r="K150" s="20">
        <v>45778</v>
      </c>
      <c r="L150" s="21">
        <v>300000</v>
      </c>
      <c r="M150" s="22">
        <f t="shared" si="11"/>
        <v>270000</v>
      </c>
      <c r="N150" s="23">
        <v>270000</v>
      </c>
      <c r="O150" s="23">
        <v>0</v>
      </c>
      <c r="P150" s="24">
        <f t="shared" si="12"/>
        <v>30000</v>
      </c>
      <c r="Q150" s="25">
        <v>0</v>
      </c>
      <c r="R150" s="26">
        <v>144000</v>
      </c>
      <c r="S150" s="91">
        <f t="shared" si="13"/>
        <v>0.20833333333333334</v>
      </c>
      <c r="T150" s="91">
        <f t="shared" si="14"/>
        <v>0</v>
      </c>
      <c r="U150" s="27" t="s">
        <v>50</v>
      </c>
      <c r="V150" s="19" t="s">
        <v>51</v>
      </c>
      <c r="W150" s="20">
        <v>45757</v>
      </c>
      <c r="X150" s="22" t="s">
        <v>251</v>
      </c>
      <c r="Y150" s="19" t="s">
        <v>52</v>
      </c>
      <c r="Z150" s="19" t="s">
        <v>52</v>
      </c>
      <c r="AA150" s="19" t="s">
        <v>52</v>
      </c>
      <c r="AB150" s="28"/>
      <c r="AC150" s="90"/>
    </row>
    <row r="151" spans="1:29" s="29" customFormat="1" ht="15" customHeight="1" x14ac:dyDescent="0.25">
      <c r="A151" s="14">
        <v>9</v>
      </c>
      <c r="B151" s="15">
        <v>45787</v>
      </c>
      <c r="C151" s="15">
        <f t="shared" si="10"/>
        <v>45795</v>
      </c>
      <c r="D151" s="14">
        <v>12789</v>
      </c>
      <c r="E151" s="16" t="s">
        <v>293</v>
      </c>
      <c r="F151" s="40" t="s">
        <v>294</v>
      </c>
      <c r="G151" s="17" t="s">
        <v>75</v>
      </c>
      <c r="H151" s="18" t="s">
        <v>62</v>
      </c>
      <c r="I151" s="19" t="s">
        <v>63</v>
      </c>
      <c r="J151" s="20">
        <v>45751</v>
      </c>
      <c r="K151" s="20">
        <v>45785</v>
      </c>
      <c r="L151" s="21">
        <v>1500000</v>
      </c>
      <c r="M151" s="22">
        <f t="shared" si="11"/>
        <v>1530000</v>
      </c>
      <c r="N151" s="23">
        <v>1530000</v>
      </c>
      <c r="O151" s="23">
        <v>0</v>
      </c>
      <c r="P151" s="24">
        <f t="shared" si="12"/>
        <v>-30000</v>
      </c>
      <c r="Q151" s="25">
        <v>0</v>
      </c>
      <c r="R151" s="26">
        <v>150000</v>
      </c>
      <c r="S151" s="91">
        <f t="shared" si="13"/>
        <v>0</v>
      </c>
      <c r="T151" s="91">
        <f t="shared" si="14"/>
        <v>0</v>
      </c>
      <c r="U151" s="27" t="s">
        <v>50</v>
      </c>
      <c r="V151" s="19" t="s">
        <v>51</v>
      </c>
      <c r="W151" s="20">
        <v>45772</v>
      </c>
      <c r="X151" s="22" t="s">
        <v>251</v>
      </c>
      <c r="Y151" s="19" t="s">
        <v>52</v>
      </c>
      <c r="Z151" s="19" t="s">
        <v>52</v>
      </c>
      <c r="AA151" s="19" t="s">
        <v>52</v>
      </c>
      <c r="AB151" s="28"/>
      <c r="AC151" s="90"/>
    </row>
    <row r="152" spans="1:29" s="29" customFormat="1" ht="15" customHeight="1" x14ac:dyDescent="0.25">
      <c r="A152" s="14">
        <v>11</v>
      </c>
      <c r="B152" s="15">
        <v>45783</v>
      </c>
      <c r="C152" s="15">
        <f t="shared" si="10"/>
        <v>45791</v>
      </c>
      <c r="D152" s="14">
        <v>12796</v>
      </c>
      <c r="E152" s="16" t="s">
        <v>459</v>
      </c>
      <c r="F152" s="40" t="s">
        <v>460</v>
      </c>
      <c r="G152" s="17" t="s">
        <v>75</v>
      </c>
      <c r="H152" s="18" t="s">
        <v>78</v>
      </c>
      <c r="I152" s="19" t="s">
        <v>79</v>
      </c>
      <c r="J152" s="20">
        <v>45755</v>
      </c>
      <c r="K152" s="20">
        <v>45789</v>
      </c>
      <c r="L152" s="21">
        <v>350000</v>
      </c>
      <c r="M152" s="22">
        <f t="shared" si="11"/>
        <v>489000</v>
      </c>
      <c r="N152" s="23">
        <v>489000</v>
      </c>
      <c r="O152" s="23">
        <v>0</v>
      </c>
      <c r="P152" s="24">
        <f t="shared" si="12"/>
        <v>-139000</v>
      </c>
      <c r="Q152" s="25">
        <v>0</v>
      </c>
      <c r="R152" s="26">
        <v>96000</v>
      </c>
      <c r="S152" s="91">
        <f t="shared" si="13"/>
        <v>0</v>
      </c>
      <c r="T152" s="91">
        <f t="shared" si="14"/>
        <v>0</v>
      </c>
      <c r="U152" s="27" t="s">
        <v>56</v>
      </c>
      <c r="V152" s="19" t="s">
        <v>51</v>
      </c>
      <c r="W152" s="20">
        <v>45774</v>
      </c>
      <c r="X152" s="22" t="s">
        <v>251</v>
      </c>
      <c r="Y152" s="19" t="s">
        <v>52</v>
      </c>
      <c r="Z152" s="19" t="s">
        <v>52</v>
      </c>
      <c r="AA152" s="19" t="s">
        <v>52</v>
      </c>
      <c r="AB152" s="28"/>
      <c r="AC152" s="90"/>
    </row>
    <row r="153" spans="1:29" s="29" customFormat="1" ht="15" customHeight="1" x14ac:dyDescent="0.25">
      <c r="A153" s="14">
        <v>12</v>
      </c>
      <c r="B153" s="15">
        <v>45783</v>
      </c>
      <c r="C153" s="15">
        <f t="shared" si="10"/>
        <v>45791</v>
      </c>
      <c r="D153" s="14">
        <v>12811</v>
      </c>
      <c r="E153" s="16" t="s">
        <v>295</v>
      </c>
      <c r="F153" s="40" t="s">
        <v>296</v>
      </c>
      <c r="G153" s="17" t="s">
        <v>75</v>
      </c>
      <c r="H153" s="18" t="s">
        <v>542</v>
      </c>
      <c r="I153" s="19" t="s">
        <v>49</v>
      </c>
      <c r="J153" s="20">
        <v>45756</v>
      </c>
      <c r="K153" s="20">
        <v>45798</v>
      </c>
      <c r="L153" s="21">
        <v>1500000</v>
      </c>
      <c r="M153" s="22">
        <f t="shared" si="11"/>
        <v>1518000</v>
      </c>
      <c r="N153" s="23">
        <v>1518000</v>
      </c>
      <c r="O153" s="23">
        <v>0</v>
      </c>
      <c r="P153" s="24">
        <f t="shared" si="12"/>
        <v>-18000</v>
      </c>
      <c r="Q153" s="25">
        <v>0</v>
      </c>
      <c r="R153" s="26">
        <v>150000</v>
      </c>
      <c r="S153" s="91">
        <f t="shared" si="13"/>
        <v>0</v>
      </c>
      <c r="T153" s="91">
        <f t="shared" si="14"/>
        <v>0</v>
      </c>
      <c r="U153" s="27" t="s">
        <v>50</v>
      </c>
      <c r="V153" s="19" t="s">
        <v>51</v>
      </c>
      <c r="W153" s="20">
        <v>45774</v>
      </c>
      <c r="X153" s="22" t="s">
        <v>251</v>
      </c>
      <c r="Y153" s="19" t="s">
        <v>52</v>
      </c>
      <c r="Z153" s="19" t="s">
        <v>52</v>
      </c>
      <c r="AA153" s="19" t="s">
        <v>52</v>
      </c>
      <c r="AB153" s="28"/>
      <c r="AC153" s="90"/>
    </row>
    <row r="154" spans="1:29" s="29" customFormat="1" ht="15" customHeight="1" x14ac:dyDescent="0.25">
      <c r="A154" s="14">
        <v>13</v>
      </c>
      <c r="B154" s="15">
        <v>45785</v>
      </c>
      <c r="C154" s="15">
        <f t="shared" si="10"/>
        <v>45793</v>
      </c>
      <c r="D154" s="14">
        <v>12825</v>
      </c>
      <c r="E154" s="16" t="s">
        <v>230</v>
      </c>
      <c r="F154" s="40" t="s">
        <v>231</v>
      </c>
      <c r="G154" s="17" t="s">
        <v>75</v>
      </c>
      <c r="H154" s="18" t="s">
        <v>57</v>
      </c>
      <c r="I154" s="19" t="s">
        <v>81</v>
      </c>
      <c r="J154" s="20">
        <v>45761</v>
      </c>
      <c r="K154" s="20">
        <v>45793</v>
      </c>
      <c r="L154" s="21">
        <v>450000</v>
      </c>
      <c r="M154" s="22">
        <f t="shared" si="11"/>
        <v>507000</v>
      </c>
      <c r="N154" s="23">
        <v>507000</v>
      </c>
      <c r="O154" s="23">
        <v>0</v>
      </c>
      <c r="P154" s="24">
        <f t="shared" si="12"/>
        <v>-57000</v>
      </c>
      <c r="Q154" s="25">
        <v>0</v>
      </c>
      <c r="R154" s="26">
        <v>150000</v>
      </c>
      <c r="S154" s="91">
        <f t="shared" si="13"/>
        <v>0</v>
      </c>
      <c r="T154" s="91">
        <f t="shared" si="14"/>
        <v>0</v>
      </c>
      <c r="U154" s="27" t="s">
        <v>50</v>
      </c>
      <c r="V154" s="19" t="s">
        <v>51</v>
      </c>
      <c r="W154" s="20">
        <v>45774</v>
      </c>
      <c r="X154" s="22" t="s">
        <v>251</v>
      </c>
      <c r="Y154" s="19" t="s">
        <v>52</v>
      </c>
      <c r="Z154" s="19" t="s">
        <v>52</v>
      </c>
      <c r="AA154" s="19" t="s">
        <v>52</v>
      </c>
      <c r="AB154" s="28"/>
      <c r="AC154" s="90"/>
    </row>
    <row r="155" spans="1:29" s="29" customFormat="1" ht="15" customHeight="1" x14ac:dyDescent="0.25">
      <c r="A155" s="14">
        <v>14</v>
      </c>
      <c r="B155" s="15">
        <v>45778</v>
      </c>
      <c r="C155" s="15">
        <f t="shared" si="10"/>
        <v>45786</v>
      </c>
      <c r="D155" s="14">
        <v>12824</v>
      </c>
      <c r="E155" s="16" t="s">
        <v>365</v>
      </c>
      <c r="F155" s="40" t="s">
        <v>366</v>
      </c>
      <c r="G155" s="17" t="s">
        <v>75</v>
      </c>
      <c r="H155" s="18" t="s">
        <v>57</v>
      </c>
      <c r="I155" s="19" t="s">
        <v>58</v>
      </c>
      <c r="J155" s="20">
        <v>45761</v>
      </c>
      <c r="K155" s="20">
        <v>45793</v>
      </c>
      <c r="L155" s="21">
        <v>300000</v>
      </c>
      <c r="M155" s="22">
        <f t="shared" si="11"/>
        <v>450000</v>
      </c>
      <c r="N155" s="23">
        <v>450000</v>
      </c>
      <c r="O155" s="23">
        <v>0</v>
      </c>
      <c r="P155" s="24">
        <f t="shared" si="12"/>
        <v>-150000</v>
      </c>
      <c r="Q155" s="25">
        <v>0</v>
      </c>
      <c r="R155" s="26">
        <v>150000</v>
      </c>
      <c r="S155" s="91">
        <f t="shared" si="13"/>
        <v>0</v>
      </c>
      <c r="T155" s="91">
        <f t="shared" si="14"/>
        <v>0</v>
      </c>
      <c r="U155" s="27" t="s">
        <v>50</v>
      </c>
      <c r="V155" s="19" t="s">
        <v>51</v>
      </c>
      <c r="W155" s="20">
        <v>45774</v>
      </c>
      <c r="X155" s="22" t="s">
        <v>251</v>
      </c>
      <c r="Y155" s="19" t="s">
        <v>52</v>
      </c>
      <c r="Z155" s="19" t="s">
        <v>52</v>
      </c>
      <c r="AA155" s="19" t="s">
        <v>52</v>
      </c>
      <c r="AB155" s="28"/>
      <c r="AC155" s="90"/>
    </row>
    <row r="156" spans="1:29" s="29" customFormat="1" ht="15" customHeight="1" x14ac:dyDescent="0.25">
      <c r="A156" s="14">
        <v>15</v>
      </c>
      <c r="B156" s="15">
        <v>45791</v>
      </c>
      <c r="C156" s="15">
        <f t="shared" si="10"/>
        <v>45799</v>
      </c>
      <c r="D156" s="14">
        <v>12848</v>
      </c>
      <c r="E156" s="16" t="s">
        <v>92</v>
      </c>
      <c r="F156" s="40" t="s">
        <v>93</v>
      </c>
      <c r="G156" s="17" t="s">
        <v>75</v>
      </c>
      <c r="H156" s="18" t="s">
        <v>57</v>
      </c>
      <c r="I156" s="19" t="s">
        <v>94</v>
      </c>
      <c r="J156" s="20">
        <v>45765</v>
      </c>
      <c r="K156" s="20">
        <v>45793</v>
      </c>
      <c r="L156" s="21">
        <v>750000</v>
      </c>
      <c r="M156" s="22">
        <f t="shared" si="11"/>
        <v>813000</v>
      </c>
      <c r="N156" s="23">
        <v>813000</v>
      </c>
      <c r="O156" s="23">
        <v>0</v>
      </c>
      <c r="P156" s="24">
        <f t="shared" si="12"/>
        <v>-63000</v>
      </c>
      <c r="Q156" s="25">
        <v>0</v>
      </c>
      <c r="R156" s="26">
        <v>150000</v>
      </c>
      <c r="S156" s="91">
        <f t="shared" si="13"/>
        <v>0</v>
      </c>
      <c r="T156" s="91">
        <f t="shared" si="14"/>
        <v>0</v>
      </c>
      <c r="U156" s="27" t="s">
        <v>50</v>
      </c>
      <c r="V156" s="19" t="s">
        <v>51</v>
      </c>
      <c r="W156" s="20">
        <v>45780</v>
      </c>
      <c r="X156" s="22" t="s">
        <v>251</v>
      </c>
      <c r="Y156" s="19" t="s">
        <v>52</v>
      </c>
      <c r="Z156" s="19" t="s">
        <v>52</v>
      </c>
      <c r="AA156" s="19" t="s">
        <v>52</v>
      </c>
      <c r="AB156" s="28"/>
      <c r="AC156" s="90"/>
    </row>
    <row r="157" spans="1:29" s="29" customFormat="1" ht="15" customHeight="1" x14ac:dyDescent="0.25">
      <c r="A157" s="14">
        <v>19</v>
      </c>
      <c r="B157" s="15">
        <v>45791</v>
      </c>
      <c r="C157" s="15">
        <f t="shared" si="10"/>
        <v>45799</v>
      </c>
      <c r="D157" s="14">
        <v>12873</v>
      </c>
      <c r="E157" s="16" t="s">
        <v>309</v>
      </c>
      <c r="F157" s="40" t="s">
        <v>301</v>
      </c>
      <c r="G157" s="17" t="s">
        <v>75</v>
      </c>
      <c r="H157" s="18" t="s">
        <v>542</v>
      </c>
      <c r="I157" s="19" t="s">
        <v>302</v>
      </c>
      <c r="J157" s="20">
        <v>45771</v>
      </c>
      <c r="K157" s="20">
        <v>45800</v>
      </c>
      <c r="L157" s="21">
        <v>1000000</v>
      </c>
      <c r="M157" s="22">
        <f t="shared" si="11"/>
        <v>1062000</v>
      </c>
      <c r="N157" s="23">
        <v>1062000</v>
      </c>
      <c r="O157" s="23">
        <v>0</v>
      </c>
      <c r="P157" s="24">
        <f t="shared" si="12"/>
        <v>-62000</v>
      </c>
      <c r="Q157" s="25">
        <v>0</v>
      </c>
      <c r="R157" s="26">
        <v>150000</v>
      </c>
      <c r="S157" s="91">
        <f t="shared" si="13"/>
        <v>0</v>
      </c>
      <c r="T157" s="91">
        <f t="shared" si="14"/>
        <v>0</v>
      </c>
      <c r="U157" s="27" t="s">
        <v>50</v>
      </c>
      <c r="V157" s="19" t="s">
        <v>59</v>
      </c>
      <c r="W157" s="20">
        <v>45792</v>
      </c>
      <c r="X157" s="22" t="s">
        <v>251</v>
      </c>
      <c r="Y157" s="19" t="s">
        <v>52</v>
      </c>
      <c r="Z157" s="19" t="s">
        <v>52</v>
      </c>
      <c r="AA157" s="19" t="s">
        <v>52</v>
      </c>
      <c r="AB157" s="28"/>
      <c r="AC157" s="90"/>
    </row>
    <row r="158" spans="1:29" s="29" customFormat="1" ht="15" customHeight="1" x14ac:dyDescent="0.25">
      <c r="A158" s="14">
        <v>27</v>
      </c>
      <c r="B158" s="15">
        <v>45791</v>
      </c>
      <c r="C158" s="15">
        <f t="shared" si="10"/>
        <v>45799</v>
      </c>
      <c r="D158" s="14">
        <v>12882</v>
      </c>
      <c r="E158" s="16" t="s">
        <v>604</v>
      </c>
      <c r="F158" s="40" t="s">
        <v>605</v>
      </c>
      <c r="G158" s="17" t="s">
        <v>75</v>
      </c>
      <c r="H158" s="18" t="s">
        <v>542</v>
      </c>
      <c r="I158" s="19" t="s">
        <v>104</v>
      </c>
      <c r="J158" s="20">
        <v>45771</v>
      </c>
      <c r="K158" s="20">
        <v>45821</v>
      </c>
      <c r="L158" s="21">
        <v>1500000</v>
      </c>
      <c r="M158" s="22">
        <f t="shared" si="11"/>
        <v>1431000</v>
      </c>
      <c r="N158" s="23">
        <v>1431000</v>
      </c>
      <c r="O158" s="23">
        <v>0</v>
      </c>
      <c r="P158" s="24">
        <f t="shared" si="12"/>
        <v>69000</v>
      </c>
      <c r="Q158" s="25">
        <v>0</v>
      </c>
      <c r="R158" s="26">
        <v>150000</v>
      </c>
      <c r="S158" s="91">
        <f t="shared" si="13"/>
        <v>0.46</v>
      </c>
      <c r="T158" s="91">
        <f t="shared" si="14"/>
        <v>0</v>
      </c>
      <c r="U158" s="27" t="s">
        <v>50</v>
      </c>
      <c r="V158" s="19" t="s">
        <v>59</v>
      </c>
      <c r="W158" s="20">
        <v>45794</v>
      </c>
      <c r="X158" s="22" t="s">
        <v>251</v>
      </c>
      <c r="Y158" s="19" t="s">
        <v>52</v>
      </c>
      <c r="Z158" s="19" t="s">
        <v>52</v>
      </c>
      <c r="AA158" s="19" t="s">
        <v>52</v>
      </c>
      <c r="AB158" s="28"/>
      <c r="AC158" s="90"/>
    </row>
    <row r="159" spans="1:29" s="29" customFormat="1" ht="15" customHeight="1" x14ac:dyDescent="0.25">
      <c r="A159" s="14">
        <v>1</v>
      </c>
      <c r="B159" s="15">
        <v>45785</v>
      </c>
      <c r="C159" s="15">
        <f t="shared" si="10"/>
        <v>45793</v>
      </c>
      <c r="D159" s="14">
        <v>12784</v>
      </c>
      <c r="E159" s="16" t="s">
        <v>114</v>
      </c>
      <c r="F159" s="17" t="s">
        <v>115</v>
      </c>
      <c r="G159" s="17" t="s">
        <v>102</v>
      </c>
      <c r="H159" s="18" t="s">
        <v>542</v>
      </c>
      <c r="I159" s="19" t="s">
        <v>104</v>
      </c>
      <c r="J159" s="20">
        <v>45751</v>
      </c>
      <c r="K159" s="20">
        <v>45777</v>
      </c>
      <c r="L159" s="21">
        <v>1500000</v>
      </c>
      <c r="M159" s="22">
        <f t="shared" si="11"/>
        <v>1377000</v>
      </c>
      <c r="N159" s="23">
        <v>1377000</v>
      </c>
      <c r="O159" s="23">
        <v>0</v>
      </c>
      <c r="P159" s="24">
        <f t="shared" si="12"/>
        <v>123000</v>
      </c>
      <c r="Q159" s="25">
        <v>0</v>
      </c>
      <c r="R159" s="26">
        <v>63000</v>
      </c>
      <c r="S159" s="91">
        <f t="shared" si="13"/>
        <v>1.9523809523809523</v>
      </c>
      <c r="T159" s="91">
        <f t="shared" si="14"/>
        <v>0</v>
      </c>
      <c r="U159" s="27" t="s">
        <v>50</v>
      </c>
      <c r="V159" s="19" t="s">
        <v>51</v>
      </c>
      <c r="W159" s="20">
        <v>45772</v>
      </c>
      <c r="X159" s="22" t="s">
        <v>251</v>
      </c>
      <c r="Y159" s="19" t="s">
        <v>52</v>
      </c>
      <c r="Z159" s="19" t="s">
        <v>52</v>
      </c>
      <c r="AA159" s="19" t="s">
        <v>52</v>
      </c>
      <c r="AB159" s="28"/>
    </row>
    <row r="160" spans="1:29" s="29" customFormat="1" ht="15" customHeight="1" x14ac:dyDescent="0.25">
      <c r="A160" s="14">
        <v>2</v>
      </c>
      <c r="B160" s="15">
        <v>45787</v>
      </c>
      <c r="C160" s="15">
        <f t="shared" si="10"/>
        <v>45795</v>
      </c>
      <c r="D160" s="14">
        <v>12794</v>
      </c>
      <c r="E160" s="16" t="s">
        <v>466</v>
      </c>
      <c r="F160" s="17" t="s">
        <v>467</v>
      </c>
      <c r="G160" s="17" t="s">
        <v>102</v>
      </c>
      <c r="H160" s="18" t="s">
        <v>57</v>
      </c>
      <c r="I160" s="19" t="s">
        <v>58</v>
      </c>
      <c r="J160" s="20">
        <v>45754</v>
      </c>
      <c r="K160" s="20">
        <v>45777</v>
      </c>
      <c r="L160" s="21">
        <v>1000000</v>
      </c>
      <c r="M160" s="22">
        <f t="shared" si="11"/>
        <v>1410000</v>
      </c>
      <c r="N160" s="23">
        <v>1410000</v>
      </c>
      <c r="O160" s="23">
        <v>0</v>
      </c>
      <c r="P160" s="24">
        <f t="shared" si="12"/>
        <v>-410000</v>
      </c>
      <c r="Q160" s="25">
        <v>0</v>
      </c>
      <c r="R160" s="26">
        <v>50000</v>
      </c>
      <c r="S160" s="91">
        <f t="shared" si="13"/>
        <v>0</v>
      </c>
      <c r="T160" s="91">
        <f t="shared" si="14"/>
        <v>0</v>
      </c>
      <c r="U160" s="27" t="s">
        <v>50</v>
      </c>
      <c r="V160" s="19" t="s">
        <v>51</v>
      </c>
      <c r="W160" s="20">
        <v>45772</v>
      </c>
      <c r="X160" s="22" t="s">
        <v>251</v>
      </c>
      <c r="Y160" s="19" t="s">
        <v>52</v>
      </c>
      <c r="Z160" s="19" t="s">
        <v>52</v>
      </c>
      <c r="AA160" s="19" t="s">
        <v>52</v>
      </c>
      <c r="AB160" s="28"/>
    </row>
    <row r="161" spans="1:29" s="29" customFormat="1" ht="15" customHeight="1" x14ac:dyDescent="0.25">
      <c r="A161" s="14">
        <v>5</v>
      </c>
      <c r="B161" s="15">
        <v>45785</v>
      </c>
      <c r="C161" s="15">
        <f t="shared" si="10"/>
        <v>45793</v>
      </c>
      <c r="D161" s="14">
        <v>12800</v>
      </c>
      <c r="E161" s="16" t="s">
        <v>287</v>
      </c>
      <c r="F161" s="17" t="s">
        <v>288</v>
      </c>
      <c r="G161" s="17" t="s">
        <v>102</v>
      </c>
      <c r="H161" s="18" t="s">
        <v>62</v>
      </c>
      <c r="I161" s="19" t="s">
        <v>63</v>
      </c>
      <c r="J161" s="20">
        <v>45757</v>
      </c>
      <c r="K161" s="20">
        <v>45791</v>
      </c>
      <c r="L161" s="21">
        <v>500000</v>
      </c>
      <c r="M161" s="22">
        <f t="shared" si="11"/>
        <v>510000</v>
      </c>
      <c r="N161" s="23">
        <v>510000</v>
      </c>
      <c r="O161" s="23">
        <v>0</v>
      </c>
      <c r="P161" s="24">
        <f t="shared" si="12"/>
        <v>-10000</v>
      </c>
      <c r="Q161" s="25">
        <v>0</v>
      </c>
      <c r="R161" s="26">
        <v>84000</v>
      </c>
      <c r="S161" s="91">
        <f t="shared" si="13"/>
        <v>0</v>
      </c>
      <c r="T161" s="91">
        <f t="shared" si="14"/>
        <v>0</v>
      </c>
      <c r="U161" s="27" t="s">
        <v>50</v>
      </c>
      <c r="V161" s="19" t="s">
        <v>51</v>
      </c>
      <c r="W161" s="20">
        <v>45772</v>
      </c>
      <c r="X161" s="22" t="s">
        <v>251</v>
      </c>
      <c r="Y161" s="19" t="s">
        <v>52</v>
      </c>
      <c r="Z161" s="19" t="s">
        <v>52</v>
      </c>
      <c r="AA161" s="19" t="s">
        <v>52</v>
      </c>
      <c r="AB161" s="28"/>
    </row>
    <row r="162" spans="1:29" s="29" customFormat="1" ht="15" customHeight="1" x14ac:dyDescent="0.25">
      <c r="A162" s="14">
        <v>11</v>
      </c>
      <c r="B162" s="15">
        <v>45787</v>
      </c>
      <c r="C162" s="15">
        <f t="shared" si="10"/>
        <v>45795</v>
      </c>
      <c r="D162" s="14">
        <v>12920</v>
      </c>
      <c r="E162" s="16" t="s">
        <v>618</v>
      </c>
      <c r="F162" s="17" t="s">
        <v>619</v>
      </c>
      <c r="G162" s="17" t="s">
        <v>102</v>
      </c>
      <c r="H162" s="18" t="s">
        <v>133</v>
      </c>
      <c r="I162" s="19" t="s">
        <v>198</v>
      </c>
      <c r="J162" s="20">
        <v>45778</v>
      </c>
      <c r="K162" s="20">
        <v>45799</v>
      </c>
      <c r="L162" s="21">
        <v>75000</v>
      </c>
      <c r="M162" s="22">
        <f t="shared" si="11"/>
        <v>80000</v>
      </c>
      <c r="N162" s="23">
        <v>80000</v>
      </c>
      <c r="O162" s="23">
        <v>0</v>
      </c>
      <c r="P162" s="24">
        <f t="shared" si="12"/>
        <v>-5000</v>
      </c>
      <c r="Q162" s="25">
        <v>0</v>
      </c>
      <c r="R162" s="26">
        <v>50000</v>
      </c>
      <c r="S162" s="91">
        <f t="shared" si="13"/>
        <v>0</v>
      </c>
      <c r="T162" s="91">
        <f t="shared" si="14"/>
        <v>0</v>
      </c>
      <c r="U162" s="27" t="s">
        <v>56</v>
      </c>
      <c r="V162" s="19" t="s">
        <v>51</v>
      </c>
      <c r="W162" s="20">
        <v>45780</v>
      </c>
      <c r="X162" s="22" t="s">
        <v>251</v>
      </c>
      <c r="Y162" s="19" t="s">
        <v>52</v>
      </c>
      <c r="Z162" s="19" t="s">
        <v>52</v>
      </c>
      <c r="AA162" s="19" t="s">
        <v>52</v>
      </c>
      <c r="AB162" s="28"/>
    </row>
    <row r="163" spans="1:29" s="29" customFormat="1" ht="15" customHeight="1" x14ac:dyDescent="0.25">
      <c r="A163" s="14">
        <v>2</v>
      </c>
      <c r="B163" s="15">
        <v>45787</v>
      </c>
      <c r="C163" s="15">
        <f t="shared" si="10"/>
        <v>45795</v>
      </c>
      <c r="D163" s="14">
        <v>12773</v>
      </c>
      <c r="E163" s="16" t="s">
        <v>355</v>
      </c>
      <c r="F163" s="17" t="s">
        <v>356</v>
      </c>
      <c r="G163" s="17" t="s">
        <v>132</v>
      </c>
      <c r="H163" s="18" t="s">
        <v>78</v>
      </c>
      <c r="I163" s="19" t="s">
        <v>79</v>
      </c>
      <c r="J163" s="20">
        <v>45749</v>
      </c>
      <c r="K163" s="20">
        <v>45790</v>
      </c>
      <c r="L163" s="21">
        <v>130000</v>
      </c>
      <c r="M163" s="22">
        <f t="shared" si="11"/>
        <v>136080</v>
      </c>
      <c r="N163" s="23">
        <v>136080</v>
      </c>
      <c r="O163" s="23">
        <v>0</v>
      </c>
      <c r="P163" s="24">
        <f t="shared" si="12"/>
        <v>-6080</v>
      </c>
      <c r="Q163" s="25">
        <v>0</v>
      </c>
      <c r="R163" s="26">
        <v>232443</v>
      </c>
      <c r="S163" s="91">
        <f t="shared" si="13"/>
        <v>0</v>
      </c>
      <c r="T163" s="91">
        <f t="shared" si="14"/>
        <v>0</v>
      </c>
      <c r="U163" s="27" t="s">
        <v>56</v>
      </c>
      <c r="V163" s="19" t="s">
        <v>51</v>
      </c>
      <c r="W163" s="20">
        <v>45779</v>
      </c>
      <c r="X163" s="22" t="s">
        <v>251</v>
      </c>
      <c r="Y163" s="19" t="s">
        <v>52</v>
      </c>
      <c r="Z163" s="19" t="s">
        <v>52</v>
      </c>
      <c r="AA163" s="19" t="s">
        <v>52</v>
      </c>
      <c r="AB163" s="28"/>
    </row>
    <row r="164" spans="1:29" s="29" customFormat="1" ht="15" customHeight="1" x14ac:dyDescent="0.25">
      <c r="A164" s="14">
        <v>9</v>
      </c>
      <c r="B164" s="15">
        <v>45783</v>
      </c>
      <c r="C164" s="15">
        <f t="shared" si="10"/>
        <v>45791</v>
      </c>
      <c r="D164" s="14">
        <v>12762</v>
      </c>
      <c r="E164" s="16" t="s">
        <v>569</v>
      </c>
      <c r="F164" s="17" t="s">
        <v>570</v>
      </c>
      <c r="G164" s="17" t="s">
        <v>132</v>
      </c>
      <c r="H164" s="18" t="s">
        <v>54</v>
      </c>
      <c r="I164" s="19" t="s">
        <v>135</v>
      </c>
      <c r="J164" s="20">
        <v>45748</v>
      </c>
      <c r="K164" s="20">
        <v>45821</v>
      </c>
      <c r="L164" s="21">
        <v>30000</v>
      </c>
      <c r="M164" s="22">
        <f t="shared" si="11"/>
        <v>44510</v>
      </c>
      <c r="N164" s="23">
        <v>44510</v>
      </c>
      <c r="O164" s="23">
        <v>0</v>
      </c>
      <c r="P164" s="24">
        <f t="shared" si="12"/>
        <v>-14510</v>
      </c>
      <c r="Q164" s="25">
        <v>0</v>
      </c>
      <c r="R164" s="26">
        <v>57330</v>
      </c>
      <c r="S164" s="91">
        <f t="shared" si="13"/>
        <v>0</v>
      </c>
      <c r="T164" s="91">
        <f t="shared" si="14"/>
        <v>0</v>
      </c>
      <c r="U164" s="27" t="s">
        <v>56</v>
      </c>
      <c r="V164" s="19" t="s">
        <v>51</v>
      </c>
      <c r="W164" s="20">
        <v>45779</v>
      </c>
      <c r="X164" s="22" t="s">
        <v>251</v>
      </c>
      <c r="Y164" s="19" t="s">
        <v>52</v>
      </c>
      <c r="Z164" s="19" t="s">
        <v>52</v>
      </c>
      <c r="AA164" s="19" t="s">
        <v>52</v>
      </c>
      <c r="AB164" s="28"/>
    </row>
    <row r="165" spans="1:29" s="29" customFormat="1" ht="15" customHeight="1" x14ac:dyDescent="0.25">
      <c r="A165" s="14">
        <v>11</v>
      </c>
      <c r="B165" s="15">
        <v>45783</v>
      </c>
      <c r="C165" s="15">
        <f t="shared" si="10"/>
        <v>45791</v>
      </c>
      <c r="D165" s="14">
        <v>12764</v>
      </c>
      <c r="E165" s="16" t="s">
        <v>248</v>
      </c>
      <c r="F165" s="17" t="s">
        <v>249</v>
      </c>
      <c r="G165" s="17" t="s">
        <v>132</v>
      </c>
      <c r="H165" s="18" t="s">
        <v>54</v>
      </c>
      <c r="I165" s="19" t="s">
        <v>135</v>
      </c>
      <c r="J165" s="20">
        <v>45748</v>
      </c>
      <c r="K165" s="20">
        <v>45821</v>
      </c>
      <c r="L165" s="21">
        <v>102000</v>
      </c>
      <c r="M165" s="22">
        <f t="shared" si="11"/>
        <v>101920</v>
      </c>
      <c r="N165" s="23">
        <v>101920</v>
      </c>
      <c r="O165" s="23">
        <v>0</v>
      </c>
      <c r="P165" s="24">
        <f t="shared" si="12"/>
        <v>80</v>
      </c>
      <c r="Q165" s="25">
        <v>0</v>
      </c>
      <c r="R165" s="26">
        <v>57330</v>
      </c>
      <c r="S165" s="91">
        <f t="shared" si="13"/>
        <v>1.3954299668585382E-3</v>
      </c>
      <c r="T165" s="91">
        <f t="shared" si="14"/>
        <v>0</v>
      </c>
      <c r="U165" s="27" t="s">
        <v>56</v>
      </c>
      <c r="V165" s="19" t="s">
        <v>51</v>
      </c>
      <c r="W165" s="20">
        <v>45781</v>
      </c>
      <c r="X165" s="22" t="s">
        <v>251</v>
      </c>
      <c r="Y165" s="19" t="s">
        <v>52</v>
      </c>
      <c r="Z165" s="19" t="s">
        <v>52</v>
      </c>
      <c r="AA165" s="19" t="s">
        <v>52</v>
      </c>
      <c r="AB165" s="28"/>
    </row>
    <row r="166" spans="1:29" s="29" customFormat="1" ht="15" customHeight="1" x14ac:dyDescent="0.25">
      <c r="A166" s="14">
        <v>13</v>
      </c>
      <c r="B166" s="15">
        <v>45787</v>
      </c>
      <c r="C166" s="15">
        <f t="shared" ref="C166:C229" si="15">B166+8</f>
        <v>45795</v>
      </c>
      <c r="D166" s="14">
        <v>12769</v>
      </c>
      <c r="E166" s="16" t="s">
        <v>145</v>
      </c>
      <c r="F166" s="17" t="s">
        <v>146</v>
      </c>
      <c r="G166" s="17" t="s">
        <v>132</v>
      </c>
      <c r="H166" s="18" t="s">
        <v>54</v>
      </c>
      <c r="I166" s="19" t="s">
        <v>135</v>
      </c>
      <c r="J166" s="20">
        <v>45748</v>
      </c>
      <c r="K166" s="20">
        <v>45824</v>
      </c>
      <c r="L166" s="21">
        <v>100000</v>
      </c>
      <c r="M166" s="22">
        <f t="shared" ref="M166:M229" si="16">SUM(N166:O166)</f>
        <v>92765</v>
      </c>
      <c r="N166" s="23">
        <v>92765</v>
      </c>
      <c r="O166" s="23">
        <v>0</v>
      </c>
      <c r="P166" s="24">
        <f t="shared" ref="P166:P229" si="17">L166-N166</f>
        <v>7235</v>
      </c>
      <c r="Q166" s="25">
        <v>0</v>
      </c>
      <c r="R166" s="26">
        <v>50868</v>
      </c>
      <c r="S166" s="91">
        <f t="shared" si="13"/>
        <v>0.14223087206102067</v>
      </c>
      <c r="T166" s="91">
        <f t="shared" si="14"/>
        <v>0</v>
      </c>
      <c r="U166" s="27" t="s">
        <v>56</v>
      </c>
      <c r="V166" s="19" t="s">
        <v>59</v>
      </c>
      <c r="W166" s="20">
        <v>45784</v>
      </c>
      <c r="X166" s="22" t="s">
        <v>251</v>
      </c>
      <c r="Y166" s="19" t="s">
        <v>52</v>
      </c>
      <c r="Z166" s="19" t="s">
        <v>52</v>
      </c>
      <c r="AA166" s="19" t="s">
        <v>52</v>
      </c>
      <c r="AB166" s="28"/>
    </row>
    <row r="167" spans="1:29" s="29" customFormat="1" ht="15" customHeight="1" x14ac:dyDescent="0.25">
      <c r="A167" s="14">
        <v>14</v>
      </c>
      <c r="B167" s="15">
        <v>45783</v>
      </c>
      <c r="C167" s="15">
        <f t="shared" si="15"/>
        <v>45791</v>
      </c>
      <c r="D167" s="14">
        <v>12768</v>
      </c>
      <c r="E167" s="16" t="s">
        <v>163</v>
      </c>
      <c r="F167" s="17" t="s">
        <v>164</v>
      </c>
      <c r="G167" s="17" t="s">
        <v>132</v>
      </c>
      <c r="H167" s="18" t="s">
        <v>54</v>
      </c>
      <c r="I167" s="19" t="s">
        <v>135</v>
      </c>
      <c r="J167" s="20">
        <v>45749</v>
      </c>
      <c r="K167" s="20">
        <v>45824</v>
      </c>
      <c r="L167" s="21">
        <v>30000</v>
      </c>
      <c r="M167" s="22">
        <f t="shared" si="16"/>
        <v>24970</v>
      </c>
      <c r="N167" s="23">
        <v>24970</v>
      </c>
      <c r="O167" s="23">
        <v>0</v>
      </c>
      <c r="P167" s="24">
        <f t="shared" si="17"/>
        <v>5030</v>
      </c>
      <c r="Q167" s="25">
        <v>0</v>
      </c>
      <c r="R167" s="26">
        <v>69948</v>
      </c>
      <c r="S167" s="91">
        <f t="shared" si="13"/>
        <v>7.1910562131869388E-2</v>
      </c>
      <c r="T167" s="91">
        <f t="shared" si="14"/>
        <v>0</v>
      </c>
      <c r="U167" s="27" t="s">
        <v>56</v>
      </c>
      <c r="V167" s="19" t="s">
        <v>59</v>
      </c>
      <c r="W167" s="20">
        <v>45779</v>
      </c>
      <c r="X167" s="22" t="s">
        <v>251</v>
      </c>
      <c r="Y167" s="19" t="s">
        <v>52</v>
      </c>
      <c r="Z167" s="19" t="s">
        <v>52</v>
      </c>
      <c r="AA167" s="19" t="s">
        <v>52</v>
      </c>
      <c r="AB167" s="28"/>
    </row>
    <row r="168" spans="1:29" s="29" customFormat="1" ht="15" customHeight="1" x14ac:dyDescent="0.25">
      <c r="A168" s="14">
        <v>16</v>
      </c>
      <c r="B168" s="15">
        <v>45797</v>
      </c>
      <c r="C168" s="15">
        <f t="shared" si="15"/>
        <v>45805</v>
      </c>
      <c r="D168" s="14">
        <v>12884</v>
      </c>
      <c r="E168" s="16" t="s">
        <v>413</v>
      </c>
      <c r="F168" s="40" t="s">
        <v>414</v>
      </c>
      <c r="G168" s="17" t="s">
        <v>75</v>
      </c>
      <c r="H168" s="18" t="s">
        <v>542</v>
      </c>
      <c r="I168" s="19" t="s">
        <v>104</v>
      </c>
      <c r="J168" s="20">
        <v>45771</v>
      </c>
      <c r="K168" s="20">
        <v>45821</v>
      </c>
      <c r="L168" s="21">
        <v>1500000</v>
      </c>
      <c r="M168" s="22">
        <f t="shared" si="16"/>
        <v>1509000</v>
      </c>
      <c r="N168" s="23">
        <v>1509000</v>
      </c>
      <c r="O168" s="23">
        <v>0</v>
      </c>
      <c r="P168" s="24">
        <f t="shared" si="17"/>
        <v>-9000</v>
      </c>
      <c r="Q168" s="25">
        <v>0</v>
      </c>
      <c r="R168" s="26">
        <v>150000</v>
      </c>
      <c r="S168" s="91">
        <f t="shared" si="13"/>
        <v>0</v>
      </c>
      <c r="T168" s="91">
        <f t="shared" si="14"/>
        <v>0</v>
      </c>
      <c r="U168" s="27" t="s">
        <v>50</v>
      </c>
      <c r="V168" s="19" t="s">
        <v>51</v>
      </c>
      <c r="W168" s="20">
        <v>45796</v>
      </c>
      <c r="X168" s="22" t="s">
        <v>251</v>
      </c>
      <c r="Y168" s="19" t="s">
        <v>52</v>
      </c>
      <c r="Z168" s="19" t="s">
        <v>52</v>
      </c>
      <c r="AA168" s="19" t="s">
        <v>52</v>
      </c>
      <c r="AB168" s="28"/>
      <c r="AC168" s="90"/>
    </row>
    <row r="169" spans="1:29" s="29" customFormat="1" ht="15" customHeight="1" x14ac:dyDescent="0.25">
      <c r="A169" s="14">
        <v>3</v>
      </c>
      <c r="B169" s="15">
        <v>45793</v>
      </c>
      <c r="C169" s="15">
        <f t="shared" si="15"/>
        <v>45801</v>
      </c>
      <c r="D169" s="14">
        <v>12804</v>
      </c>
      <c r="E169" s="16" t="s">
        <v>284</v>
      </c>
      <c r="F169" s="17" t="s">
        <v>285</v>
      </c>
      <c r="G169" s="17" t="s">
        <v>102</v>
      </c>
      <c r="H169" s="18" t="s">
        <v>542</v>
      </c>
      <c r="I169" s="19" t="s">
        <v>384</v>
      </c>
      <c r="J169" s="20">
        <v>45756</v>
      </c>
      <c r="K169" s="20">
        <v>45797</v>
      </c>
      <c r="L169" s="21">
        <v>150000</v>
      </c>
      <c r="M169" s="22">
        <f t="shared" si="16"/>
        <v>194000</v>
      </c>
      <c r="N169" s="23">
        <v>194000</v>
      </c>
      <c r="O169" s="23">
        <v>0</v>
      </c>
      <c r="P169" s="24">
        <f t="shared" si="17"/>
        <v>-44000</v>
      </c>
      <c r="Q169" s="25">
        <v>0</v>
      </c>
      <c r="R169" s="26">
        <v>50000</v>
      </c>
      <c r="S169" s="91">
        <f t="shared" si="13"/>
        <v>0</v>
      </c>
      <c r="T169" s="91">
        <f t="shared" si="14"/>
        <v>0</v>
      </c>
      <c r="U169" s="27" t="s">
        <v>50</v>
      </c>
      <c r="V169" s="19" t="s">
        <v>51</v>
      </c>
      <c r="W169" s="20">
        <v>45786</v>
      </c>
      <c r="X169" s="22" t="s">
        <v>251</v>
      </c>
      <c r="Y169" s="19" t="s">
        <v>52</v>
      </c>
      <c r="Z169" s="19" t="s">
        <v>52</v>
      </c>
      <c r="AA169" s="19" t="s">
        <v>52</v>
      </c>
      <c r="AB169" s="28"/>
    </row>
    <row r="170" spans="1:29" s="29" customFormat="1" ht="15" customHeight="1" x14ac:dyDescent="0.25">
      <c r="A170" s="14">
        <v>4</v>
      </c>
      <c r="B170" s="15">
        <v>45797</v>
      </c>
      <c r="C170" s="15">
        <f t="shared" si="15"/>
        <v>45805</v>
      </c>
      <c r="D170" s="14">
        <v>12823</v>
      </c>
      <c r="E170" s="16" t="s">
        <v>372</v>
      </c>
      <c r="F170" s="17" t="s">
        <v>478</v>
      </c>
      <c r="G170" s="17" t="s">
        <v>102</v>
      </c>
      <c r="H170" s="18" t="s">
        <v>57</v>
      </c>
      <c r="I170" s="19" t="s">
        <v>58</v>
      </c>
      <c r="J170" s="20">
        <v>45761</v>
      </c>
      <c r="K170" s="20">
        <v>45793</v>
      </c>
      <c r="L170" s="21">
        <v>500000</v>
      </c>
      <c r="M170" s="22">
        <f t="shared" si="16"/>
        <v>460000</v>
      </c>
      <c r="N170" s="23">
        <v>460000</v>
      </c>
      <c r="O170" s="23">
        <v>0</v>
      </c>
      <c r="P170" s="24">
        <f t="shared" si="17"/>
        <v>40000</v>
      </c>
      <c r="Q170" s="25">
        <v>0</v>
      </c>
      <c r="R170" s="26">
        <v>48000</v>
      </c>
      <c r="S170" s="91">
        <f t="shared" si="13"/>
        <v>0.83333333333333337</v>
      </c>
      <c r="T170" s="91">
        <f t="shared" si="14"/>
        <v>0</v>
      </c>
      <c r="U170" s="27" t="s">
        <v>50</v>
      </c>
      <c r="V170" s="19" t="s">
        <v>51</v>
      </c>
      <c r="W170" s="20">
        <v>45780</v>
      </c>
      <c r="X170" s="22" t="s">
        <v>251</v>
      </c>
      <c r="Y170" s="19" t="s">
        <v>52</v>
      </c>
      <c r="Z170" s="19" t="s">
        <v>52</v>
      </c>
      <c r="AA170" s="19" t="s">
        <v>52</v>
      </c>
      <c r="AB170" s="28"/>
    </row>
    <row r="171" spans="1:29" s="29" customFormat="1" ht="15" customHeight="1" x14ac:dyDescent="0.25">
      <c r="A171" s="14">
        <v>6</v>
      </c>
      <c r="B171" s="15">
        <v>45797</v>
      </c>
      <c r="C171" s="15">
        <f t="shared" si="15"/>
        <v>45805</v>
      </c>
      <c r="D171" s="14">
        <v>12817</v>
      </c>
      <c r="E171" s="16" t="s">
        <v>346</v>
      </c>
      <c r="F171" s="17" t="s">
        <v>347</v>
      </c>
      <c r="G171" s="17" t="s">
        <v>102</v>
      </c>
      <c r="H171" s="18" t="s">
        <v>542</v>
      </c>
      <c r="I171" s="19" t="s">
        <v>302</v>
      </c>
      <c r="J171" s="20">
        <v>45757</v>
      </c>
      <c r="K171" s="20">
        <v>45799</v>
      </c>
      <c r="L171" s="21">
        <v>1000000</v>
      </c>
      <c r="M171" s="22">
        <f t="shared" si="16"/>
        <v>1050000</v>
      </c>
      <c r="N171" s="23">
        <v>1050000</v>
      </c>
      <c r="O171" s="23">
        <v>0</v>
      </c>
      <c r="P171" s="24">
        <f t="shared" si="17"/>
        <v>-50000</v>
      </c>
      <c r="Q171" s="25">
        <v>0</v>
      </c>
      <c r="R171" s="26">
        <v>48000</v>
      </c>
      <c r="S171" s="91">
        <f t="shared" si="13"/>
        <v>0</v>
      </c>
      <c r="T171" s="91">
        <f t="shared" si="14"/>
        <v>0</v>
      </c>
      <c r="U171" s="27" t="s">
        <v>50</v>
      </c>
      <c r="V171" s="19" t="s">
        <v>51</v>
      </c>
      <c r="W171" s="20">
        <v>45786</v>
      </c>
      <c r="X171" s="22" t="s">
        <v>251</v>
      </c>
      <c r="Y171" s="19" t="s">
        <v>52</v>
      </c>
      <c r="Z171" s="19" t="s">
        <v>52</v>
      </c>
      <c r="AA171" s="19" t="s">
        <v>52</v>
      </c>
      <c r="AB171" s="28"/>
    </row>
    <row r="172" spans="1:29" s="29" customFormat="1" ht="15" customHeight="1" x14ac:dyDescent="0.25">
      <c r="A172" s="14">
        <v>15</v>
      </c>
      <c r="B172" s="15">
        <v>45797</v>
      </c>
      <c r="C172" s="15">
        <f t="shared" si="15"/>
        <v>45805</v>
      </c>
      <c r="D172" s="14">
        <v>12851</v>
      </c>
      <c r="E172" s="16" t="s">
        <v>130</v>
      </c>
      <c r="F172" s="17" t="s">
        <v>250</v>
      </c>
      <c r="G172" s="17" t="s">
        <v>102</v>
      </c>
      <c r="H172" s="18" t="s">
        <v>542</v>
      </c>
      <c r="I172" s="19" t="s">
        <v>70</v>
      </c>
      <c r="J172" s="20">
        <v>45769</v>
      </c>
      <c r="K172" s="20">
        <v>45821</v>
      </c>
      <c r="L172" s="21">
        <v>250000</v>
      </c>
      <c r="M172" s="22">
        <f t="shared" si="16"/>
        <v>265000</v>
      </c>
      <c r="N172" s="23">
        <v>265000</v>
      </c>
      <c r="O172" s="23">
        <v>0</v>
      </c>
      <c r="P172" s="24">
        <f t="shared" si="17"/>
        <v>-15000</v>
      </c>
      <c r="Q172" s="25">
        <v>0</v>
      </c>
      <c r="R172" s="26">
        <v>50000</v>
      </c>
      <c r="S172" s="91">
        <f t="shared" si="13"/>
        <v>0</v>
      </c>
      <c r="T172" s="91">
        <f t="shared" si="14"/>
        <v>0</v>
      </c>
      <c r="U172" s="27" t="s">
        <v>50</v>
      </c>
      <c r="V172" s="19" t="s">
        <v>59</v>
      </c>
      <c r="W172" s="20">
        <v>45785</v>
      </c>
      <c r="X172" s="22" t="s">
        <v>251</v>
      </c>
      <c r="Y172" s="19" t="s">
        <v>52</v>
      </c>
      <c r="Z172" s="19" t="s">
        <v>52</v>
      </c>
      <c r="AA172" s="19" t="s">
        <v>52</v>
      </c>
      <c r="AB172" s="28"/>
    </row>
    <row r="173" spans="1:29" s="29" customFormat="1" ht="15" customHeight="1" x14ac:dyDescent="0.25">
      <c r="A173" s="14">
        <v>16</v>
      </c>
      <c r="B173" s="15">
        <v>45797</v>
      </c>
      <c r="C173" s="15">
        <f t="shared" si="15"/>
        <v>45805</v>
      </c>
      <c r="D173" s="14">
        <v>12891</v>
      </c>
      <c r="E173" s="16" t="s">
        <v>103</v>
      </c>
      <c r="F173" s="17" t="s">
        <v>606</v>
      </c>
      <c r="G173" s="17" t="s">
        <v>102</v>
      </c>
      <c r="H173" s="18" t="s">
        <v>542</v>
      </c>
      <c r="I173" s="19" t="s">
        <v>104</v>
      </c>
      <c r="J173" s="20">
        <v>45771</v>
      </c>
      <c r="K173" s="20">
        <v>45821</v>
      </c>
      <c r="L173" s="21">
        <v>1000000</v>
      </c>
      <c r="M173" s="22">
        <f t="shared" si="16"/>
        <v>1045000</v>
      </c>
      <c r="N173" s="23">
        <v>1045000</v>
      </c>
      <c r="O173" s="23">
        <v>0</v>
      </c>
      <c r="P173" s="24">
        <f t="shared" si="17"/>
        <v>-45000</v>
      </c>
      <c r="Q173" s="25">
        <v>0</v>
      </c>
      <c r="R173" s="26">
        <v>63000</v>
      </c>
      <c r="S173" s="91">
        <f t="shared" si="13"/>
        <v>0</v>
      </c>
      <c r="T173" s="91">
        <f t="shared" si="14"/>
        <v>0</v>
      </c>
      <c r="U173" s="27" t="s">
        <v>50</v>
      </c>
      <c r="V173" s="19" t="s">
        <v>59</v>
      </c>
      <c r="W173" s="20">
        <v>45785</v>
      </c>
      <c r="X173" s="22" t="s">
        <v>251</v>
      </c>
      <c r="Y173" s="19" t="s">
        <v>52</v>
      </c>
      <c r="Z173" s="19" t="s">
        <v>52</v>
      </c>
      <c r="AA173" s="19" t="s">
        <v>52</v>
      </c>
      <c r="AB173" s="28"/>
    </row>
    <row r="174" spans="1:29" s="29" customFormat="1" ht="15" customHeight="1" x14ac:dyDescent="0.25">
      <c r="A174" s="14">
        <v>2</v>
      </c>
      <c r="B174" s="15">
        <v>45807</v>
      </c>
      <c r="C174" s="15">
        <f t="shared" si="15"/>
        <v>45815</v>
      </c>
      <c r="D174" s="14">
        <v>12833</v>
      </c>
      <c r="E174" s="16" t="s">
        <v>587</v>
      </c>
      <c r="F174" s="17" t="s">
        <v>588</v>
      </c>
      <c r="G174" s="17" t="s">
        <v>47</v>
      </c>
      <c r="H174" s="18" t="s">
        <v>57</v>
      </c>
      <c r="I174" s="19" t="s">
        <v>81</v>
      </c>
      <c r="J174" s="20">
        <v>45763</v>
      </c>
      <c r="K174" s="20">
        <v>45797</v>
      </c>
      <c r="L174" s="21">
        <v>100000</v>
      </c>
      <c r="M174" s="22">
        <f t="shared" si="16"/>
        <v>90000</v>
      </c>
      <c r="N174" s="23">
        <v>90000</v>
      </c>
      <c r="O174" s="23">
        <v>0</v>
      </c>
      <c r="P174" s="24">
        <f t="shared" si="17"/>
        <v>10000</v>
      </c>
      <c r="Q174" s="25">
        <v>0</v>
      </c>
      <c r="R174" s="26">
        <v>25000</v>
      </c>
      <c r="S174" s="91">
        <f t="shared" si="13"/>
        <v>0.4</v>
      </c>
      <c r="T174" s="91">
        <f t="shared" si="14"/>
        <v>0</v>
      </c>
      <c r="U174" s="27" t="s">
        <v>50</v>
      </c>
      <c r="V174" s="19" t="s">
        <v>51</v>
      </c>
      <c r="W174" s="20">
        <v>45784</v>
      </c>
      <c r="X174" s="22" t="s">
        <v>251</v>
      </c>
      <c r="Y174" s="19" t="s">
        <v>52</v>
      </c>
      <c r="Z174" s="19" t="s">
        <v>52</v>
      </c>
      <c r="AA174" s="19" t="s">
        <v>52</v>
      </c>
      <c r="AB174" s="42"/>
    </row>
    <row r="175" spans="1:29" s="29" customFormat="1" ht="15" customHeight="1" x14ac:dyDescent="0.25">
      <c r="A175" s="14">
        <v>5</v>
      </c>
      <c r="B175" s="15">
        <v>45792</v>
      </c>
      <c r="C175" s="15">
        <f t="shared" si="15"/>
        <v>45800</v>
      </c>
      <c r="D175" s="14">
        <v>12860</v>
      </c>
      <c r="E175" s="16" t="s">
        <v>436</v>
      </c>
      <c r="F175" s="40" t="s">
        <v>437</v>
      </c>
      <c r="G175" s="17" t="s">
        <v>75</v>
      </c>
      <c r="H175" s="18" t="s">
        <v>57</v>
      </c>
      <c r="I175" s="19" t="s">
        <v>94</v>
      </c>
      <c r="J175" s="20">
        <v>45770</v>
      </c>
      <c r="K175" s="20">
        <v>45790</v>
      </c>
      <c r="L175" s="21">
        <v>500000</v>
      </c>
      <c r="M175" s="22">
        <f t="shared" si="16"/>
        <v>555000</v>
      </c>
      <c r="N175" s="23">
        <v>555000</v>
      </c>
      <c r="O175" s="23">
        <v>0</v>
      </c>
      <c r="P175" s="24">
        <f t="shared" si="17"/>
        <v>-55000</v>
      </c>
      <c r="Q175" s="25">
        <v>0</v>
      </c>
      <c r="R175" s="26">
        <v>150000</v>
      </c>
      <c r="S175" s="91">
        <f t="shared" si="13"/>
        <v>0</v>
      </c>
      <c r="T175" s="91">
        <f t="shared" si="14"/>
        <v>0</v>
      </c>
      <c r="U175" s="27" t="s">
        <v>50</v>
      </c>
      <c r="V175" s="19" t="s">
        <v>51</v>
      </c>
      <c r="W175" s="20">
        <v>45791</v>
      </c>
      <c r="X175" s="22" t="s">
        <v>251</v>
      </c>
      <c r="Y175" s="19" t="s">
        <v>52</v>
      </c>
      <c r="Z175" s="19" t="s">
        <v>52</v>
      </c>
      <c r="AA175" s="19" t="s">
        <v>52</v>
      </c>
      <c r="AB175" s="28"/>
      <c r="AC175" s="90"/>
    </row>
    <row r="176" spans="1:29" s="29" customFormat="1" ht="15" customHeight="1" x14ac:dyDescent="0.25">
      <c r="A176" s="14">
        <v>7</v>
      </c>
      <c r="B176" s="15">
        <v>45793</v>
      </c>
      <c r="C176" s="15">
        <f t="shared" si="15"/>
        <v>45801</v>
      </c>
      <c r="D176" s="14">
        <v>12799</v>
      </c>
      <c r="E176" s="16" t="s">
        <v>238</v>
      </c>
      <c r="F176" s="40" t="s">
        <v>239</v>
      </c>
      <c r="G176" s="17" t="s">
        <v>75</v>
      </c>
      <c r="H176" s="18" t="s">
        <v>57</v>
      </c>
      <c r="I176" s="19" t="s">
        <v>94</v>
      </c>
      <c r="J176" s="20">
        <v>45755</v>
      </c>
      <c r="K176" s="20">
        <v>45782</v>
      </c>
      <c r="L176" s="21">
        <v>300000</v>
      </c>
      <c r="M176" s="22">
        <f t="shared" si="16"/>
        <v>315000</v>
      </c>
      <c r="N176" s="23">
        <v>315000</v>
      </c>
      <c r="O176" s="23">
        <v>0</v>
      </c>
      <c r="P176" s="24">
        <f t="shared" si="17"/>
        <v>-15000</v>
      </c>
      <c r="Q176" s="25">
        <v>0</v>
      </c>
      <c r="R176" s="26">
        <v>150000</v>
      </c>
      <c r="S176" s="91">
        <f t="shared" si="13"/>
        <v>0</v>
      </c>
      <c r="T176" s="91">
        <f t="shared" si="14"/>
        <v>0</v>
      </c>
      <c r="U176" s="27" t="s">
        <v>50</v>
      </c>
      <c r="V176" s="19" t="s">
        <v>51</v>
      </c>
      <c r="W176" s="20">
        <v>45772</v>
      </c>
      <c r="X176" s="22" t="s">
        <v>251</v>
      </c>
      <c r="Y176" s="19" t="s">
        <v>52</v>
      </c>
      <c r="Z176" s="19" t="s">
        <v>52</v>
      </c>
      <c r="AA176" s="19" t="s">
        <v>52</v>
      </c>
      <c r="AB176" s="28"/>
      <c r="AC176" s="90"/>
    </row>
    <row r="177" spans="1:29" s="29" customFormat="1" ht="15" customHeight="1" x14ac:dyDescent="0.25">
      <c r="A177" s="14">
        <v>10</v>
      </c>
      <c r="B177" s="15">
        <v>45797</v>
      </c>
      <c r="C177" s="15">
        <f t="shared" si="15"/>
        <v>45805</v>
      </c>
      <c r="D177" s="14">
        <v>12837</v>
      </c>
      <c r="E177" s="16" t="s">
        <v>392</v>
      </c>
      <c r="F177" s="40" t="s">
        <v>393</v>
      </c>
      <c r="G177" s="17" t="s">
        <v>75</v>
      </c>
      <c r="H177" s="18" t="s">
        <v>57</v>
      </c>
      <c r="I177" s="19" t="s">
        <v>64</v>
      </c>
      <c r="J177" s="20">
        <v>45765</v>
      </c>
      <c r="K177" s="20">
        <v>45805</v>
      </c>
      <c r="L177" s="21">
        <v>2500000</v>
      </c>
      <c r="M177" s="22">
        <f t="shared" si="16"/>
        <v>2793000</v>
      </c>
      <c r="N177" s="23">
        <v>2793000</v>
      </c>
      <c r="O177" s="23">
        <v>0</v>
      </c>
      <c r="P177" s="24">
        <f t="shared" si="17"/>
        <v>-293000</v>
      </c>
      <c r="Q177" s="25">
        <v>0</v>
      </c>
      <c r="R177" s="26">
        <v>150000</v>
      </c>
      <c r="S177" s="91">
        <f t="shared" si="13"/>
        <v>0</v>
      </c>
      <c r="T177" s="91">
        <f t="shared" si="14"/>
        <v>0</v>
      </c>
      <c r="U177" s="27" t="s">
        <v>50</v>
      </c>
      <c r="V177" s="19" t="s">
        <v>51</v>
      </c>
      <c r="W177" s="20">
        <v>45788</v>
      </c>
      <c r="X177" s="22" t="s">
        <v>251</v>
      </c>
      <c r="Y177" s="19" t="s">
        <v>52</v>
      </c>
      <c r="Z177" s="19" t="s">
        <v>52</v>
      </c>
      <c r="AA177" s="19" t="s">
        <v>52</v>
      </c>
      <c r="AB177" s="28"/>
      <c r="AC177" s="90"/>
    </row>
    <row r="178" spans="1:29" s="29" customFormat="1" ht="15" customHeight="1" x14ac:dyDescent="0.25">
      <c r="A178" s="14">
        <v>1</v>
      </c>
      <c r="B178" s="15">
        <v>45807</v>
      </c>
      <c r="C178" s="15">
        <f t="shared" si="15"/>
        <v>45815</v>
      </c>
      <c r="D178" s="14">
        <v>12813</v>
      </c>
      <c r="E178" s="16" t="s">
        <v>208</v>
      </c>
      <c r="F178" s="17" t="s">
        <v>209</v>
      </c>
      <c r="G178" s="17" t="s">
        <v>47</v>
      </c>
      <c r="H178" s="18" t="s">
        <v>542</v>
      </c>
      <c r="I178" s="19" t="s">
        <v>49</v>
      </c>
      <c r="J178" s="20">
        <v>45757</v>
      </c>
      <c r="K178" s="20">
        <v>45791</v>
      </c>
      <c r="L178" s="21">
        <v>150000</v>
      </c>
      <c r="M178" s="22">
        <f t="shared" si="16"/>
        <v>172000</v>
      </c>
      <c r="N178" s="23">
        <v>172000</v>
      </c>
      <c r="O178" s="89">
        <v>0</v>
      </c>
      <c r="P178" s="24">
        <f t="shared" si="17"/>
        <v>-22000</v>
      </c>
      <c r="Q178" s="25">
        <v>0</v>
      </c>
      <c r="R178" s="26">
        <v>50000</v>
      </c>
      <c r="S178" s="91">
        <f t="shared" si="13"/>
        <v>0</v>
      </c>
      <c r="T178" s="91">
        <f t="shared" si="14"/>
        <v>0</v>
      </c>
      <c r="U178" s="27" t="s">
        <v>50</v>
      </c>
      <c r="V178" s="19" t="s">
        <v>51</v>
      </c>
      <c r="W178" s="20">
        <v>45780</v>
      </c>
      <c r="X178" s="22" t="s">
        <v>251</v>
      </c>
      <c r="Y178" s="19" t="s">
        <v>52</v>
      </c>
      <c r="Z178" s="19" t="s">
        <v>52</v>
      </c>
      <c r="AA178" s="19" t="s">
        <v>52</v>
      </c>
      <c r="AB178" s="42"/>
    </row>
    <row r="179" spans="1:29" s="29" customFormat="1" ht="15" customHeight="1" x14ac:dyDescent="0.25">
      <c r="A179" s="14">
        <v>3</v>
      </c>
      <c r="B179" s="15">
        <v>45807</v>
      </c>
      <c r="C179" s="15">
        <f t="shared" si="15"/>
        <v>45815</v>
      </c>
      <c r="D179" s="14">
        <v>12788</v>
      </c>
      <c r="E179" s="16" t="s">
        <v>449</v>
      </c>
      <c r="F179" s="40" t="s">
        <v>450</v>
      </c>
      <c r="G179" s="17" t="s">
        <v>75</v>
      </c>
      <c r="H179" s="18" t="s">
        <v>57</v>
      </c>
      <c r="I179" s="19" t="s">
        <v>94</v>
      </c>
      <c r="J179" s="20">
        <v>45750</v>
      </c>
      <c r="K179" s="20" t="s">
        <v>65</v>
      </c>
      <c r="L179" s="21">
        <v>450000</v>
      </c>
      <c r="M179" s="22">
        <f t="shared" si="16"/>
        <v>345000</v>
      </c>
      <c r="N179" s="23">
        <v>345000</v>
      </c>
      <c r="O179" s="23">
        <v>0</v>
      </c>
      <c r="P179" s="24">
        <f t="shared" si="17"/>
        <v>105000</v>
      </c>
      <c r="Q179" s="25">
        <v>0</v>
      </c>
      <c r="R179" s="26">
        <v>144000</v>
      </c>
      <c r="S179" s="91">
        <f t="shared" si="13"/>
        <v>0.72916666666666663</v>
      </c>
      <c r="T179" s="91">
        <f t="shared" si="14"/>
        <v>0</v>
      </c>
      <c r="U179" s="27" t="s">
        <v>50</v>
      </c>
      <c r="V179" s="19" t="s">
        <v>51</v>
      </c>
      <c r="W179" s="20">
        <v>45769</v>
      </c>
      <c r="X179" s="22" t="s">
        <v>251</v>
      </c>
      <c r="Y179" s="19" t="s">
        <v>52</v>
      </c>
      <c r="Z179" s="19" t="s">
        <v>52</v>
      </c>
      <c r="AA179" s="19" t="s">
        <v>52</v>
      </c>
      <c r="AB179" s="28"/>
    </row>
    <row r="180" spans="1:29" s="29" customFormat="1" ht="15" customHeight="1" x14ac:dyDescent="0.25">
      <c r="A180" s="14">
        <v>5</v>
      </c>
      <c r="B180" s="15">
        <v>45801</v>
      </c>
      <c r="C180" s="15">
        <f t="shared" si="15"/>
        <v>45809</v>
      </c>
      <c r="D180" s="14">
        <v>12899</v>
      </c>
      <c r="E180" s="16" t="s">
        <v>376</v>
      </c>
      <c r="F180" s="40" t="s">
        <v>371</v>
      </c>
      <c r="G180" s="17" t="s">
        <v>75</v>
      </c>
      <c r="H180" s="18" t="s">
        <v>78</v>
      </c>
      <c r="I180" s="19" t="s">
        <v>79</v>
      </c>
      <c r="J180" s="20">
        <v>45776</v>
      </c>
      <c r="K180" s="20">
        <v>45800</v>
      </c>
      <c r="L180" s="21">
        <v>450000</v>
      </c>
      <c r="M180" s="22">
        <f t="shared" si="16"/>
        <v>480000</v>
      </c>
      <c r="N180" s="23">
        <v>480000</v>
      </c>
      <c r="O180" s="23">
        <v>0</v>
      </c>
      <c r="P180" s="24">
        <f t="shared" si="17"/>
        <v>-30000</v>
      </c>
      <c r="Q180" s="25">
        <v>0</v>
      </c>
      <c r="R180" s="26">
        <v>96000</v>
      </c>
      <c r="S180" s="91">
        <f t="shared" si="13"/>
        <v>0</v>
      </c>
      <c r="T180" s="91">
        <f t="shared" si="14"/>
        <v>0</v>
      </c>
      <c r="U180" s="27" t="s">
        <v>56</v>
      </c>
      <c r="V180" s="19" t="s">
        <v>51</v>
      </c>
      <c r="W180" s="20">
        <v>45800</v>
      </c>
      <c r="X180" s="22" t="s">
        <v>251</v>
      </c>
      <c r="Y180" s="19" t="s">
        <v>52</v>
      </c>
      <c r="Z180" s="19" t="s">
        <v>52</v>
      </c>
      <c r="AA180" s="19" t="s">
        <v>52</v>
      </c>
      <c r="AB180" s="28"/>
    </row>
    <row r="181" spans="1:29" s="29" customFormat="1" ht="15" customHeight="1" x14ac:dyDescent="0.25">
      <c r="A181" s="14">
        <v>1</v>
      </c>
      <c r="B181" s="15">
        <v>45801</v>
      </c>
      <c r="C181" s="15">
        <f t="shared" si="15"/>
        <v>45809</v>
      </c>
      <c r="D181" s="14">
        <v>12770</v>
      </c>
      <c r="E181" s="16" t="s">
        <v>105</v>
      </c>
      <c r="F181" s="17" t="s">
        <v>106</v>
      </c>
      <c r="G181" s="17" t="s">
        <v>102</v>
      </c>
      <c r="H181" s="18" t="s">
        <v>542</v>
      </c>
      <c r="I181" s="19" t="s">
        <v>49</v>
      </c>
      <c r="J181" s="20">
        <v>45748</v>
      </c>
      <c r="K181" s="20">
        <v>45782</v>
      </c>
      <c r="L181" s="21">
        <v>1700000</v>
      </c>
      <c r="M181" s="22">
        <f t="shared" si="16"/>
        <v>1755000</v>
      </c>
      <c r="N181" s="23">
        <v>1755000</v>
      </c>
      <c r="O181" s="23">
        <v>0</v>
      </c>
      <c r="P181" s="24">
        <f t="shared" si="17"/>
        <v>-55000</v>
      </c>
      <c r="Q181" s="25">
        <v>0</v>
      </c>
      <c r="R181" s="26">
        <v>50000</v>
      </c>
      <c r="S181" s="91">
        <f t="shared" si="13"/>
        <v>0</v>
      </c>
      <c r="T181" s="91">
        <f t="shared" si="14"/>
        <v>0</v>
      </c>
      <c r="U181" s="27" t="s">
        <v>50</v>
      </c>
      <c r="V181" s="19" t="s">
        <v>51</v>
      </c>
      <c r="W181" s="20">
        <v>45772</v>
      </c>
      <c r="X181" s="22" t="s">
        <v>251</v>
      </c>
      <c r="Y181" s="19" t="s">
        <v>52</v>
      </c>
      <c r="Z181" s="19" t="s">
        <v>52</v>
      </c>
      <c r="AA181" s="19" t="s">
        <v>52</v>
      </c>
      <c r="AB181" s="28"/>
    </row>
    <row r="182" spans="1:29" s="29" customFormat="1" ht="15" customHeight="1" x14ac:dyDescent="0.25">
      <c r="A182" s="14">
        <v>2</v>
      </c>
      <c r="B182" s="15">
        <v>45801</v>
      </c>
      <c r="C182" s="15">
        <f t="shared" si="15"/>
        <v>45809</v>
      </c>
      <c r="D182" s="14">
        <v>12875</v>
      </c>
      <c r="E182" s="16" t="s">
        <v>297</v>
      </c>
      <c r="F182" s="17" t="s">
        <v>298</v>
      </c>
      <c r="G182" s="17" t="s">
        <v>102</v>
      </c>
      <c r="H182" s="18" t="s">
        <v>57</v>
      </c>
      <c r="I182" s="19" t="s">
        <v>94</v>
      </c>
      <c r="J182" s="20">
        <v>45771</v>
      </c>
      <c r="K182" s="20">
        <v>45799</v>
      </c>
      <c r="L182" s="21">
        <v>810000</v>
      </c>
      <c r="M182" s="22">
        <f t="shared" si="16"/>
        <v>841000</v>
      </c>
      <c r="N182" s="23">
        <v>841000</v>
      </c>
      <c r="O182" s="23">
        <v>0</v>
      </c>
      <c r="P182" s="24">
        <f t="shared" si="17"/>
        <v>-31000</v>
      </c>
      <c r="Q182" s="25">
        <v>0</v>
      </c>
      <c r="R182" s="26">
        <v>30000</v>
      </c>
      <c r="S182" s="91">
        <f t="shared" si="13"/>
        <v>0</v>
      </c>
      <c r="T182" s="91">
        <f t="shared" si="14"/>
        <v>0</v>
      </c>
      <c r="U182" s="27" t="s">
        <v>50</v>
      </c>
      <c r="V182" s="19" t="s">
        <v>51</v>
      </c>
      <c r="W182" s="20">
        <v>45786</v>
      </c>
      <c r="X182" s="22" t="s">
        <v>251</v>
      </c>
      <c r="Y182" s="19" t="s">
        <v>52</v>
      </c>
      <c r="Z182" s="19" t="s">
        <v>52</v>
      </c>
      <c r="AA182" s="19" t="s">
        <v>52</v>
      </c>
      <c r="AB182" s="28"/>
    </row>
    <row r="183" spans="1:29" s="29" customFormat="1" ht="15" customHeight="1" x14ac:dyDescent="0.25">
      <c r="A183" s="14">
        <v>12</v>
      </c>
      <c r="B183" s="15">
        <v>45801</v>
      </c>
      <c r="C183" s="15">
        <f t="shared" si="15"/>
        <v>45809</v>
      </c>
      <c r="D183" s="14">
        <v>12849</v>
      </c>
      <c r="E183" s="16" t="s">
        <v>369</v>
      </c>
      <c r="F183" s="17" t="s">
        <v>598</v>
      </c>
      <c r="G183" s="17" t="s">
        <v>102</v>
      </c>
      <c r="H183" s="18" t="s">
        <v>57</v>
      </c>
      <c r="I183" s="19" t="s">
        <v>58</v>
      </c>
      <c r="J183" s="20">
        <v>45769</v>
      </c>
      <c r="K183" s="20" t="s">
        <v>65</v>
      </c>
      <c r="L183" s="21">
        <v>1000000</v>
      </c>
      <c r="M183" s="22">
        <f t="shared" si="16"/>
        <v>944000</v>
      </c>
      <c r="N183" s="23">
        <v>944000</v>
      </c>
      <c r="O183" s="23">
        <v>0</v>
      </c>
      <c r="P183" s="24">
        <f t="shared" si="17"/>
        <v>56000</v>
      </c>
      <c r="Q183" s="25">
        <v>0</v>
      </c>
      <c r="R183" s="26">
        <v>50000</v>
      </c>
      <c r="S183" s="91">
        <f t="shared" si="13"/>
        <v>1.1200000000000001</v>
      </c>
      <c r="T183" s="91">
        <f t="shared" si="14"/>
        <v>0</v>
      </c>
      <c r="U183" s="27" t="s">
        <v>50</v>
      </c>
      <c r="V183" s="19" t="s">
        <v>51</v>
      </c>
      <c r="W183" s="20">
        <v>45786</v>
      </c>
      <c r="X183" s="22" t="s">
        <v>251</v>
      </c>
      <c r="Y183" s="19" t="s">
        <v>52</v>
      </c>
      <c r="Z183" s="19" t="s">
        <v>52</v>
      </c>
      <c r="AA183" s="19" t="s">
        <v>52</v>
      </c>
      <c r="AB183" s="28"/>
    </row>
    <row r="184" spans="1:29" s="29" customFormat="1" ht="15" customHeight="1" x14ac:dyDescent="0.25">
      <c r="A184" s="14">
        <v>9</v>
      </c>
      <c r="B184" s="15">
        <v>45807</v>
      </c>
      <c r="C184" s="15">
        <f t="shared" si="15"/>
        <v>45815</v>
      </c>
      <c r="D184" s="14">
        <v>12761</v>
      </c>
      <c r="E184" s="16" t="s">
        <v>228</v>
      </c>
      <c r="F184" s="17" t="s">
        <v>229</v>
      </c>
      <c r="G184" s="17" t="s">
        <v>132</v>
      </c>
      <c r="H184" s="18" t="s">
        <v>54</v>
      </c>
      <c r="I184" s="19" t="s">
        <v>135</v>
      </c>
      <c r="J184" s="20">
        <v>45751</v>
      </c>
      <c r="K184" s="20">
        <v>45821</v>
      </c>
      <c r="L184" s="21">
        <v>80000</v>
      </c>
      <c r="M184" s="22">
        <f t="shared" si="16"/>
        <v>66340</v>
      </c>
      <c r="N184" s="23">
        <v>66340</v>
      </c>
      <c r="O184" s="23">
        <v>0</v>
      </c>
      <c r="P184" s="24">
        <f t="shared" si="17"/>
        <v>13660</v>
      </c>
      <c r="Q184" s="25">
        <v>0</v>
      </c>
      <c r="R184" s="26">
        <v>57330</v>
      </c>
      <c r="S184" s="91">
        <f t="shared" si="13"/>
        <v>0.23826966684109541</v>
      </c>
      <c r="T184" s="91">
        <f t="shared" si="14"/>
        <v>0</v>
      </c>
      <c r="U184" s="27" t="s">
        <v>56</v>
      </c>
      <c r="V184" s="19" t="s">
        <v>51</v>
      </c>
      <c r="W184" s="20">
        <v>45772</v>
      </c>
      <c r="X184" s="22" t="s">
        <v>251</v>
      </c>
      <c r="Y184" s="19" t="s">
        <v>52</v>
      </c>
      <c r="Z184" s="19" t="s">
        <v>52</v>
      </c>
      <c r="AA184" s="19" t="s">
        <v>52</v>
      </c>
      <c r="AB184" s="28"/>
    </row>
    <row r="185" spans="1:29" s="29" customFormat="1" ht="15" customHeight="1" x14ac:dyDescent="0.25">
      <c r="A185" s="14">
        <v>2</v>
      </c>
      <c r="B185" s="15">
        <v>45807</v>
      </c>
      <c r="C185" s="15">
        <f t="shared" si="15"/>
        <v>45815</v>
      </c>
      <c r="D185" s="14">
        <v>12926</v>
      </c>
      <c r="E185" s="16" t="s">
        <v>202</v>
      </c>
      <c r="F185" s="17" t="s">
        <v>203</v>
      </c>
      <c r="G185" s="17" t="s">
        <v>47</v>
      </c>
      <c r="H185" s="18" t="s">
        <v>542</v>
      </c>
      <c r="I185" s="19" t="s">
        <v>104</v>
      </c>
      <c r="J185" s="20">
        <v>45779</v>
      </c>
      <c r="K185" s="20">
        <v>45817</v>
      </c>
      <c r="L185" s="21">
        <v>50000</v>
      </c>
      <c r="M185" s="22">
        <f t="shared" si="16"/>
        <v>50000</v>
      </c>
      <c r="N185" s="23">
        <v>50000</v>
      </c>
      <c r="O185" s="23">
        <v>0</v>
      </c>
      <c r="P185" s="24">
        <f t="shared" si="17"/>
        <v>0</v>
      </c>
      <c r="Q185" s="25">
        <v>0</v>
      </c>
      <c r="R185" s="26">
        <v>50000</v>
      </c>
      <c r="S185" s="91">
        <f t="shared" si="13"/>
        <v>0</v>
      </c>
      <c r="T185" s="91">
        <f t="shared" si="14"/>
        <v>0</v>
      </c>
      <c r="U185" s="27" t="s">
        <v>50</v>
      </c>
      <c r="V185" s="19" t="s">
        <v>51</v>
      </c>
      <c r="W185" s="20">
        <v>45801</v>
      </c>
      <c r="X185" s="22" t="s">
        <v>251</v>
      </c>
      <c r="Y185" s="19" t="s">
        <v>52</v>
      </c>
      <c r="Z185" s="19" t="s">
        <v>52</v>
      </c>
      <c r="AA185" s="19" t="s">
        <v>52</v>
      </c>
      <c r="AB185" s="42"/>
    </row>
    <row r="186" spans="1:29" s="29" customFormat="1" ht="15" customHeight="1" x14ac:dyDescent="0.25">
      <c r="A186" s="14">
        <v>3</v>
      </c>
      <c r="B186" s="15">
        <v>45807</v>
      </c>
      <c r="C186" s="15">
        <f t="shared" si="15"/>
        <v>45815</v>
      </c>
      <c r="D186" s="14">
        <v>12846</v>
      </c>
      <c r="E186" s="16" t="s">
        <v>591</v>
      </c>
      <c r="F186" s="40" t="s">
        <v>592</v>
      </c>
      <c r="G186" s="17" t="s">
        <v>75</v>
      </c>
      <c r="H186" s="18" t="s">
        <v>542</v>
      </c>
      <c r="I186" s="19" t="s">
        <v>593</v>
      </c>
      <c r="J186" s="20">
        <v>45765</v>
      </c>
      <c r="K186" s="20">
        <v>45796</v>
      </c>
      <c r="L186" s="21">
        <v>350000</v>
      </c>
      <c r="M186" s="22">
        <f t="shared" si="16"/>
        <v>384000</v>
      </c>
      <c r="N186" s="23">
        <v>384000</v>
      </c>
      <c r="O186" s="23">
        <v>0</v>
      </c>
      <c r="P186" s="24">
        <f t="shared" si="17"/>
        <v>-34000</v>
      </c>
      <c r="Q186" s="25">
        <v>0</v>
      </c>
      <c r="R186" s="26">
        <v>150000</v>
      </c>
      <c r="S186" s="91">
        <f t="shared" si="13"/>
        <v>0</v>
      </c>
      <c r="T186" s="91">
        <f t="shared" si="14"/>
        <v>0</v>
      </c>
      <c r="U186" s="27" t="s">
        <v>50</v>
      </c>
      <c r="V186" s="19" t="s">
        <v>51</v>
      </c>
      <c r="W186" s="20">
        <v>45800</v>
      </c>
      <c r="X186" s="22" t="s">
        <v>251</v>
      </c>
      <c r="Y186" s="19" t="s">
        <v>52</v>
      </c>
      <c r="Z186" s="19" t="s">
        <v>52</v>
      </c>
      <c r="AA186" s="19" t="s">
        <v>52</v>
      </c>
      <c r="AB186" s="28"/>
    </row>
    <row r="187" spans="1:29" s="29" customFormat="1" ht="15" customHeight="1" x14ac:dyDescent="0.25">
      <c r="A187" s="14">
        <v>6</v>
      </c>
      <c r="B187" s="15">
        <v>45807</v>
      </c>
      <c r="C187" s="15">
        <f t="shared" si="15"/>
        <v>45815</v>
      </c>
      <c r="D187" s="14">
        <v>12869</v>
      </c>
      <c r="E187" s="16" t="s">
        <v>601</v>
      </c>
      <c r="F187" s="40" t="s">
        <v>602</v>
      </c>
      <c r="G187" s="17" t="s">
        <v>75</v>
      </c>
      <c r="H187" s="18" t="s">
        <v>57</v>
      </c>
      <c r="I187" s="19" t="s">
        <v>81</v>
      </c>
      <c r="J187" s="20">
        <v>45771</v>
      </c>
      <c r="K187" s="20">
        <v>45805</v>
      </c>
      <c r="L187" s="21">
        <v>100000</v>
      </c>
      <c r="M187" s="22">
        <f t="shared" si="16"/>
        <v>102000</v>
      </c>
      <c r="N187" s="23">
        <v>102000</v>
      </c>
      <c r="O187" s="23">
        <v>0</v>
      </c>
      <c r="P187" s="24">
        <f t="shared" si="17"/>
        <v>-2000</v>
      </c>
      <c r="Q187" s="25">
        <v>0</v>
      </c>
      <c r="R187" s="26">
        <v>150000</v>
      </c>
      <c r="S187" s="91">
        <f t="shared" ref="S187:S250" si="18">IF(P187&gt;0,P187/$R187,0)</f>
        <v>0</v>
      </c>
      <c r="T187" s="91">
        <f t="shared" ref="T187:T250" si="19">IF(Q187&gt;0,Q187/$R187,0)</f>
        <v>0</v>
      </c>
      <c r="U187" s="27" t="s">
        <v>50</v>
      </c>
      <c r="V187" s="19" t="s">
        <v>59</v>
      </c>
      <c r="W187" s="20">
        <v>45806</v>
      </c>
      <c r="X187" s="22" t="s">
        <v>251</v>
      </c>
      <c r="Y187" s="19" t="s">
        <v>52</v>
      </c>
      <c r="Z187" s="19" t="s">
        <v>52</v>
      </c>
      <c r="AA187" s="19" t="s">
        <v>52</v>
      </c>
      <c r="AB187" s="28"/>
    </row>
    <row r="188" spans="1:29" s="29" customFormat="1" ht="15" customHeight="1" x14ac:dyDescent="0.25">
      <c r="A188" s="14">
        <v>32</v>
      </c>
      <c r="B188" s="15">
        <v>45801</v>
      </c>
      <c r="C188" s="15">
        <f t="shared" si="15"/>
        <v>45809</v>
      </c>
      <c r="D188" s="14">
        <v>12868</v>
      </c>
      <c r="E188" s="16" t="s">
        <v>427</v>
      </c>
      <c r="F188" s="40" t="s">
        <v>561</v>
      </c>
      <c r="G188" s="17" t="s">
        <v>75</v>
      </c>
      <c r="H188" s="18" t="s">
        <v>57</v>
      </c>
      <c r="I188" s="19" t="s">
        <v>58</v>
      </c>
      <c r="J188" s="20">
        <v>45771</v>
      </c>
      <c r="K188" s="20">
        <v>45805</v>
      </c>
      <c r="L188" s="21">
        <v>300000</v>
      </c>
      <c r="M188" s="22">
        <f t="shared" si="16"/>
        <v>315000</v>
      </c>
      <c r="N188" s="23">
        <v>315000</v>
      </c>
      <c r="O188" s="23">
        <v>0</v>
      </c>
      <c r="P188" s="24">
        <f t="shared" si="17"/>
        <v>-15000</v>
      </c>
      <c r="Q188" s="25">
        <v>0</v>
      </c>
      <c r="R188" s="26">
        <v>144000</v>
      </c>
      <c r="S188" s="91">
        <f t="shared" si="18"/>
        <v>0</v>
      </c>
      <c r="T188" s="91">
        <f t="shared" si="19"/>
        <v>0</v>
      </c>
      <c r="U188" s="27" t="s">
        <v>50</v>
      </c>
      <c r="V188" s="19" t="s">
        <v>51</v>
      </c>
      <c r="W188" s="20">
        <v>45796</v>
      </c>
      <c r="X188" s="22" t="s">
        <v>251</v>
      </c>
      <c r="Y188" s="19" t="s">
        <v>52</v>
      </c>
      <c r="Z188" s="19" t="s">
        <v>52</v>
      </c>
      <c r="AA188" s="19" t="s">
        <v>52</v>
      </c>
      <c r="AB188" s="28"/>
      <c r="AC188" s="90"/>
    </row>
    <row r="189" spans="1:29" s="29" customFormat="1" ht="15" customHeight="1" x14ac:dyDescent="0.25">
      <c r="A189" s="14">
        <v>2</v>
      </c>
      <c r="B189" s="15">
        <v>45812</v>
      </c>
      <c r="C189" s="15">
        <f t="shared" si="15"/>
        <v>45820</v>
      </c>
      <c r="D189" s="14">
        <v>12953</v>
      </c>
      <c r="E189" s="16" t="s">
        <v>394</v>
      </c>
      <c r="F189" s="17" t="s">
        <v>638</v>
      </c>
      <c r="G189" s="17" t="s">
        <v>47</v>
      </c>
      <c r="H189" s="18" t="s">
        <v>639</v>
      </c>
      <c r="I189" s="19" t="s">
        <v>395</v>
      </c>
      <c r="J189" s="20">
        <v>45786</v>
      </c>
      <c r="K189" s="20">
        <v>45818</v>
      </c>
      <c r="L189" s="21">
        <v>100000</v>
      </c>
      <c r="M189" s="22">
        <f t="shared" si="16"/>
        <v>115000</v>
      </c>
      <c r="N189" s="23">
        <v>115000</v>
      </c>
      <c r="O189" s="23">
        <v>0</v>
      </c>
      <c r="P189" s="24">
        <f t="shared" si="17"/>
        <v>-15000</v>
      </c>
      <c r="Q189" s="25">
        <v>0</v>
      </c>
      <c r="R189" s="26">
        <v>50000</v>
      </c>
      <c r="S189" s="91">
        <f t="shared" si="18"/>
        <v>0</v>
      </c>
      <c r="T189" s="91">
        <f t="shared" si="19"/>
        <v>0</v>
      </c>
      <c r="U189" s="27" t="s">
        <v>56</v>
      </c>
      <c r="V189" s="19" t="s">
        <v>51</v>
      </c>
      <c r="W189" s="20">
        <v>45807</v>
      </c>
      <c r="X189" s="22" t="s">
        <v>251</v>
      </c>
      <c r="Y189" s="19" t="s">
        <v>52</v>
      </c>
      <c r="Z189" s="19" t="s">
        <v>52</v>
      </c>
      <c r="AA189" s="19" t="s">
        <v>52</v>
      </c>
      <c r="AB189" s="42"/>
    </row>
    <row r="190" spans="1:29" s="29" customFormat="1" ht="15" customHeight="1" x14ac:dyDescent="0.25">
      <c r="A190" s="14">
        <v>3</v>
      </c>
      <c r="B190" s="15">
        <v>45812</v>
      </c>
      <c r="C190" s="15">
        <f t="shared" si="15"/>
        <v>45820</v>
      </c>
      <c r="D190" s="14">
        <v>12842</v>
      </c>
      <c r="E190" s="16" t="s">
        <v>468</v>
      </c>
      <c r="F190" s="17" t="s">
        <v>469</v>
      </c>
      <c r="G190" s="17" t="s">
        <v>47</v>
      </c>
      <c r="H190" s="18" t="s">
        <v>57</v>
      </c>
      <c r="I190" s="19" t="s">
        <v>58</v>
      </c>
      <c r="J190" s="20">
        <v>45765</v>
      </c>
      <c r="K190" s="20">
        <v>45820</v>
      </c>
      <c r="L190" s="21">
        <v>2000000</v>
      </c>
      <c r="M190" s="22">
        <f t="shared" si="16"/>
        <v>2214000</v>
      </c>
      <c r="N190" s="23">
        <v>2214000</v>
      </c>
      <c r="O190" s="23">
        <v>0</v>
      </c>
      <c r="P190" s="24">
        <f t="shared" si="17"/>
        <v>-214000</v>
      </c>
      <c r="Q190" s="25">
        <v>0</v>
      </c>
      <c r="R190" s="26">
        <v>96000</v>
      </c>
      <c r="S190" s="91">
        <f t="shared" si="18"/>
        <v>0</v>
      </c>
      <c r="T190" s="91">
        <f t="shared" si="19"/>
        <v>0</v>
      </c>
      <c r="U190" s="27" t="s">
        <v>50</v>
      </c>
      <c r="V190" s="19" t="s">
        <v>51</v>
      </c>
      <c r="W190" s="20">
        <v>45789</v>
      </c>
      <c r="X190" s="22" t="s">
        <v>251</v>
      </c>
      <c r="Y190" s="19" t="s">
        <v>52</v>
      </c>
      <c r="Z190" s="19" t="s">
        <v>52</v>
      </c>
      <c r="AA190" s="19" t="s">
        <v>52</v>
      </c>
      <c r="AB190" s="42"/>
    </row>
    <row r="191" spans="1:29" s="29" customFormat="1" ht="15" customHeight="1" x14ac:dyDescent="0.25">
      <c r="A191" s="14">
        <v>7</v>
      </c>
      <c r="B191" s="15">
        <v>45812</v>
      </c>
      <c r="C191" s="15">
        <f t="shared" si="15"/>
        <v>45820</v>
      </c>
      <c r="D191" s="14">
        <v>12977</v>
      </c>
      <c r="E191" s="16" t="s">
        <v>206</v>
      </c>
      <c r="F191" s="40" t="s">
        <v>646</v>
      </c>
      <c r="G191" s="17" t="s">
        <v>75</v>
      </c>
      <c r="H191" s="18" t="s">
        <v>542</v>
      </c>
      <c r="I191" s="19" t="s">
        <v>49</v>
      </c>
      <c r="J191" s="20">
        <v>45791</v>
      </c>
      <c r="K191" s="20">
        <v>45818</v>
      </c>
      <c r="L191" s="21">
        <v>600000</v>
      </c>
      <c r="M191" s="22">
        <f t="shared" si="16"/>
        <v>576000</v>
      </c>
      <c r="N191" s="23">
        <v>576000</v>
      </c>
      <c r="O191" s="23">
        <v>0</v>
      </c>
      <c r="P191" s="24">
        <f t="shared" si="17"/>
        <v>24000</v>
      </c>
      <c r="Q191" s="25">
        <v>0</v>
      </c>
      <c r="R191" s="26">
        <v>150000</v>
      </c>
      <c r="S191" s="91">
        <f t="shared" si="18"/>
        <v>0.16</v>
      </c>
      <c r="T191" s="91">
        <f t="shared" si="19"/>
        <v>0</v>
      </c>
      <c r="U191" s="27" t="s">
        <v>50</v>
      </c>
      <c r="V191" s="19" t="s">
        <v>51</v>
      </c>
      <c r="W191" s="20">
        <v>45807</v>
      </c>
      <c r="X191" s="22" t="s">
        <v>251</v>
      </c>
      <c r="Y191" s="19" t="s">
        <v>52</v>
      </c>
      <c r="Z191" s="19" t="s">
        <v>52</v>
      </c>
      <c r="AA191" s="19" t="s">
        <v>52</v>
      </c>
      <c r="AB191" s="28"/>
    </row>
    <row r="192" spans="1:29" s="29" customFormat="1" ht="15" customHeight="1" x14ac:dyDescent="0.25">
      <c r="A192" s="14">
        <v>3</v>
      </c>
      <c r="B192" s="15">
        <v>45812</v>
      </c>
      <c r="C192" s="15">
        <f t="shared" si="15"/>
        <v>45820</v>
      </c>
      <c r="D192" s="14">
        <v>12973</v>
      </c>
      <c r="E192" s="16" t="s">
        <v>636</v>
      </c>
      <c r="F192" s="17" t="s">
        <v>637</v>
      </c>
      <c r="G192" s="17" t="s">
        <v>102</v>
      </c>
      <c r="H192" s="18" t="s">
        <v>542</v>
      </c>
      <c r="I192" s="19" t="s">
        <v>104</v>
      </c>
      <c r="J192" s="20">
        <v>45786</v>
      </c>
      <c r="K192" s="20">
        <v>45814</v>
      </c>
      <c r="L192" s="21">
        <v>100000</v>
      </c>
      <c r="M192" s="22">
        <f t="shared" si="16"/>
        <v>108000</v>
      </c>
      <c r="N192" s="23">
        <v>108000</v>
      </c>
      <c r="O192" s="23">
        <v>0</v>
      </c>
      <c r="P192" s="24">
        <f t="shared" si="17"/>
        <v>-8000</v>
      </c>
      <c r="Q192" s="25">
        <v>0</v>
      </c>
      <c r="R192" s="26">
        <v>63000</v>
      </c>
      <c r="S192" s="91">
        <f t="shared" si="18"/>
        <v>0</v>
      </c>
      <c r="T192" s="91">
        <f t="shared" si="19"/>
        <v>0</v>
      </c>
      <c r="U192" s="27" t="s">
        <v>50</v>
      </c>
      <c r="V192" s="19" t="s">
        <v>51</v>
      </c>
      <c r="W192" s="20">
        <v>45807</v>
      </c>
      <c r="X192" s="22" t="s">
        <v>251</v>
      </c>
      <c r="Y192" s="19" t="s">
        <v>52</v>
      </c>
      <c r="Z192" s="19" t="s">
        <v>52</v>
      </c>
      <c r="AA192" s="19" t="s">
        <v>52</v>
      </c>
      <c r="AB192" s="28"/>
    </row>
    <row r="193" spans="1:28" s="29" customFormat="1" ht="15" customHeight="1" x14ac:dyDescent="0.25">
      <c r="A193" s="14">
        <v>4</v>
      </c>
      <c r="B193" s="15">
        <v>45812</v>
      </c>
      <c r="C193" s="15">
        <f t="shared" si="15"/>
        <v>45820</v>
      </c>
      <c r="D193" s="14">
        <v>12971</v>
      </c>
      <c r="E193" s="16" t="s">
        <v>312</v>
      </c>
      <c r="F193" s="17" t="s">
        <v>313</v>
      </c>
      <c r="G193" s="17" t="s">
        <v>102</v>
      </c>
      <c r="H193" s="18" t="s">
        <v>57</v>
      </c>
      <c r="I193" s="19" t="s">
        <v>94</v>
      </c>
      <c r="J193" s="20">
        <v>45790</v>
      </c>
      <c r="K193" s="20">
        <v>45814</v>
      </c>
      <c r="L193" s="21">
        <v>30000</v>
      </c>
      <c r="M193" s="22">
        <f t="shared" si="16"/>
        <v>24000</v>
      </c>
      <c r="N193" s="23">
        <v>24000</v>
      </c>
      <c r="O193" s="23">
        <v>0</v>
      </c>
      <c r="P193" s="24">
        <f t="shared" si="17"/>
        <v>6000</v>
      </c>
      <c r="Q193" s="25">
        <v>0</v>
      </c>
      <c r="R193" s="26">
        <v>50000</v>
      </c>
      <c r="S193" s="91">
        <f t="shared" si="18"/>
        <v>0.12</v>
      </c>
      <c r="T193" s="91">
        <f t="shared" si="19"/>
        <v>0</v>
      </c>
      <c r="U193" s="27" t="s">
        <v>50</v>
      </c>
      <c r="V193" s="19" t="s">
        <v>51</v>
      </c>
      <c r="W193" s="20">
        <v>45807</v>
      </c>
      <c r="X193" s="22" t="s">
        <v>251</v>
      </c>
      <c r="Y193" s="19" t="s">
        <v>52</v>
      </c>
      <c r="Z193" s="19" t="s">
        <v>52</v>
      </c>
      <c r="AA193" s="19" t="s">
        <v>52</v>
      </c>
      <c r="AB193" s="28"/>
    </row>
    <row r="194" spans="1:28" s="29" customFormat="1" ht="15" customHeight="1" x14ac:dyDescent="0.25">
      <c r="A194" s="14">
        <v>6</v>
      </c>
      <c r="B194" s="15">
        <v>45812</v>
      </c>
      <c r="C194" s="15">
        <f t="shared" si="15"/>
        <v>45820</v>
      </c>
      <c r="D194" s="14">
        <v>12929</v>
      </c>
      <c r="E194" s="16" t="s">
        <v>107</v>
      </c>
      <c r="F194" s="17" t="s">
        <v>108</v>
      </c>
      <c r="G194" s="17" t="s">
        <v>102</v>
      </c>
      <c r="H194" s="18" t="s">
        <v>542</v>
      </c>
      <c r="I194" s="19" t="s">
        <v>104</v>
      </c>
      <c r="J194" s="20">
        <v>45782</v>
      </c>
      <c r="K194" s="20">
        <v>45817</v>
      </c>
      <c r="L194" s="21">
        <v>126000</v>
      </c>
      <c r="M194" s="22">
        <f t="shared" si="16"/>
        <v>135000</v>
      </c>
      <c r="N194" s="23">
        <v>135000</v>
      </c>
      <c r="O194" s="23">
        <v>0</v>
      </c>
      <c r="P194" s="24">
        <f t="shared" si="17"/>
        <v>-9000</v>
      </c>
      <c r="Q194" s="25">
        <v>0</v>
      </c>
      <c r="R194" s="26">
        <v>63000</v>
      </c>
      <c r="S194" s="91">
        <f t="shared" si="18"/>
        <v>0</v>
      </c>
      <c r="T194" s="91">
        <f t="shared" si="19"/>
        <v>0</v>
      </c>
      <c r="U194" s="27" t="s">
        <v>50</v>
      </c>
      <c r="V194" s="19" t="s">
        <v>51</v>
      </c>
      <c r="W194" s="20">
        <v>45807</v>
      </c>
      <c r="X194" s="22" t="s">
        <v>251</v>
      </c>
      <c r="Y194" s="19" t="s">
        <v>52</v>
      </c>
      <c r="Z194" s="19" t="s">
        <v>52</v>
      </c>
      <c r="AA194" s="19" t="s">
        <v>52</v>
      </c>
      <c r="AB194" s="28"/>
    </row>
    <row r="195" spans="1:28" s="29" customFormat="1" ht="15" customHeight="1" x14ac:dyDescent="0.25">
      <c r="A195" s="14">
        <v>5</v>
      </c>
      <c r="B195" s="15">
        <v>45812</v>
      </c>
      <c r="C195" s="15">
        <f t="shared" si="15"/>
        <v>45820</v>
      </c>
      <c r="D195" s="14">
        <v>12892</v>
      </c>
      <c r="E195" s="16" t="s">
        <v>139</v>
      </c>
      <c r="F195" s="17" t="s">
        <v>265</v>
      </c>
      <c r="G195" s="17" t="s">
        <v>132</v>
      </c>
      <c r="H195" s="18" t="s">
        <v>54</v>
      </c>
      <c r="I195" s="19" t="s">
        <v>135</v>
      </c>
      <c r="J195" s="20">
        <v>45783</v>
      </c>
      <c r="K195" s="20">
        <v>45819</v>
      </c>
      <c r="L195" s="21">
        <v>385000</v>
      </c>
      <c r="M195" s="22">
        <f t="shared" si="16"/>
        <v>446210</v>
      </c>
      <c r="N195" s="23">
        <v>446210</v>
      </c>
      <c r="O195" s="23">
        <v>0</v>
      </c>
      <c r="P195" s="24">
        <f t="shared" si="17"/>
        <v>-61210</v>
      </c>
      <c r="Q195" s="25">
        <v>0</v>
      </c>
      <c r="R195" s="26">
        <v>175500</v>
      </c>
      <c r="S195" s="91">
        <f t="shared" si="18"/>
        <v>0</v>
      </c>
      <c r="T195" s="91">
        <f t="shared" si="19"/>
        <v>0</v>
      </c>
      <c r="U195" s="27" t="s">
        <v>56</v>
      </c>
      <c r="V195" s="19" t="s">
        <v>51</v>
      </c>
      <c r="W195" s="20">
        <v>45812</v>
      </c>
      <c r="X195" s="22" t="s">
        <v>251</v>
      </c>
      <c r="Y195" s="19" t="s">
        <v>52</v>
      </c>
      <c r="Z195" s="19" t="s">
        <v>52</v>
      </c>
      <c r="AA195" s="19" t="s">
        <v>52</v>
      </c>
      <c r="AB195" s="28"/>
    </row>
    <row r="196" spans="1:28" s="29" customFormat="1" ht="15" customHeight="1" x14ac:dyDescent="0.25">
      <c r="A196" s="14">
        <v>8</v>
      </c>
      <c r="B196" s="15">
        <v>45812</v>
      </c>
      <c r="C196" s="15">
        <f t="shared" si="15"/>
        <v>45820</v>
      </c>
      <c r="D196" s="14">
        <v>12763</v>
      </c>
      <c r="E196" s="16" t="s">
        <v>148</v>
      </c>
      <c r="F196" s="17" t="s">
        <v>149</v>
      </c>
      <c r="G196" s="17" t="s">
        <v>132</v>
      </c>
      <c r="H196" s="18" t="s">
        <v>54</v>
      </c>
      <c r="I196" s="19" t="s">
        <v>135</v>
      </c>
      <c r="J196" s="20">
        <v>45748</v>
      </c>
      <c r="K196" s="20">
        <v>45821</v>
      </c>
      <c r="L196" s="21">
        <v>75000</v>
      </c>
      <c r="M196" s="22">
        <f t="shared" si="16"/>
        <v>82560</v>
      </c>
      <c r="N196" s="23">
        <v>82560</v>
      </c>
      <c r="O196" s="23">
        <v>0</v>
      </c>
      <c r="P196" s="24">
        <f t="shared" si="17"/>
        <v>-7560</v>
      </c>
      <c r="Q196" s="25">
        <v>0</v>
      </c>
      <c r="R196" s="26">
        <v>57330</v>
      </c>
      <c r="S196" s="91">
        <f t="shared" si="18"/>
        <v>0</v>
      </c>
      <c r="T196" s="91">
        <f t="shared" si="19"/>
        <v>0</v>
      </c>
      <c r="U196" s="27" t="s">
        <v>56</v>
      </c>
      <c r="V196" s="19" t="s">
        <v>51</v>
      </c>
      <c r="W196" s="20">
        <v>45772</v>
      </c>
      <c r="X196" s="22" t="s">
        <v>251</v>
      </c>
      <c r="Y196" s="19" t="s">
        <v>52</v>
      </c>
      <c r="Z196" s="19" t="s">
        <v>52</v>
      </c>
      <c r="AA196" s="19" t="s">
        <v>52</v>
      </c>
      <c r="AB196" s="28"/>
    </row>
    <row r="197" spans="1:28" s="29" customFormat="1" ht="15" customHeight="1" x14ac:dyDescent="0.25">
      <c r="A197" s="14">
        <v>7</v>
      </c>
      <c r="B197" s="15">
        <v>45818</v>
      </c>
      <c r="C197" s="15">
        <f t="shared" si="15"/>
        <v>45826</v>
      </c>
      <c r="D197" s="14">
        <v>13023</v>
      </c>
      <c r="E197" s="16" t="s">
        <v>400</v>
      </c>
      <c r="F197" s="17" t="s">
        <v>401</v>
      </c>
      <c r="G197" s="17" t="s">
        <v>47</v>
      </c>
      <c r="H197" s="18" t="s">
        <v>542</v>
      </c>
      <c r="I197" s="19" t="s">
        <v>49</v>
      </c>
      <c r="J197" s="20">
        <v>45799</v>
      </c>
      <c r="K197" s="20">
        <v>45838</v>
      </c>
      <c r="L197" s="21">
        <v>150000</v>
      </c>
      <c r="M197" s="22">
        <f t="shared" si="16"/>
        <v>153000</v>
      </c>
      <c r="N197" s="23">
        <v>153000</v>
      </c>
      <c r="O197" s="23">
        <v>0</v>
      </c>
      <c r="P197" s="24">
        <f t="shared" si="17"/>
        <v>-3000</v>
      </c>
      <c r="Q197" s="25">
        <v>0</v>
      </c>
      <c r="R197" s="26">
        <v>100000</v>
      </c>
      <c r="S197" s="91">
        <f t="shared" si="18"/>
        <v>0</v>
      </c>
      <c r="T197" s="91">
        <f t="shared" si="19"/>
        <v>0</v>
      </c>
      <c r="U197" s="27" t="s">
        <v>50</v>
      </c>
      <c r="V197" s="19" t="s">
        <v>51</v>
      </c>
      <c r="W197" s="20">
        <v>45812</v>
      </c>
      <c r="X197" s="22" t="s">
        <v>251</v>
      </c>
      <c r="Y197" s="19" t="s">
        <v>52</v>
      </c>
      <c r="Z197" s="19" t="s">
        <v>52</v>
      </c>
      <c r="AA197" s="19" t="s">
        <v>52</v>
      </c>
      <c r="AB197" s="42"/>
    </row>
    <row r="198" spans="1:28" s="29" customFormat="1" ht="15" customHeight="1" x14ac:dyDescent="0.25">
      <c r="A198" s="14">
        <v>3</v>
      </c>
      <c r="B198" s="15">
        <v>45818</v>
      </c>
      <c r="C198" s="15">
        <f t="shared" si="15"/>
        <v>45826</v>
      </c>
      <c r="D198" s="14">
        <v>12927</v>
      </c>
      <c r="E198" s="16" t="s">
        <v>114</v>
      </c>
      <c r="F198" s="17" t="s">
        <v>115</v>
      </c>
      <c r="G198" s="17" t="s">
        <v>102</v>
      </c>
      <c r="H198" s="18" t="s">
        <v>542</v>
      </c>
      <c r="I198" s="19" t="s">
        <v>104</v>
      </c>
      <c r="J198" s="20">
        <v>45779</v>
      </c>
      <c r="K198" s="20">
        <v>45817</v>
      </c>
      <c r="L198" s="21">
        <v>1500000</v>
      </c>
      <c r="M198" s="22">
        <f t="shared" si="16"/>
        <v>1554000</v>
      </c>
      <c r="N198" s="23">
        <v>1554000</v>
      </c>
      <c r="O198" s="23">
        <v>0</v>
      </c>
      <c r="P198" s="24">
        <f t="shared" si="17"/>
        <v>-54000</v>
      </c>
      <c r="Q198" s="25">
        <v>0</v>
      </c>
      <c r="R198" s="26">
        <v>63000</v>
      </c>
      <c r="S198" s="91">
        <f t="shared" si="18"/>
        <v>0</v>
      </c>
      <c r="T198" s="91">
        <f t="shared" si="19"/>
        <v>0</v>
      </c>
      <c r="U198" s="27" t="s">
        <v>50</v>
      </c>
      <c r="V198" s="19" t="s">
        <v>51</v>
      </c>
      <c r="W198" s="20">
        <v>45797</v>
      </c>
      <c r="X198" s="22" t="s">
        <v>251</v>
      </c>
      <c r="Y198" s="19" t="s">
        <v>52</v>
      </c>
      <c r="Z198" s="19" t="s">
        <v>52</v>
      </c>
      <c r="AA198" s="19" t="s">
        <v>52</v>
      </c>
      <c r="AB198" s="28"/>
    </row>
    <row r="199" spans="1:28" s="29" customFormat="1" ht="15" customHeight="1" x14ac:dyDescent="0.25">
      <c r="A199" s="14">
        <v>6</v>
      </c>
      <c r="B199" s="15">
        <v>45822</v>
      </c>
      <c r="C199" s="15">
        <f t="shared" si="15"/>
        <v>45830</v>
      </c>
      <c r="D199" s="14">
        <v>12997</v>
      </c>
      <c r="E199" s="16" t="s">
        <v>73</v>
      </c>
      <c r="F199" s="40" t="s">
        <v>74</v>
      </c>
      <c r="G199" s="17" t="s">
        <v>75</v>
      </c>
      <c r="H199" s="18" t="s">
        <v>542</v>
      </c>
      <c r="I199" s="19" t="s">
        <v>49</v>
      </c>
      <c r="J199" s="20">
        <v>45796</v>
      </c>
      <c r="K199" s="20">
        <v>45807</v>
      </c>
      <c r="L199" s="21">
        <v>350000</v>
      </c>
      <c r="M199" s="22">
        <f t="shared" si="16"/>
        <v>304000</v>
      </c>
      <c r="N199" s="23">
        <v>304000</v>
      </c>
      <c r="O199" s="23">
        <v>0</v>
      </c>
      <c r="P199" s="24">
        <f t="shared" si="17"/>
        <v>46000</v>
      </c>
      <c r="Q199" s="25">
        <v>0</v>
      </c>
      <c r="R199" s="26">
        <v>36000</v>
      </c>
      <c r="S199" s="91">
        <f t="shared" si="18"/>
        <v>1.2777777777777777</v>
      </c>
      <c r="T199" s="91">
        <f t="shared" si="19"/>
        <v>0</v>
      </c>
      <c r="U199" s="27" t="s">
        <v>50</v>
      </c>
      <c r="V199" s="19" t="s">
        <v>51</v>
      </c>
      <c r="W199" s="20">
        <v>45803</v>
      </c>
      <c r="X199" s="22" t="s">
        <v>251</v>
      </c>
      <c r="Y199" s="19" t="s">
        <v>52</v>
      </c>
      <c r="Z199" s="19" t="s">
        <v>52</v>
      </c>
      <c r="AA199" s="19" t="s">
        <v>52</v>
      </c>
      <c r="AB199" s="28"/>
    </row>
    <row r="200" spans="1:28" s="29" customFormat="1" ht="15" customHeight="1" x14ac:dyDescent="0.25">
      <c r="A200" s="14">
        <v>7</v>
      </c>
      <c r="B200" s="15">
        <v>45824</v>
      </c>
      <c r="C200" s="15">
        <f t="shared" si="15"/>
        <v>45832</v>
      </c>
      <c r="D200" s="14">
        <v>12999</v>
      </c>
      <c r="E200" s="16" t="s">
        <v>656</v>
      </c>
      <c r="F200" s="40" t="s">
        <v>657</v>
      </c>
      <c r="G200" s="17" t="s">
        <v>75</v>
      </c>
      <c r="H200" s="18" t="s">
        <v>57</v>
      </c>
      <c r="I200" s="19" t="s">
        <v>94</v>
      </c>
      <c r="J200" s="20">
        <v>45796</v>
      </c>
      <c r="K200" s="20">
        <v>45831</v>
      </c>
      <c r="L200" s="21">
        <v>250000</v>
      </c>
      <c r="M200" s="22">
        <f t="shared" si="16"/>
        <v>100000</v>
      </c>
      <c r="N200" s="23">
        <v>100000</v>
      </c>
      <c r="O200" s="23">
        <v>0</v>
      </c>
      <c r="P200" s="24">
        <f t="shared" si="17"/>
        <v>150000</v>
      </c>
      <c r="Q200" s="25">
        <v>0</v>
      </c>
      <c r="R200" s="26">
        <v>50000</v>
      </c>
      <c r="S200" s="91">
        <f t="shared" si="18"/>
        <v>3</v>
      </c>
      <c r="T200" s="91">
        <f t="shared" si="19"/>
        <v>0</v>
      </c>
      <c r="U200" s="27" t="s">
        <v>50</v>
      </c>
      <c r="V200" s="19" t="s">
        <v>51</v>
      </c>
      <c r="W200" s="20">
        <v>45810</v>
      </c>
      <c r="X200" s="22" t="s">
        <v>251</v>
      </c>
      <c r="Y200" s="19" t="s">
        <v>52</v>
      </c>
      <c r="Z200" s="19" t="s">
        <v>52</v>
      </c>
      <c r="AA200" s="19" t="s">
        <v>52</v>
      </c>
      <c r="AB200" s="28"/>
    </row>
    <row r="201" spans="1:28" s="29" customFormat="1" ht="15" customHeight="1" x14ac:dyDescent="0.25">
      <c r="A201" s="14">
        <v>8</v>
      </c>
      <c r="B201" s="15">
        <v>45818</v>
      </c>
      <c r="C201" s="15">
        <f t="shared" si="15"/>
        <v>45826</v>
      </c>
      <c r="D201" s="14">
        <v>13003</v>
      </c>
      <c r="E201" s="16" t="s">
        <v>190</v>
      </c>
      <c r="F201" s="40" t="s">
        <v>191</v>
      </c>
      <c r="G201" s="17" t="s">
        <v>75</v>
      </c>
      <c r="H201" s="18" t="s">
        <v>542</v>
      </c>
      <c r="I201" s="19" t="s">
        <v>49</v>
      </c>
      <c r="J201" s="20">
        <v>45797</v>
      </c>
      <c r="K201" s="20">
        <v>45824</v>
      </c>
      <c r="L201" s="21">
        <v>250000</v>
      </c>
      <c r="M201" s="22">
        <f t="shared" si="16"/>
        <v>253000</v>
      </c>
      <c r="N201" s="23">
        <v>253000</v>
      </c>
      <c r="O201" s="23">
        <v>0</v>
      </c>
      <c r="P201" s="24">
        <f t="shared" si="17"/>
        <v>-3000</v>
      </c>
      <c r="Q201" s="25">
        <v>0</v>
      </c>
      <c r="R201" s="26">
        <v>50000</v>
      </c>
      <c r="S201" s="91">
        <f t="shared" si="18"/>
        <v>0</v>
      </c>
      <c r="T201" s="91">
        <f t="shared" si="19"/>
        <v>0</v>
      </c>
      <c r="U201" s="27" t="s">
        <v>50</v>
      </c>
      <c r="V201" s="19" t="s">
        <v>51</v>
      </c>
      <c r="W201" s="20">
        <v>45810</v>
      </c>
      <c r="X201" s="22" t="s">
        <v>251</v>
      </c>
      <c r="Y201" s="19" t="s">
        <v>52</v>
      </c>
      <c r="Z201" s="19" t="s">
        <v>52</v>
      </c>
      <c r="AA201" s="19" t="s">
        <v>52</v>
      </c>
      <c r="AB201" s="28"/>
    </row>
    <row r="202" spans="1:28" s="29" customFormat="1" ht="15" customHeight="1" x14ac:dyDescent="0.25">
      <c r="A202" s="14">
        <v>20</v>
      </c>
      <c r="B202" s="15">
        <v>45822</v>
      </c>
      <c r="C202" s="15">
        <f t="shared" si="15"/>
        <v>45830</v>
      </c>
      <c r="D202" s="14">
        <v>12923</v>
      </c>
      <c r="E202" s="16" t="s">
        <v>456</v>
      </c>
      <c r="F202" s="40" t="s">
        <v>80</v>
      </c>
      <c r="G202" s="17" t="s">
        <v>75</v>
      </c>
      <c r="H202" s="18" t="s">
        <v>57</v>
      </c>
      <c r="I202" s="19" t="s">
        <v>58</v>
      </c>
      <c r="J202" s="20">
        <v>45782</v>
      </c>
      <c r="K202" s="20">
        <v>45835</v>
      </c>
      <c r="L202" s="21">
        <v>600000</v>
      </c>
      <c r="M202" s="22">
        <f t="shared" si="16"/>
        <v>549000</v>
      </c>
      <c r="N202" s="23">
        <v>549000</v>
      </c>
      <c r="O202" s="23">
        <v>0</v>
      </c>
      <c r="P202" s="24">
        <f t="shared" si="17"/>
        <v>51000</v>
      </c>
      <c r="Q202" s="25">
        <v>0</v>
      </c>
      <c r="R202" s="26">
        <v>150000</v>
      </c>
      <c r="S202" s="91">
        <f t="shared" si="18"/>
        <v>0.34</v>
      </c>
      <c r="T202" s="91">
        <f t="shared" si="19"/>
        <v>0</v>
      </c>
      <c r="U202" s="27" t="s">
        <v>50</v>
      </c>
      <c r="V202" s="19" t="s">
        <v>51</v>
      </c>
      <c r="W202" s="20">
        <v>45798</v>
      </c>
      <c r="X202" s="22" t="s">
        <v>251</v>
      </c>
      <c r="Y202" s="19" t="s">
        <v>52</v>
      </c>
      <c r="Z202" s="19" t="s">
        <v>52</v>
      </c>
      <c r="AA202" s="19" t="s">
        <v>52</v>
      </c>
      <c r="AB202" s="28"/>
    </row>
    <row r="203" spans="1:28" s="29" customFormat="1" ht="15" customHeight="1" x14ac:dyDescent="0.25">
      <c r="A203" s="14">
        <v>25</v>
      </c>
      <c r="B203" s="15">
        <v>45822</v>
      </c>
      <c r="C203" s="15">
        <f t="shared" si="15"/>
        <v>45830</v>
      </c>
      <c r="D203" s="14">
        <v>12906</v>
      </c>
      <c r="E203" s="16" t="s">
        <v>289</v>
      </c>
      <c r="F203" s="40" t="s">
        <v>290</v>
      </c>
      <c r="G203" s="17" t="s">
        <v>75</v>
      </c>
      <c r="H203" s="18" t="s">
        <v>133</v>
      </c>
      <c r="I203" s="19" t="s">
        <v>198</v>
      </c>
      <c r="J203" s="20">
        <v>45778</v>
      </c>
      <c r="K203" s="20">
        <v>45840</v>
      </c>
      <c r="L203" s="21">
        <v>120000</v>
      </c>
      <c r="M203" s="22">
        <f t="shared" si="16"/>
        <v>122000</v>
      </c>
      <c r="N203" s="23">
        <v>122000</v>
      </c>
      <c r="O203" s="23">
        <v>0</v>
      </c>
      <c r="P203" s="24">
        <f t="shared" si="17"/>
        <v>-2000</v>
      </c>
      <c r="Q203" s="25">
        <v>0</v>
      </c>
      <c r="R203" s="26">
        <v>60000</v>
      </c>
      <c r="S203" s="91">
        <f t="shared" si="18"/>
        <v>0</v>
      </c>
      <c r="T203" s="91">
        <f t="shared" si="19"/>
        <v>0</v>
      </c>
      <c r="U203" s="27" t="s">
        <v>56</v>
      </c>
      <c r="V203" s="19" t="s">
        <v>51</v>
      </c>
      <c r="W203" s="20">
        <v>45810</v>
      </c>
      <c r="X203" s="22" t="s">
        <v>251</v>
      </c>
      <c r="Y203" s="19" t="s">
        <v>52</v>
      </c>
      <c r="Z203" s="19" t="s">
        <v>52</v>
      </c>
      <c r="AA203" s="19" t="s">
        <v>52</v>
      </c>
      <c r="AB203" s="28"/>
    </row>
    <row r="204" spans="1:28" s="29" customFormat="1" ht="15" customHeight="1" x14ac:dyDescent="0.25">
      <c r="A204" s="14">
        <v>26</v>
      </c>
      <c r="B204" s="15">
        <v>45822</v>
      </c>
      <c r="C204" s="15">
        <f t="shared" si="15"/>
        <v>45830</v>
      </c>
      <c r="D204" s="14">
        <v>13015</v>
      </c>
      <c r="E204" s="16" t="s">
        <v>419</v>
      </c>
      <c r="F204" s="40" t="s">
        <v>420</v>
      </c>
      <c r="G204" s="17" t="s">
        <v>75</v>
      </c>
      <c r="H204" s="18" t="s">
        <v>54</v>
      </c>
      <c r="I204" s="19" t="s">
        <v>421</v>
      </c>
      <c r="J204" s="20">
        <v>45798</v>
      </c>
      <c r="K204" s="20">
        <v>45840</v>
      </c>
      <c r="L204" s="21">
        <v>500000</v>
      </c>
      <c r="M204" s="22">
        <f t="shared" si="16"/>
        <v>517000</v>
      </c>
      <c r="N204" s="23">
        <v>517000</v>
      </c>
      <c r="O204" s="23">
        <v>0</v>
      </c>
      <c r="P204" s="24">
        <f t="shared" si="17"/>
        <v>-17000</v>
      </c>
      <c r="Q204" s="25">
        <v>0</v>
      </c>
      <c r="R204" s="26">
        <v>84000</v>
      </c>
      <c r="S204" s="91">
        <f t="shared" si="18"/>
        <v>0</v>
      </c>
      <c r="T204" s="91">
        <f t="shared" si="19"/>
        <v>0</v>
      </c>
      <c r="U204" s="27" t="s">
        <v>56</v>
      </c>
      <c r="V204" s="19" t="s">
        <v>51</v>
      </c>
      <c r="W204" s="20">
        <v>45821</v>
      </c>
      <c r="X204" s="22" t="s">
        <v>251</v>
      </c>
      <c r="Y204" s="19" t="s">
        <v>52</v>
      </c>
      <c r="Z204" s="19" t="s">
        <v>52</v>
      </c>
      <c r="AA204" s="19" t="s">
        <v>52</v>
      </c>
      <c r="AB204" s="28"/>
    </row>
    <row r="205" spans="1:28" s="29" customFormat="1" ht="15" customHeight="1" x14ac:dyDescent="0.25">
      <c r="A205" s="14">
        <v>27</v>
      </c>
      <c r="B205" s="15">
        <v>45826</v>
      </c>
      <c r="C205" s="15">
        <f t="shared" si="15"/>
        <v>45834</v>
      </c>
      <c r="D205" s="14">
        <v>13042</v>
      </c>
      <c r="E205" s="16" t="s">
        <v>432</v>
      </c>
      <c r="F205" s="40" t="s">
        <v>433</v>
      </c>
      <c r="G205" s="17" t="s">
        <v>75</v>
      </c>
      <c r="H205" s="18" t="s">
        <v>113</v>
      </c>
      <c r="I205" s="19" t="s">
        <v>362</v>
      </c>
      <c r="J205" s="20">
        <v>45800</v>
      </c>
      <c r="K205" s="20">
        <v>45840</v>
      </c>
      <c r="L205" s="21">
        <v>200000</v>
      </c>
      <c r="M205" s="22">
        <f t="shared" si="16"/>
        <v>225000</v>
      </c>
      <c r="N205" s="23">
        <v>225000</v>
      </c>
      <c r="O205" s="23">
        <v>0</v>
      </c>
      <c r="P205" s="24">
        <f t="shared" si="17"/>
        <v>-25000</v>
      </c>
      <c r="Q205" s="25">
        <v>0</v>
      </c>
      <c r="R205" s="26">
        <v>144000</v>
      </c>
      <c r="S205" s="91">
        <f t="shared" si="18"/>
        <v>0</v>
      </c>
      <c r="T205" s="91">
        <f t="shared" si="19"/>
        <v>0</v>
      </c>
      <c r="U205" s="27" t="s">
        <v>50</v>
      </c>
      <c r="V205" s="19" t="s">
        <v>51</v>
      </c>
      <c r="W205" s="20">
        <v>45821</v>
      </c>
      <c r="X205" s="22" t="s">
        <v>251</v>
      </c>
      <c r="Y205" s="19" t="s">
        <v>52</v>
      </c>
      <c r="Z205" s="19" t="s">
        <v>52</v>
      </c>
      <c r="AA205" s="19" t="s">
        <v>52</v>
      </c>
      <c r="AB205" s="28"/>
    </row>
    <row r="206" spans="1:28" s="29" customFormat="1" ht="15" customHeight="1" x14ac:dyDescent="0.25">
      <c r="A206" s="14">
        <v>1</v>
      </c>
      <c r="B206" s="15">
        <v>45822</v>
      </c>
      <c r="C206" s="15">
        <f t="shared" si="15"/>
        <v>45830</v>
      </c>
      <c r="D206" s="14">
        <v>12943</v>
      </c>
      <c r="E206" s="16" t="s">
        <v>626</v>
      </c>
      <c r="F206" s="17" t="s">
        <v>627</v>
      </c>
      <c r="G206" s="17" t="s">
        <v>102</v>
      </c>
      <c r="H206" s="18" t="s">
        <v>57</v>
      </c>
      <c r="I206" s="19" t="s">
        <v>94</v>
      </c>
      <c r="J206" s="20">
        <v>45784</v>
      </c>
      <c r="K206" s="20">
        <v>45807</v>
      </c>
      <c r="L206" s="21">
        <v>200000</v>
      </c>
      <c r="M206" s="22">
        <f t="shared" si="16"/>
        <v>198000</v>
      </c>
      <c r="N206" s="23">
        <v>198000</v>
      </c>
      <c r="O206" s="23">
        <v>0</v>
      </c>
      <c r="P206" s="24">
        <f t="shared" si="17"/>
        <v>2000</v>
      </c>
      <c r="Q206" s="25">
        <v>0</v>
      </c>
      <c r="R206" s="26">
        <v>50000</v>
      </c>
      <c r="S206" s="91">
        <f t="shared" si="18"/>
        <v>0.04</v>
      </c>
      <c r="T206" s="91">
        <f t="shared" si="19"/>
        <v>0</v>
      </c>
      <c r="U206" s="27" t="s">
        <v>50</v>
      </c>
      <c r="V206" s="19" t="s">
        <v>51</v>
      </c>
      <c r="W206" s="20">
        <v>45807</v>
      </c>
      <c r="X206" s="22" t="s">
        <v>251</v>
      </c>
      <c r="Y206" s="19" t="s">
        <v>52</v>
      </c>
      <c r="Z206" s="19" t="s">
        <v>52</v>
      </c>
      <c r="AA206" s="19" t="s">
        <v>52</v>
      </c>
      <c r="AB206" s="28"/>
    </row>
    <row r="207" spans="1:28" s="29" customFormat="1" ht="15" customHeight="1" x14ac:dyDescent="0.25">
      <c r="A207" s="14">
        <v>2</v>
      </c>
      <c r="B207" s="15">
        <v>45818</v>
      </c>
      <c r="C207" s="15">
        <f t="shared" si="15"/>
        <v>45826</v>
      </c>
      <c r="D207" s="14">
        <v>12911</v>
      </c>
      <c r="E207" s="16" t="s">
        <v>287</v>
      </c>
      <c r="F207" s="17" t="s">
        <v>288</v>
      </c>
      <c r="G207" s="17" t="s">
        <v>102</v>
      </c>
      <c r="H207" s="18" t="s">
        <v>62</v>
      </c>
      <c r="I207" s="19" t="s">
        <v>63</v>
      </c>
      <c r="J207" s="20">
        <v>45777</v>
      </c>
      <c r="K207" s="20">
        <v>45812</v>
      </c>
      <c r="L207" s="21">
        <v>750000</v>
      </c>
      <c r="M207" s="22">
        <f t="shared" si="16"/>
        <v>744000</v>
      </c>
      <c r="N207" s="23">
        <v>744000</v>
      </c>
      <c r="O207" s="23">
        <v>0</v>
      </c>
      <c r="P207" s="24">
        <f t="shared" si="17"/>
        <v>6000</v>
      </c>
      <c r="Q207" s="25">
        <v>0</v>
      </c>
      <c r="R207" s="26">
        <v>84000</v>
      </c>
      <c r="S207" s="91">
        <f t="shared" si="18"/>
        <v>7.1428571428571425E-2</v>
      </c>
      <c r="T207" s="91">
        <f t="shared" si="19"/>
        <v>0</v>
      </c>
      <c r="U207" s="27" t="s">
        <v>50</v>
      </c>
      <c r="V207" s="19" t="s">
        <v>51</v>
      </c>
      <c r="W207" s="20">
        <v>45800</v>
      </c>
      <c r="X207" s="22" t="s">
        <v>251</v>
      </c>
      <c r="Y207" s="19" t="s">
        <v>52</v>
      </c>
      <c r="Z207" s="19" t="s">
        <v>52</v>
      </c>
      <c r="AA207" s="19" t="s">
        <v>52</v>
      </c>
      <c r="AB207" s="28"/>
    </row>
    <row r="208" spans="1:28" s="29" customFormat="1" ht="15" customHeight="1" x14ac:dyDescent="0.25">
      <c r="A208" s="14">
        <v>3</v>
      </c>
      <c r="B208" s="15">
        <v>45822</v>
      </c>
      <c r="C208" s="15">
        <f t="shared" si="15"/>
        <v>45830</v>
      </c>
      <c r="D208" s="14">
        <v>12985</v>
      </c>
      <c r="E208" s="16" t="s">
        <v>389</v>
      </c>
      <c r="F208" s="17" t="s">
        <v>267</v>
      </c>
      <c r="G208" s="17" t="s">
        <v>102</v>
      </c>
      <c r="H208" s="18" t="s">
        <v>57</v>
      </c>
      <c r="I208" s="19" t="s">
        <v>94</v>
      </c>
      <c r="J208" s="20">
        <v>45792</v>
      </c>
      <c r="K208" s="20">
        <v>45820</v>
      </c>
      <c r="L208" s="21">
        <v>300000</v>
      </c>
      <c r="M208" s="22">
        <f t="shared" si="16"/>
        <v>333000</v>
      </c>
      <c r="N208" s="23">
        <v>333000</v>
      </c>
      <c r="O208" s="23">
        <v>0</v>
      </c>
      <c r="P208" s="24">
        <f t="shared" si="17"/>
        <v>-33000</v>
      </c>
      <c r="Q208" s="25">
        <v>0</v>
      </c>
      <c r="R208" s="26">
        <v>50000</v>
      </c>
      <c r="S208" s="91">
        <f t="shared" si="18"/>
        <v>0</v>
      </c>
      <c r="T208" s="91">
        <f t="shared" si="19"/>
        <v>0</v>
      </c>
      <c r="U208" s="27" t="s">
        <v>50</v>
      </c>
      <c r="V208" s="19" t="s">
        <v>51</v>
      </c>
      <c r="W208" s="20">
        <v>45803</v>
      </c>
      <c r="X208" s="22" t="s">
        <v>251</v>
      </c>
      <c r="Y208" s="19" t="s">
        <v>52</v>
      </c>
      <c r="Z208" s="19" t="s">
        <v>52</v>
      </c>
      <c r="AA208" s="19" t="s">
        <v>52</v>
      </c>
      <c r="AB208" s="28"/>
    </row>
    <row r="209" spans="1:28" s="29" customFormat="1" ht="15" customHeight="1" x14ac:dyDescent="0.25">
      <c r="A209" s="14">
        <v>8</v>
      </c>
      <c r="B209" s="15">
        <v>45818</v>
      </c>
      <c r="C209" s="15">
        <f t="shared" si="15"/>
        <v>45826</v>
      </c>
      <c r="D209" s="14">
        <v>12963</v>
      </c>
      <c r="E209" s="16" t="s">
        <v>372</v>
      </c>
      <c r="F209" s="17" t="s">
        <v>478</v>
      </c>
      <c r="G209" s="17" t="s">
        <v>102</v>
      </c>
      <c r="H209" s="18" t="s">
        <v>57</v>
      </c>
      <c r="I209" s="19" t="s">
        <v>58</v>
      </c>
      <c r="J209" s="20">
        <v>45786</v>
      </c>
      <c r="K209" s="20">
        <v>45839</v>
      </c>
      <c r="L209" s="21">
        <v>1000000</v>
      </c>
      <c r="M209" s="22">
        <f t="shared" si="16"/>
        <v>982000</v>
      </c>
      <c r="N209" s="23">
        <v>982000</v>
      </c>
      <c r="O209" s="23">
        <v>0</v>
      </c>
      <c r="P209" s="24">
        <f t="shared" si="17"/>
        <v>18000</v>
      </c>
      <c r="Q209" s="25">
        <v>0</v>
      </c>
      <c r="R209" s="26">
        <v>48000</v>
      </c>
      <c r="S209" s="91">
        <f t="shared" si="18"/>
        <v>0.375</v>
      </c>
      <c r="T209" s="91">
        <f t="shared" si="19"/>
        <v>0</v>
      </c>
      <c r="U209" s="27" t="s">
        <v>50</v>
      </c>
      <c r="V209" s="19" t="s">
        <v>51</v>
      </c>
      <c r="W209" s="20">
        <v>45812</v>
      </c>
      <c r="X209" s="22" t="s">
        <v>251</v>
      </c>
      <c r="Y209" s="19" t="s">
        <v>52</v>
      </c>
      <c r="Z209" s="19" t="s">
        <v>52</v>
      </c>
      <c r="AA209" s="19" t="s">
        <v>52</v>
      </c>
      <c r="AB209" s="28"/>
    </row>
    <row r="210" spans="1:28" s="29" customFormat="1" ht="15" customHeight="1" x14ac:dyDescent="0.25">
      <c r="A210" s="14">
        <v>12</v>
      </c>
      <c r="B210" s="15">
        <v>45826</v>
      </c>
      <c r="C210" s="15">
        <f t="shared" si="15"/>
        <v>45834</v>
      </c>
      <c r="D210" s="14">
        <v>13055</v>
      </c>
      <c r="E210" s="16" t="s">
        <v>116</v>
      </c>
      <c r="F210" s="17" t="s">
        <v>117</v>
      </c>
      <c r="G210" s="17" t="s">
        <v>102</v>
      </c>
      <c r="H210" s="18" t="s">
        <v>113</v>
      </c>
      <c r="I210" s="19" t="s">
        <v>118</v>
      </c>
      <c r="J210" s="20">
        <v>45805</v>
      </c>
      <c r="K210" s="20">
        <v>45845</v>
      </c>
      <c r="L210" s="21">
        <v>350000</v>
      </c>
      <c r="M210" s="22">
        <f t="shared" si="16"/>
        <v>352000</v>
      </c>
      <c r="N210" s="23">
        <v>352000</v>
      </c>
      <c r="O210" s="23">
        <v>0</v>
      </c>
      <c r="P210" s="24">
        <f t="shared" si="17"/>
        <v>-2000</v>
      </c>
      <c r="Q210" s="25">
        <v>0</v>
      </c>
      <c r="R210" s="26">
        <v>100000</v>
      </c>
      <c r="S210" s="91">
        <f t="shared" si="18"/>
        <v>0</v>
      </c>
      <c r="T210" s="91">
        <f t="shared" si="19"/>
        <v>0</v>
      </c>
      <c r="U210" s="27" t="s">
        <v>50</v>
      </c>
      <c r="V210" s="19" t="s">
        <v>51</v>
      </c>
      <c r="W210" s="20">
        <v>45819</v>
      </c>
      <c r="X210" s="22" t="s">
        <v>251</v>
      </c>
      <c r="Y210" s="19" t="s">
        <v>52</v>
      </c>
      <c r="Z210" s="19" t="s">
        <v>52</v>
      </c>
      <c r="AA210" s="19" t="s">
        <v>52</v>
      </c>
      <c r="AB210" s="28"/>
    </row>
    <row r="211" spans="1:28" s="29" customFormat="1" ht="15" customHeight="1" x14ac:dyDescent="0.25">
      <c r="A211" s="14">
        <v>2</v>
      </c>
      <c r="B211" s="15">
        <v>45826</v>
      </c>
      <c r="C211" s="15">
        <f t="shared" si="15"/>
        <v>45834</v>
      </c>
      <c r="D211" s="14">
        <v>12874</v>
      </c>
      <c r="E211" s="16" t="s">
        <v>609</v>
      </c>
      <c r="F211" s="17" t="s">
        <v>610</v>
      </c>
      <c r="G211" s="17" t="s">
        <v>102</v>
      </c>
      <c r="H211" s="18" t="s">
        <v>133</v>
      </c>
      <c r="I211" s="19" t="s">
        <v>611</v>
      </c>
      <c r="J211" s="20">
        <v>45772</v>
      </c>
      <c r="K211" s="20">
        <v>45778</v>
      </c>
      <c r="L211" s="21">
        <v>25000</v>
      </c>
      <c r="M211" s="22">
        <f t="shared" si="16"/>
        <v>21400</v>
      </c>
      <c r="N211" s="23">
        <v>21400</v>
      </c>
      <c r="O211" s="23">
        <v>0</v>
      </c>
      <c r="P211" s="24">
        <f t="shared" si="17"/>
        <v>3600</v>
      </c>
      <c r="Q211" s="25">
        <v>0</v>
      </c>
      <c r="R211" s="26">
        <v>15000</v>
      </c>
      <c r="S211" s="91">
        <f t="shared" si="18"/>
        <v>0.24</v>
      </c>
      <c r="T211" s="91">
        <f t="shared" si="19"/>
        <v>0</v>
      </c>
      <c r="U211" s="27" t="s">
        <v>56</v>
      </c>
      <c r="V211" s="19" t="s">
        <v>68</v>
      </c>
      <c r="W211" s="20" t="s">
        <v>68</v>
      </c>
      <c r="X211" s="22" t="s">
        <v>251</v>
      </c>
      <c r="Y211" s="19" t="s">
        <v>82</v>
      </c>
      <c r="Z211" s="19" t="s">
        <v>82</v>
      </c>
      <c r="AA211" s="19" t="s">
        <v>82</v>
      </c>
      <c r="AB211" s="28"/>
    </row>
    <row r="212" spans="1:28" s="29" customFormat="1" ht="15" customHeight="1" x14ac:dyDescent="0.25">
      <c r="A212" s="14">
        <v>30</v>
      </c>
      <c r="B212" s="15">
        <v>45832</v>
      </c>
      <c r="C212" s="15">
        <f t="shared" si="15"/>
        <v>45840</v>
      </c>
      <c r="D212" s="14">
        <v>12877</v>
      </c>
      <c r="E212" s="16" t="s">
        <v>232</v>
      </c>
      <c r="F212" s="40" t="s">
        <v>233</v>
      </c>
      <c r="G212" s="17" t="s">
        <v>75</v>
      </c>
      <c r="H212" s="18" t="s">
        <v>542</v>
      </c>
      <c r="I212" s="19" t="s">
        <v>104</v>
      </c>
      <c r="J212" s="20">
        <v>45771</v>
      </c>
      <c r="K212" s="20">
        <v>45806</v>
      </c>
      <c r="L212" s="21">
        <v>3000000</v>
      </c>
      <c r="M212" s="22">
        <f t="shared" si="16"/>
        <v>3297000</v>
      </c>
      <c r="N212" s="23">
        <v>3297000</v>
      </c>
      <c r="O212" s="23">
        <v>0</v>
      </c>
      <c r="P212" s="24">
        <f t="shared" si="17"/>
        <v>-297000</v>
      </c>
      <c r="Q212" s="25">
        <v>0</v>
      </c>
      <c r="R212" s="26">
        <v>150000</v>
      </c>
      <c r="S212" s="91">
        <f t="shared" si="18"/>
        <v>0</v>
      </c>
      <c r="T212" s="91">
        <f t="shared" si="19"/>
        <v>0</v>
      </c>
      <c r="U212" s="27" t="s">
        <v>50</v>
      </c>
      <c r="V212" s="19" t="s">
        <v>51</v>
      </c>
      <c r="W212" s="20">
        <v>45796</v>
      </c>
      <c r="X212" s="22" t="s">
        <v>251</v>
      </c>
      <c r="Y212" s="19" t="s">
        <v>52</v>
      </c>
      <c r="Z212" s="19" t="s">
        <v>52</v>
      </c>
      <c r="AA212" s="19" t="s">
        <v>52</v>
      </c>
      <c r="AB212" s="28"/>
    </row>
    <row r="213" spans="1:28" s="29" customFormat="1" ht="15" customHeight="1" x14ac:dyDescent="0.25">
      <c r="A213" s="14">
        <v>1</v>
      </c>
      <c r="B213" s="15">
        <v>45826</v>
      </c>
      <c r="C213" s="15">
        <f t="shared" si="15"/>
        <v>45834</v>
      </c>
      <c r="D213" s="14">
        <v>13017</v>
      </c>
      <c r="E213" s="16" t="s">
        <v>111</v>
      </c>
      <c r="F213" s="17" t="s">
        <v>481</v>
      </c>
      <c r="G213" s="17" t="s">
        <v>102</v>
      </c>
      <c r="H213" s="18" t="s">
        <v>57</v>
      </c>
      <c r="I213" s="19" t="s">
        <v>94</v>
      </c>
      <c r="J213" s="20">
        <v>45798</v>
      </c>
      <c r="K213" s="20">
        <v>45826</v>
      </c>
      <c r="L213" s="21">
        <v>120000</v>
      </c>
      <c r="M213" s="22">
        <f t="shared" si="16"/>
        <v>142000</v>
      </c>
      <c r="N213" s="23">
        <v>142000</v>
      </c>
      <c r="O213" s="23">
        <v>0</v>
      </c>
      <c r="P213" s="24">
        <f t="shared" si="17"/>
        <v>-22000</v>
      </c>
      <c r="Q213" s="25">
        <v>0</v>
      </c>
      <c r="R213" s="26">
        <v>42000</v>
      </c>
      <c r="S213" s="91">
        <f t="shared" si="18"/>
        <v>0</v>
      </c>
      <c r="T213" s="91">
        <f t="shared" si="19"/>
        <v>0</v>
      </c>
      <c r="U213" s="27" t="s">
        <v>50</v>
      </c>
      <c r="V213" s="19" t="s">
        <v>51</v>
      </c>
      <c r="W213" s="20">
        <v>45817</v>
      </c>
      <c r="X213" s="22" t="s">
        <v>251</v>
      </c>
      <c r="Y213" s="19" t="s">
        <v>52</v>
      </c>
      <c r="Z213" s="19" t="s">
        <v>52</v>
      </c>
      <c r="AA213" s="19" t="s">
        <v>52</v>
      </c>
      <c r="AB213" s="28"/>
    </row>
    <row r="214" spans="1:28" s="29" customFormat="1" ht="15" customHeight="1" x14ac:dyDescent="0.25">
      <c r="A214" s="14">
        <v>2</v>
      </c>
      <c r="B214" s="15">
        <v>45822</v>
      </c>
      <c r="C214" s="15">
        <f t="shared" si="15"/>
        <v>45830</v>
      </c>
      <c r="D214" s="14">
        <v>12861</v>
      </c>
      <c r="E214" s="16" t="s">
        <v>152</v>
      </c>
      <c r="F214" s="17" t="s">
        <v>153</v>
      </c>
      <c r="G214" s="17" t="s">
        <v>132</v>
      </c>
      <c r="H214" s="18" t="s">
        <v>54</v>
      </c>
      <c r="I214" s="19" t="s">
        <v>135</v>
      </c>
      <c r="J214" s="20">
        <v>45771</v>
      </c>
      <c r="K214" s="20">
        <v>45814</v>
      </c>
      <c r="L214" s="21">
        <v>100000</v>
      </c>
      <c r="M214" s="22">
        <f t="shared" si="16"/>
        <v>104400</v>
      </c>
      <c r="N214" s="23">
        <v>104400</v>
      </c>
      <c r="O214" s="23">
        <v>0</v>
      </c>
      <c r="P214" s="24">
        <f t="shared" si="17"/>
        <v>-4400</v>
      </c>
      <c r="Q214" s="25">
        <v>0</v>
      </c>
      <c r="R214" s="26">
        <v>57330</v>
      </c>
      <c r="S214" s="91">
        <f t="shared" si="18"/>
        <v>0</v>
      </c>
      <c r="T214" s="91">
        <f t="shared" si="19"/>
        <v>0</v>
      </c>
      <c r="U214" s="27" t="s">
        <v>56</v>
      </c>
      <c r="V214" s="19" t="s">
        <v>51</v>
      </c>
      <c r="W214" s="20">
        <v>45804</v>
      </c>
      <c r="X214" s="22" t="s">
        <v>251</v>
      </c>
      <c r="Y214" s="19" t="s">
        <v>52</v>
      </c>
      <c r="Z214" s="19" t="s">
        <v>52</v>
      </c>
      <c r="AA214" s="19" t="s">
        <v>52</v>
      </c>
      <c r="AB214" s="28"/>
    </row>
    <row r="215" spans="1:28" s="29" customFormat="1" ht="15" customHeight="1" x14ac:dyDescent="0.25">
      <c r="A215" s="14">
        <v>3</v>
      </c>
      <c r="B215" s="15">
        <v>45832</v>
      </c>
      <c r="C215" s="15">
        <f t="shared" si="15"/>
        <v>45840</v>
      </c>
      <c r="D215" s="14">
        <v>12862</v>
      </c>
      <c r="E215" s="16" t="s">
        <v>158</v>
      </c>
      <c r="F215" s="17" t="s">
        <v>159</v>
      </c>
      <c r="G215" s="17" t="s">
        <v>132</v>
      </c>
      <c r="H215" s="18" t="s">
        <v>54</v>
      </c>
      <c r="I215" s="19" t="s">
        <v>135</v>
      </c>
      <c r="J215" s="20">
        <v>45771</v>
      </c>
      <c r="K215" s="20">
        <v>45814</v>
      </c>
      <c r="L215" s="21">
        <v>275000</v>
      </c>
      <c r="M215" s="22">
        <f t="shared" si="16"/>
        <v>283470</v>
      </c>
      <c r="N215" s="23">
        <v>283470</v>
      </c>
      <c r="O215" s="23">
        <v>0</v>
      </c>
      <c r="P215" s="24">
        <f t="shared" si="17"/>
        <v>-8470</v>
      </c>
      <c r="Q215" s="25">
        <v>0</v>
      </c>
      <c r="R215" s="26">
        <v>57330</v>
      </c>
      <c r="S215" s="91">
        <f t="shared" si="18"/>
        <v>0</v>
      </c>
      <c r="T215" s="91">
        <f t="shared" si="19"/>
        <v>0</v>
      </c>
      <c r="U215" s="27" t="s">
        <v>56</v>
      </c>
      <c r="V215" s="19" t="s">
        <v>51</v>
      </c>
      <c r="W215" s="20">
        <v>45812</v>
      </c>
      <c r="X215" s="22" t="s">
        <v>251</v>
      </c>
      <c r="Y215" s="19" t="s">
        <v>52</v>
      </c>
      <c r="Z215" s="19" t="s">
        <v>52</v>
      </c>
      <c r="AA215" s="19" t="s">
        <v>52</v>
      </c>
      <c r="AB215" s="28"/>
    </row>
    <row r="216" spans="1:28" s="29" customFormat="1" ht="15" customHeight="1" x14ac:dyDescent="0.25">
      <c r="A216" s="14">
        <v>6</v>
      </c>
      <c r="B216" s="15">
        <v>45832</v>
      </c>
      <c r="C216" s="15">
        <f t="shared" si="15"/>
        <v>45840</v>
      </c>
      <c r="D216" s="14">
        <v>12893</v>
      </c>
      <c r="E216" s="16" t="s">
        <v>240</v>
      </c>
      <c r="F216" s="17" t="s">
        <v>241</v>
      </c>
      <c r="G216" s="17" t="s">
        <v>132</v>
      </c>
      <c r="H216" s="18" t="s">
        <v>54</v>
      </c>
      <c r="I216" s="19" t="s">
        <v>104</v>
      </c>
      <c r="J216" s="20">
        <v>45783</v>
      </c>
      <c r="K216" s="20">
        <v>45820</v>
      </c>
      <c r="L216" s="21">
        <v>335000</v>
      </c>
      <c r="M216" s="22">
        <f t="shared" si="16"/>
        <v>377000</v>
      </c>
      <c r="N216" s="23">
        <v>377000</v>
      </c>
      <c r="O216" s="23">
        <v>0</v>
      </c>
      <c r="P216" s="24">
        <f t="shared" si="17"/>
        <v>-42000</v>
      </c>
      <c r="Q216" s="25">
        <v>0</v>
      </c>
      <c r="R216" s="26">
        <v>175500</v>
      </c>
      <c r="S216" s="91">
        <f t="shared" si="18"/>
        <v>0</v>
      </c>
      <c r="T216" s="91">
        <f t="shared" si="19"/>
        <v>0</v>
      </c>
      <c r="U216" s="27" t="s">
        <v>56</v>
      </c>
      <c r="V216" s="19" t="s">
        <v>51</v>
      </c>
      <c r="W216" s="20">
        <v>45821</v>
      </c>
      <c r="X216" s="22" t="s">
        <v>251</v>
      </c>
      <c r="Y216" s="19" t="s">
        <v>52</v>
      </c>
      <c r="Z216" s="19" t="s">
        <v>52</v>
      </c>
      <c r="AA216" s="19" t="s">
        <v>52</v>
      </c>
      <c r="AB216" s="28"/>
    </row>
    <row r="217" spans="1:28" s="29" customFormat="1" ht="15" customHeight="1" x14ac:dyDescent="0.25">
      <c r="A217" s="14">
        <v>2</v>
      </c>
      <c r="B217" s="15">
        <v>45832</v>
      </c>
      <c r="C217" s="15">
        <f t="shared" si="15"/>
        <v>45840</v>
      </c>
      <c r="D217" s="14">
        <v>12949</v>
      </c>
      <c r="E217" s="16" t="s">
        <v>660</v>
      </c>
      <c r="F217" s="17" t="s">
        <v>629</v>
      </c>
      <c r="G217" s="17" t="s">
        <v>47</v>
      </c>
      <c r="H217" s="18" t="s">
        <v>54</v>
      </c>
      <c r="I217" s="19" t="s">
        <v>55</v>
      </c>
      <c r="J217" s="20">
        <v>45784</v>
      </c>
      <c r="K217" s="20">
        <v>45824</v>
      </c>
      <c r="L217" s="21">
        <v>300000</v>
      </c>
      <c r="M217" s="22">
        <f t="shared" si="16"/>
        <v>315000</v>
      </c>
      <c r="N217" s="23">
        <v>315000</v>
      </c>
      <c r="O217" s="23">
        <v>0</v>
      </c>
      <c r="P217" s="24">
        <f t="shared" si="17"/>
        <v>-15000</v>
      </c>
      <c r="Q217" s="25">
        <v>0</v>
      </c>
      <c r="R217" s="26">
        <v>50000</v>
      </c>
      <c r="S217" s="91">
        <f t="shared" si="18"/>
        <v>0</v>
      </c>
      <c r="T217" s="91">
        <f t="shared" si="19"/>
        <v>0</v>
      </c>
      <c r="U217" s="27" t="s">
        <v>56</v>
      </c>
      <c r="V217" s="19" t="s">
        <v>51</v>
      </c>
      <c r="W217" s="20">
        <v>45807</v>
      </c>
      <c r="X217" s="22" t="s">
        <v>251</v>
      </c>
      <c r="Y217" s="19" t="s">
        <v>52</v>
      </c>
      <c r="Z217" s="19" t="s">
        <v>52</v>
      </c>
      <c r="AA217" s="19" t="s">
        <v>52</v>
      </c>
      <c r="AB217" s="42"/>
    </row>
    <row r="218" spans="1:28" s="29" customFormat="1" ht="15" customHeight="1" x14ac:dyDescent="0.25">
      <c r="A218" s="14">
        <v>3</v>
      </c>
      <c r="B218" s="15">
        <v>45838</v>
      </c>
      <c r="C218" s="15">
        <f t="shared" si="15"/>
        <v>45846</v>
      </c>
      <c r="D218" s="14">
        <v>13011</v>
      </c>
      <c r="E218" s="16" t="s">
        <v>482</v>
      </c>
      <c r="F218" s="17" t="s">
        <v>483</v>
      </c>
      <c r="G218" s="17" t="s">
        <v>47</v>
      </c>
      <c r="H218" s="18" t="s">
        <v>57</v>
      </c>
      <c r="I218" s="19" t="s">
        <v>58</v>
      </c>
      <c r="J218" s="20">
        <v>45797</v>
      </c>
      <c r="K218" s="20">
        <v>45825</v>
      </c>
      <c r="L218" s="21">
        <v>1200000</v>
      </c>
      <c r="M218" s="22">
        <f t="shared" si="16"/>
        <v>1273000</v>
      </c>
      <c r="N218" s="23">
        <v>1273000</v>
      </c>
      <c r="O218" s="23">
        <v>0</v>
      </c>
      <c r="P218" s="24">
        <f t="shared" si="17"/>
        <v>-73000</v>
      </c>
      <c r="Q218" s="25">
        <v>0</v>
      </c>
      <c r="R218" s="26">
        <v>50000</v>
      </c>
      <c r="S218" s="91">
        <f t="shared" si="18"/>
        <v>0</v>
      </c>
      <c r="T218" s="91">
        <f t="shared" si="19"/>
        <v>0</v>
      </c>
      <c r="U218" s="27" t="s">
        <v>50</v>
      </c>
      <c r="V218" s="19" t="s">
        <v>51</v>
      </c>
      <c r="W218" s="20">
        <v>45826</v>
      </c>
      <c r="X218" s="22" t="s">
        <v>251</v>
      </c>
      <c r="Y218" s="19" t="s">
        <v>52</v>
      </c>
      <c r="Z218" s="19" t="s">
        <v>52</v>
      </c>
      <c r="AA218" s="19" t="s">
        <v>52</v>
      </c>
      <c r="AB218" s="42"/>
    </row>
    <row r="219" spans="1:28" s="29" customFormat="1" ht="15" customHeight="1" x14ac:dyDescent="0.25">
      <c r="A219" s="14">
        <v>4</v>
      </c>
      <c r="B219" s="15">
        <v>45838</v>
      </c>
      <c r="C219" s="15">
        <f t="shared" si="15"/>
        <v>45846</v>
      </c>
      <c r="D219" s="14">
        <v>13018</v>
      </c>
      <c r="E219" s="16" t="s">
        <v>671</v>
      </c>
      <c r="F219" s="17" t="s">
        <v>672</v>
      </c>
      <c r="G219" s="17" t="s">
        <v>47</v>
      </c>
      <c r="H219" s="18" t="s">
        <v>57</v>
      </c>
      <c r="I219" s="19" t="s">
        <v>58</v>
      </c>
      <c r="J219" s="20">
        <v>45798</v>
      </c>
      <c r="K219" s="20">
        <v>45826</v>
      </c>
      <c r="L219" s="21">
        <v>252000</v>
      </c>
      <c r="M219" s="22">
        <f t="shared" si="16"/>
        <v>248000</v>
      </c>
      <c r="N219" s="23">
        <v>248000</v>
      </c>
      <c r="O219" s="23">
        <v>0</v>
      </c>
      <c r="P219" s="24">
        <f t="shared" si="17"/>
        <v>4000</v>
      </c>
      <c r="Q219" s="25">
        <v>0</v>
      </c>
      <c r="R219" s="26">
        <v>42000</v>
      </c>
      <c r="S219" s="91">
        <f t="shared" si="18"/>
        <v>9.5238095238095233E-2</v>
      </c>
      <c r="T219" s="91">
        <f t="shared" si="19"/>
        <v>0</v>
      </c>
      <c r="U219" s="27" t="s">
        <v>50</v>
      </c>
      <c r="V219" s="19" t="s">
        <v>51</v>
      </c>
      <c r="W219" s="20">
        <v>45826</v>
      </c>
      <c r="X219" s="22" t="s">
        <v>251</v>
      </c>
      <c r="Y219" s="19" t="s">
        <v>52</v>
      </c>
      <c r="Z219" s="19" t="s">
        <v>52</v>
      </c>
      <c r="AA219" s="19" t="s">
        <v>52</v>
      </c>
      <c r="AB219" s="42"/>
    </row>
    <row r="220" spans="1:28" s="29" customFormat="1" ht="15" customHeight="1" x14ac:dyDescent="0.25">
      <c r="A220" s="14">
        <v>9</v>
      </c>
      <c r="B220" s="15">
        <v>45839</v>
      </c>
      <c r="C220" s="15">
        <f t="shared" si="15"/>
        <v>45847</v>
      </c>
      <c r="D220" s="14">
        <v>13099</v>
      </c>
      <c r="E220" s="16" t="s">
        <v>403</v>
      </c>
      <c r="F220" s="17" t="s">
        <v>69</v>
      </c>
      <c r="G220" s="17" t="s">
        <v>47</v>
      </c>
      <c r="H220" s="18" t="s">
        <v>542</v>
      </c>
      <c r="I220" s="19" t="s">
        <v>70</v>
      </c>
      <c r="J220" s="20">
        <v>45813</v>
      </c>
      <c r="K220" s="20">
        <v>45855</v>
      </c>
      <c r="L220" s="21">
        <v>1000000</v>
      </c>
      <c r="M220" s="22">
        <f t="shared" si="16"/>
        <v>1033000</v>
      </c>
      <c r="N220" s="23">
        <v>1033000</v>
      </c>
      <c r="O220" s="23">
        <v>0</v>
      </c>
      <c r="P220" s="24">
        <f t="shared" si="17"/>
        <v>-33000</v>
      </c>
      <c r="Q220" s="25">
        <v>0</v>
      </c>
      <c r="R220" s="26">
        <v>50000</v>
      </c>
      <c r="S220" s="91">
        <f t="shared" si="18"/>
        <v>0</v>
      </c>
      <c r="T220" s="91">
        <f t="shared" si="19"/>
        <v>0</v>
      </c>
      <c r="U220" s="27" t="s">
        <v>50</v>
      </c>
      <c r="V220" s="19" t="s">
        <v>51</v>
      </c>
      <c r="W220" s="20">
        <v>45833</v>
      </c>
      <c r="X220" s="22" t="s">
        <v>251</v>
      </c>
      <c r="Y220" s="19" t="s">
        <v>52</v>
      </c>
      <c r="Z220" s="19" t="s">
        <v>52</v>
      </c>
      <c r="AA220" s="19" t="s">
        <v>52</v>
      </c>
      <c r="AB220" s="42"/>
    </row>
    <row r="221" spans="1:28" s="29" customFormat="1" ht="15" customHeight="1" x14ac:dyDescent="0.25">
      <c r="A221" s="14">
        <v>5</v>
      </c>
      <c r="B221" s="15">
        <v>45836</v>
      </c>
      <c r="C221" s="15">
        <f t="shared" si="15"/>
        <v>45844</v>
      </c>
      <c r="D221" s="14">
        <v>12951</v>
      </c>
      <c r="E221" s="16" t="s">
        <v>214</v>
      </c>
      <c r="F221" s="40" t="s">
        <v>215</v>
      </c>
      <c r="G221" s="17" t="s">
        <v>75</v>
      </c>
      <c r="H221" s="18" t="s">
        <v>542</v>
      </c>
      <c r="I221" s="19" t="s">
        <v>104</v>
      </c>
      <c r="J221" s="20">
        <v>45785</v>
      </c>
      <c r="K221" s="20">
        <v>45825</v>
      </c>
      <c r="L221" s="21">
        <v>50000</v>
      </c>
      <c r="M221" s="22">
        <f t="shared" si="16"/>
        <v>51000</v>
      </c>
      <c r="N221" s="23">
        <v>51000</v>
      </c>
      <c r="O221" s="23">
        <v>0</v>
      </c>
      <c r="P221" s="24">
        <f t="shared" si="17"/>
        <v>-1000</v>
      </c>
      <c r="Q221" s="25">
        <v>0</v>
      </c>
      <c r="R221" s="26">
        <v>50000</v>
      </c>
      <c r="S221" s="91">
        <f t="shared" si="18"/>
        <v>0</v>
      </c>
      <c r="T221" s="91">
        <f t="shared" si="19"/>
        <v>0</v>
      </c>
      <c r="U221" s="27" t="s">
        <v>50</v>
      </c>
      <c r="V221" s="19" t="s">
        <v>51</v>
      </c>
      <c r="W221" s="20">
        <v>45833</v>
      </c>
      <c r="X221" s="22" t="s">
        <v>251</v>
      </c>
      <c r="Y221" s="19" t="s">
        <v>52</v>
      </c>
      <c r="Z221" s="19" t="s">
        <v>52</v>
      </c>
      <c r="AA221" s="19" t="s">
        <v>52</v>
      </c>
      <c r="AB221" s="28"/>
    </row>
    <row r="222" spans="1:28" s="29" customFormat="1" ht="15" customHeight="1" x14ac:dyDescent="0.25">
      <c r="A222" s="14">
        <v>7</v>
      </c>
      <c r="B222" s="15">
        <v>45839</v>
      </c>
      <c r="C222" s="15">
        <f t="shared" si="15"/>
        <v>45847</v>
      </c>
      <c r="D222" s="14">
        <v>12944</v>
      </c>
      <c r="E222" s="16" t="s">
        <v>632</v>
      </c>
      <c r="F222" s="40" t="s">
        <v>633</v>
      </c>
      <c r="G222" s="17" t="s">
        <v>75</v>
      </c>
      <c r="H222" s="18" t="s">
        <v>78</v>
      </c>
      <c r="I222" s="19" t="s">
        <v>79</v>
      </c>
      <c r="J222" s="20">
        <v>45785</v>
      </c>
      <c r="K222" s="20">
        <v>45826</v>
      </c>
      <c r="L222" s="21">
        <v>840000</v>
      </c>
      <c r="M222" s="22">
        <f t="shared" si="16"/>
        <v>817500</v>
      </c>
      <c r="N222" s="23">
        <v>817500</v>
      </c>
      <c r="O222" s="23">
        <v>0</v>
      </c>
      <c r="P222" s="24">
        <f t="shared" si="17"/>
        <v>22500</v>
      </c>
      <c r="Q222" s="25">
        <v>0</v>
      </c>
      <c r="R222" s="26">
        <v>105000</v>
      </c>
      <c r="S222" s="91">
        <f t="shared" si="18"/>
        <v>0.21428571428571427</v>
      </c>
      <c r="T222" s="91">
        <f t="shared" si="19"/>
        <v>0</v>
      </c>
      <c r="U222" s="27" t="s">
        <v>56</v>
      </c>
      <c r="V222" s="19" t="s">
        <v>51</v>
      </c>
      <c r="W222" s="20">
        <v>45826</v>
      </c>
      <c r="X222" s="22" t="s">
        <v>251</v>
      </c>
      <c r="Y222" s="19" t="s">
        <v>52</v>
      </c>
      <c r="Z222" s="19" t="s">
        <v>52</v>
      </c>
      <c r="AA222" s="19" t="s">
        <v>52</v>
      </c>
      <c r="AB222" s="28"/>
    </row>
    <row r="223" spans="1:28" s="29" customFormat="1" ht="15" customHeight="1" x14ac:dyDescent="0.25">
      <c r="A223" s="14">
        <v>10</v>
      </c>
      <c r="B223" s="15">
        <v>45838</v>
      </c>
      <c r="C223" s="15">
        <f t="shared" si="15"/>
        <v>45846</v>
      </c>
      <c r="D223" s="14">
        <v>13016</v>
      </c>
      <c r="E223" s="16" t="s">
        <v>436</v>
      </c>
      <c r="F223" s="40" t="s">
        <v>437</v>
      </c>
      <c r="G223" s="17" t="s">
        <v>75</v>
      </c>
      <c r="H223" s="18" t="s">
        <v>57</v>
      </c>
      <c r="I223" s="19" t="s">
        <v>94</v>
      </c>
      <c r="J223" s="20">
        <v>45799</v>
      </c>
      <c r="K223" s="20">
        <v>45826</v>
      </c>
      <c r="L223" s="21">
        <v>600000</v>
      </c>
      <c r="M223" s="22">
        <f t="shared" si="16"/>
        <v>570000</v>
      </c>
      <c r="N223" s="23">
        <v>570000</v>
      </c>
      <c r="O223" s="23">
        <v>0</v>
      </c>
      <c r="P223" s="24">
        <f t="shared" si="17"/>
        <v>30000</v>
      </c>
      <c r="Q223" s="25">
        <v>0</v>
      </c>
      <c r="R223" s="26">
        <v>150000</v>
      </c>
      <c r="S223" s="91">
        <f t="shared" si="18"/>
        <v>0.2</v>
      </c>
      <c r="T223" s="91">
        <f t="shared" si="19"/>
        <v>0</v>
      </c>
      <c r="U223" s="27" t="s">
        <v>50</v>
      </c>
      <c r="V223" s="19" t="s">
        <v>51</v>
      </c>
      <c r="W223" s="20">
        <v>45811</v>
      </c>
      <c r="X223" s="22" t="s">
        <v>251</v>
      </c>
      <c r="Y223" s="19" t="s">
        <v>52</v>
      </c>
      <c r="Z223" s="19" t="s">
        <v>52</v>
      </c>
      <c r="AA223" s="19" t="s">
        <v>52</v>
      </c>
      <c r="AB223" s="28"/>
    </row>
    <row r="224" spans="1:28" s="29" customFormat="1" ht="15" customHeight="1" x14ac:dyDescent="0.25">
      <c r="A224" s="14">
        <v>14</v>
      </c>
      <c r="B224" s="15">
        <v>45838</v>
      </c>
      <c r="C224" s="15">
        <f t="shared" si="15"/>
        <v>45846</v>
      </c>
      <c r="D224" s="14">
        <v>13043</v>
      </c>
      <c r="E224" s="16" t="s">
        <v>344</v>
      </c>
      <c r="F224" s="40" t="s">
        <v>345</v>
      </c>
      <c r="G224" s="17" t="s">
        <v>75</v>
      </c>
      <c r="H224" s="18" t="s">
        <v>542</v>
      </c>
      <c r="I224" s="19" t="s">
        <v>302</v>
      </c>
      <c r="J224" s="20">
        <v>45804</v>
      </c>
      <c r="K224" s="20">
        <v>45833</v>
      </c>
      <c r="L224" s="21">
        <v>600000</v>
      </c>
      <c r="M224" s="22">
        <f t="shared" si="16"/>
        <v>612000</v>
      </c>
      <c r="N224" s="23">
        <v>612000</v>
      </c>
      <c r="O224" s="23">
        <v>0</v>
      </c>
      <c r="P224" s="24">
        <f t="shared" si="17"/>
        <v>-12000</v>
      </c>
      <c r="Q224" s="25">
        <v>0</v>
      </c>
      <c r="R224" s="26">
        <v>150000</v>
      </c>
      <c r="S224" s="91">
        <f t="shared" si="18"/>
        <v>0</v>
      </c>
      <c r="T224" s="91">
        <f t="shared" si="19"/>
        <v>0</v>
      </c>
      <c r="U224" s="27" t="s">
        <v>50</v>
      </c>
      <c r="V224" s="19" t="s">
        <v>51</v>
      </c>
      <c r="W224" s="20">
        <v>45828</v>
      </c>
      <c r="X224" s="22" t="s">
        <v>251</v>
      </c>
      <c r="Y224" s="19" t="s">
        <v>52</v>
      </c>
      <c r="Z224" s="19" t="s">
        <v>52</v>
      </c>
      <c r="AA224" s="19" t="s">
        <v>52</v>
      </c>
      <c r="AB224" s="28"/>
    </row>
    <row r="225" spans="1:28" s="29" customFormat="1" ht="15" customHeight="1" x14ac:dyDescent="0.25">
      <c r="A225" s="14">
        <v>18</v>
      </c>
      <c r="B225" s="15">
        <v>45838</v>
      </c>
      <c r="C225" s="15">
        <f t="shared" si="15"/>
        <v>45846</v>
      </c>
      <c r="D225" s="14">
        <v>13080</v>
      </c>
      <c r="E225" s="16" t="s">
        <v>230</v>
      </c>
      <c r="F225" s="40" t="s">
        <v>231</v>
      </c>
      <c r="G225" s="17" t="s">
        <v>75</v>
      </c>
      <c r="H225" s="18" t="s">
        <v>57</v>
      </c>
      <c r="I225" s="19" t="s">
        <v>81</v>
      </c>
      <c r="J225" s="20">
        <v>45810</v>
      </c>
      <c r="K225" s="20">
        <v>45838</v>
      </c>
      <c r="L225" s="21">
        <v>500000</v>
      </c>
      <c r="M225" s="22">
        <f t="shared" si="16"/>
        <v>507000</v>
      </c>
      <c r="N225" s="23">
        <v>507000</v>
      </c>
      <c r="O225" s="23">
        <v>0</v>
      </c>
      <c r="P225" s="24">
        <f t="shared" si="17"/>
        <v>-7000</v>
      </c>
      <c r="Q225" s="25">
        <v>0</v>
      </c>
      <c r="R225" s="26">
        <v>150000</v>
      </c>
      <c r="S225" s="91">
        <f t="shared" si="18"/>
        <v>0</v>
      </c>
      <c r="T225" s="91">
        <f t="shared" si="19"/>
        <v>0</v>
      </c>
      <c r="U225" s="27" t="s">
        <v>50</v>
      </c>
      <c r="V225" s="19" t="s">
        <v>51</v>
      </c>
      <c r="W225" s="20">
        <v>45833</v>
      </c>
      <c r="X225" s="22" t="s">
        <v>251</v>
      </c>
      <c r="Y225" s="19" t="s">
        <v>52</v>
      </c>
      <c r="Z225" s="19" t="s">
        <v>52</v>
      </c>
      <c r="AA225" s="19" t="s">
        <v>52</v>
      </c>
      <c r="AB225" s="28"/>
    </row>
    <row r="226" spans="1:28" s="29" customFormat="1" ht="15" customHeight="1" x14ac:dyDescent="0.25">
      <c r="A226" s="14">
        <v>25</v>
      </c>
      <c r="B226" s="15">
        <v>45839</v>
      </c>
      <c r="C226" s="15">
        <f t="shared" si="15"/>
        <v>45847</v>
      </c>
      <c r="D226" s="14">
        <v>13009</v>
      </c>
      <c r="E226" s="16" t="s">
        <v>363</v>
      </c>
      <c r="F226" s="40" t="s">
        <v>364</v>
      </c>
      <c r="G226" s="17" t="s">
        <v>75</v>
      </c>
      <c r="H226" s="18" t="s">
        <v>133</v>
      </c>
      <c r="I226" s="19" t="s">
        <v>198</v>
      </c>
      <c r="J226" s="20">
        <v>45798</v>
      </c>
      <c r="K226" s="20">
        <v>45854</v>
      </c>
      <c r="L226" s="21">
        <v>100000</v>
      </c>
      <c r="M226" s="22">
        <f t="shared" si="16"/>
        <v>106000</v>
      </c>
      <c r="N226" s="23">
        <v>106000</v>
      </c>
      <c r="O226" s="23">
        <v>0</v>
      </c>
      <c r="P226" s="24">
        <f t="shared" si="17"/>
        <v>-6000</v>
      </c>
      <c r="Q226" s="25">
        <v>0</v>
      </c>
      <c r="R226" s="26">
        <v>60000</v>
      </c>
      <c r="S226" s="91">
        <f t="shared" si="18"/>
        <v>0</v>
      </c>
      <c r="T226" s="91">
        <f t="shared" si="19"/>
        <v>0</v>
      </c>
      <c r="U226" s="27" t="s">
        <v>56</v>
      </c>
      <c r="V226" s="19" t="s">
        <v>51</v>
      </c>
      <c r="W226" s="20">
        <v>45821</v>
      </c>
      <c r="X226" s="22" t="s">
        <v>251</v>
      </c>
      <c r="Y226" s="19" t="s">
        <v>52</v>
      </c>
      <c r="Z226" s="19" t="s">
        <v>52</v>
      </c>
      <c r="AA226" s="19" t="s">
        <v>52</v>
      </c>
      <c r="AB226" s="28"/>
    </row>
    <row r="227" spans="1:28" s="29" customFormat="1" ht="15" customHeight="1" x14ac:dyDescent="0.25">
      <c r="A227" s="14">
        <v>28</v>
      </c>
      <c r="B227" s="15">
        <v>45838</v>
      </c>
      <c r="C227" s="15">
        <f t="shared" si="15"/>
        <v>45846</v>
      </c>
      <c r="D227" s="14">
        <v>13067</v>
      </c>
      <c r="E227" s="16" t="s">
        <v>413</v>
      </c>
      <c r="F227" s="40" t="s">
        <v>414</v>
      </c>
      <c r="G227" s="17" t="s">
        <v>75</v>
      </c>
      <c r="H227" s="18" t="s">
        <v>542</v>
      </c>
      <c r="I227" s="19" t="s">
        <v>104</v>
      </c>
      <c r="J227" s="20">
        <v>45806</v>
      </c>
      <c r="K227" s="20">
        <v>45866</v>
      </c>
      <c r="L227" s="21">
        <v>2000000</v>
      </c>
      <c r="M227" s="22">
        <f t="shared" si="16"/>
        <v>1950000</v>
      </c>
      <c r="N227" s="23">
        <v>1950000</v>
      </c>
      <c r="O227" s="23">
        <v>0</v>
      </c>
      <c r="P227" s="24">
        <f t="shared" si="17"/>
        <v>50000</v>
      </c>
      <c r="Q227" s="25">
        <v>0</v>
      </c>
      <c r="R227" s="26">
        <v>150000</v>
      </c>
      <c r="S227" s="91">
        <f t="shared" si="18"/>
        <v>0.33333333333333331</v>
      </c>
      <c r="T227" s="91">
        <f t="shared" si="19"/>
        <v>0</v>
      </c>
      <c r="U227" s="27" t="s">
        <v>50</v>
      </c>
      <c r="V227" s="19" t="s">
        <v>51</v>
      </c>
      <c r="W227" s="20">
        <v>45828</v>
      </c>
      <c r="X227" s="22" t="s">
        <v>251</v>
      </c>
      <c r="Y227" s="19" t="s">
        <v>52</v>
      </c>
      <c r="Z227" s="19" t="s">
        <v>52</v>
      </c>
      <c r="AA227" s="19" t="s">
        <v>52</v>
      </c>
      <c r="AB227" s="28"/>
    </row>
    <row r="228" spans="1:28" s="29" customFormat="1" ht="15" customHeight="1" x14ac:dyDescent="0.25">
      <c r="A228" s="14">
        <v>3</v>
      </c>
      <c r="B228" s="15">
        <v>45838</v>
      </c>
      <c r="C228" s="15">
        <f t="shared" si="15"/>
        <v>45846</v>
      </c>
      <c r="D228" s="14">
        <v>13062</v>
      </c>
      <c r="E228" s="16" t="s">
        <v>674</v>
      </c>
      <c r="F228" s="17" t="s">
        <v>675</v>
      </c>
      <c r="G228" s="17" t="s">
        <v>102</v>
      </c>
      <c r="H228" s="18" t="s">
        <v>542</v>
      </c>
      <c r="I228" s="19" t="s">
        <v>104</v>
      </c>
      <c r="J228" s="20">
        <v>45805</v>
      </c>
      <c r="K228" s="20">
        <v>45838</v>
      </c>
      <c r="L228" s="21">
        <v>200000</v>
      </c>
      <c r="M228" s="22">
        <f t="shared" si="16"/>
        <v>192000</v>
      </c>
      <c r="N228" s="23">
        <v>192000</v>
      </c>
      <c r="O228" s="23">
        <v>0</v>
      </c>
      <c r="P228" s="24">
        <f t="shared" si="17"/>
        <v>8000</v>
      </c>
      <c r="Q228" s="25">
        <v>0</v>
      </c>
      <c r="R228" s="26">
        <v>70000</v>
      </c>
      <c r="S228" s="91">
        <f t="shared" si="18"/>
        <v>0.11428571428571428</v>
      </c>
      <c r="T228" s="91">
        <f t="shared" si="19"/>
        <v>0</v>
      </c>
      <c r="U228" s="27" t="s">
        <v>50</v>
      </c>
      <c r="V228" s="19" t="s">
        <v>51</v>
      </c>
      <c r="W228" s="20">
        <v>45826</v>
      </c>
      <c r="X228" s="22" t="s">
        <v>251</v>
      </c>
      <c r="Y228" s="19" t="s">
        <v>52</v>
      </c>
      <c r="Z228" s="19" t="s">
        <v>52</v>
      </c>
      <c r="AA228" s="19" t="s">
        <v>52</v>
      </c>
      <c r="AB228" s="28"/>
    </row>
    <row r="229" spans="1:28" s="29" customFormat="1" ht="15" customHeight="1" x14ac:dyDescent="0.25">
      <c r="A229" s="14">
        <v>2</v>
      </c>
      <c r="B229" s="15">
        <v>45839</v>
      </c>
      <c r="C229" s="15">
        <f t="shared" si="15"/>
        <v>45847</v>
      </c>
      <c r="D229" s="14">
        <v>12907</v>
      </c>
      <c r="E229" s="16" t="s">
        <v>333</v>
      </c>
      <c r="F229" s="17" t="s">
        <v>334</v>
      </c>
      <c r="G229" s="17" t="s">
        <v>132</v>
      </c>
      <c r="H229" s="18" t="s">
        <v>162</v>
      </c>
      <c r="I229" s="19" t="s">
        <v>198</v>
      </c>
      <c r="J229" s="20">
        <v>45776</v>
      </c>
      <c r="K229" s="20">
        <v>45817</v>
      </c>
      <c r="L229" s="21">
        <v>350000</v>
      </c>
      <c r="M229" s="22">
        <f t="shared" si="16"/>
        <v>392770</v>
      </c>
      <c r="N229" s="23">
        <v>392770</v>
      </c>
      <c r="O229" s="23">
        <v>0</v>
      </c>
      <c r="P229" s="24">
        <f t="shared" si="17"/>
        <v>-42770</v>
      </c>
      <c r="Q229" s="25">
        <v>0</v>
      </c>
      <c r="R229" s="26">
        <v>324000</v>
      </c>
      <c r="S229" s="91">
        <f t="shared" si="18"/>
        <v>0</v>
      </c>
      <c r="T229" s="91">
        <f t="shared" si="19"/>
        <v>0</v>
      </c>
      <c r="U229" s="27" t="s">
        <v>56</v>
      </c>
      <c r="V229" s="19" t="s">
        <v>51</v>
      </c>
      <c r="W229" s="20">
        <v>45812</v>
      </c>
      <c r="X229" s="22" t="s">
        <v>251</v>
      </c>
      <c r="Y229" s="19" t="s">
        <v>52</v>
      </c>
      <c r="Z229" s="19" t="s">
        <v>52</v>
      </c>
      <c r="AA229" s="19" t="s">
        <v>52</v>
      </c>
      <c r="AB229" s="28"/>
    </row>
    <row r="230" spans="1:28" s="29" customFormat="1" ht="15" customHeight="1" x14ac:dyDescent="0.25">
      <c r="A230" s="14">
        <v>4</v>
      </c>
      <c r="B230" s="15">
        <v>45839</v>
      </c>
      <c r="C230" s="15">
        <f t="shared" ref="C230:C293" si="20">B230+8</f>
        <v>45847</v>
      </c>
      <c r="D230" s="14">
        <v>13000</v>
      </c>
      <c r="E230" s="16" t="s">
        <v>358</v>
      </c>
      <c r="F230" s="17" t="s">
        <v>359</v>
      </c>
      <c r="G230" s="17" t="s">
        <v>132</v>
      </c>
      <c r="H230" s="18" t="s">
        <v>162</v>
      </c>
      <c r="I230" s="19" t="s">
        <v>198</v>
      </c>
      <c r="J230" s="20">
        <v>45793</v>
      </c>
      <c r="K230" s="20">
        <v>45824</v>
      </c>
      <c r="L230" s="21">
        <v>350000</v>
      </c>
      <c r="M230" s="22">
        <f t="shared" ref="M230:M293" si="21">SUM(N230:O230)</f>
        <v>412570</v>
      </c>
      <c r="N230" s="23">
        <v>412570</v>
      </c>
      <c r="O230" s="23">
        <v>0</v>
      </c>
      <c r="P230" s="24">
        <f t="shared" ref="P230:P293" si="22">L230-N230</f>
        <v>-62570</v>
      </c>
      <c r="Q230" s="25">
        <v>0</v>
      </c>
      <c r="R230" s="26">
        <v>324000</v>
      </c>
      <c r="S230" s="91">
        <f t="shared" si="18"/>
        <v>0</v>
      </c>
      <c r="T230" s="91">
        <f t="shared" si="19"/>
        <v>0</v>
      </c>
      <c r="U230" s="27" t="s">
        <v>56</v>
      </c>
      <c r="V230" s="19" t="s">
        <v>51</v>
      </c>
      <c r="W230" s="20">
        <v>45830</v>
      </c>
      <c r="X230" s="22" t="s">
        <v>251</v>
      </c>
      <c r="Y230" s="19" t="s">
        <v>52</v>
      </c>
      <c r="Z230" s="19" t="s">
        <v>52</v>
      </c>
      <c r="AA230" s="19" t="s">
        <v>52</v>
      </c>
      <c r="AB230" s="28"/>
    </row>
    <row r="231" spans="1:28" s="29" customFormat="1" ht="15" customHeight="1" x14ac:dyDescent="0.25">
      <c r="A231" s="14">
        <v>7</v>
      </c>
      <c r="B231" s="15">
        <v>45838</v>
      </c>
      <c r="C231" s="15">
        <f t="shared" si="20"/>
        <v>45846</v>
      </c>
      <c r="D231" s="14">
        <v>13012</v>
      </c>
      <c r="E231" s="16" t="s">
        <v>451</v>
      </c>
      <c r="F231" s="17" t="s">
        <v>326</v>
      </c>
      <c r="G231" s="17" t="s">
        <v>132</v>
      </c>
      <c r="H231" s="18" t="s">
        <v>162</v>
      </c>
      <c r="I231" s="19" t="s">
        <v>198</v>
      </c>
      <c r="J231" s="20">
        <v>45797</v>
      </c>
      <c r="K231" s="20">
        <v>45839</v>
      </c>
      <c r="L231" s="21">
        <v>350000</v>
      </c>
      <c r="M231" s="22">
        <f t="shared" si="21"/>
        <v>396480</v>
      </c>
      <c r="N231" s="23">
        <v>396480</v>
      </c>
      <c r="O231" s="23">
        <v>0</v>
      </c>
      <c r="P231" s="24">
        <f t="shared" si="22"/>
        <v>-46480</v>
      </c>
      <c r="Q231" s="25">
        <v>0</v>
      </c>
      <c r="R231" s="26">
        <v>324000</v>
      </c>
      <c r="S231" s="91">
        <f t="shared" si="18"/>
        <v>0</v>
      </c>
      <c r="T231" s="91">
        <f t="shared" si="19"/>
        <v>0</v>
      </c>
      <c r="U231" s="27" t="s">
        <v>56</v>
      </c>
      <c r="V231" s="19" t="s">
        <v>51</v>
      </c>
      <c r="W231" s="20">
        <v>45833</v>
      </c>
      <c r="X231" s="22" t="s">
        <v>251</v>
      </c>
      <c r="Y231" s="19" t="s">
        <v>52</v>
      </c>
      <c r="Z231" s="19" t="s">
        <v>52</v>
      </c>
      <c r="AA231" s="19" t="s">
        <v>52</v>
      </c>
      <c r="AB231" s="28"/>
    </row>
    <row r="232" spans="1:28" s="29" customFormat="1" ht="15" customHeight="1" x14ac:dyDescent="0.25">
      <c r="A232" s="14">
        <v>3</v>
      </c>
      <c r="B232" s="15">
        <v>45841</v>
      </c>
      <c r="C232" s="15">
        <f t="shared" si="20"/>
        <v>45849</v>
      </c>
      <c r="D232" s="14">
        <v>13064</v>
      </c>
      <c r="E232" s="16" t="s">
        <v>66</v>
      </c>
      <c r="F232" s="17" t="s">
        <v>67</v>
      </c>
      <c r="G232" s="17" t="s">
        <v>47</v>
      </c>
      <c r="H232" s="18" t="s">
        <v>62</v>
      </c>
      <c r="I232" s="19" t="s">
        <v>63</v>
      </c>
      <c r="J232" s="20">
        <v>45810</v>
      </c>
      <c r="K232" s="20">
        <v>45828</v>
      </c>
      <c r="L232" s="21">
        <v>10000</v>
      </c>
      <c r="M232" s="22">
        <f t="shared" si="21"/>
        <v>14000</v>
      </c>
      <c r="N232" s="23">
        <v>14000</v>
      </c>
      <c r="O232" s="23">
        <v>0</v>
      </c>
      <c r="P232" s="24">
        <f t="shared" si="22"/>
        <v>-4000</v>
      </c>
      <c r="Q232" s="25">
        <v>0</v>
      </c>
      <c r="R232" s="26">
        <v>12000</v>
      </c>
      <c r="S232" s="91">
        <f t="shared" si="18"/>
        <v>0</v>
      </c>
      <c r="T232" s="91">
        <f t="shared" si="19"/>
        <v>0</v>
      </c>
      <c r="U232" s="27" t="s">
        <v>50</v>
      </c>
      <c r="V232" s="19" t="s">
        <v>51</v>
      </c>
      <c r="W232" s="20">
        <v>45826</v>
      </c>
      <c r="X232" s="22" t="s">
        <v>251</v>
      </c>
      <c r="Y232" s="19" t="s">
        <v>52</v>
      </c>
      <c r="Z232" s="19" t="s">
        <v>52</v>
      </c>
      <c r="AA232" s="19" t="s">
        <v>52</v>
      </c>
      <c r="AB232" s="42"/>
    </row>
    <row r="233" spans="1:28" s="29" customFormat="1" ht="15" customHeight="1" x14ac:dyDescent="0.25">
      <c r="A233" s="14">
        <v>6</v>
      </c>
      <c r="B233" s="15">
        <v>45846</v>
      </c>
      <c r="C233" s="15">
        <f t="shared" si="20"/>
        <v>45854</v>
      </c>
      <c r="D233" s="14">
        <v>13134</v>
      </c>
      <c r="E233" s="16" t="s">
        <v>208</v>
      </c>
      <c r="F233" s="17" t="s">
        <v>209</v>
      </c>
      <c r="G233" s="17" t="s">
        <v>47</v>
      </c>
      <c r="H233" s="18" t="s">
        <v>542</v>
      </c>
      <c r="I233" s="19" t="s">
        <v>49</v>
      </c>
      <c r="J233" s="20">
        <v>45826</v>
      </c>
      <c r="K233" s="20">
        <v>45860</v>
      </c>
      <c r="L233" s="21">
        <v>150000</v>
      </c>
      <c r="M233" s="22">
        <f t="shared" si="21"/>
        <v>152000</v>
      </c>
      <c r="N233" s="23">
        <v>152000</v>
      </c>
      <c r="O233" s="23">
        <v>0</v>
      </c>
      <c r="P233" s="24">
        <f t="shared" si="22"/>
        <v>-2000</v>
      </c>
      <c r="Q233" s="25">
        <v>0</v>
      </c>
      <c r="R233" s="26">
        <v>50000</v>
      </c>
      <c r="S233" s="91">
        <f t="shared" si="18"/>
        <v>0</v>
      </c>
      <c r="T233" s="91">
        <f t="shared" si="19"/>
        <v>0</v>
      </c>
      <c r="U233" s="27" t="s">
        <v>50</v>
      </c>
      <c r="V233" s="19" t="s">
        <v>51</v>
      </c>
      <c r="W233" s="20">
        <v>45842</v>
      </c>
      <c r="X233" s="22" t="s">
        <v>251</v>
      </c>
      <c r="Y233" s="19" t="s">
        <v>52</v>
      </c>
      <c r="Z233" s="19" t="s">
        <v>52</v>
      </c>
      <c r="AA233" s="19" t="s">
        <v>52</v>
      </c>
      <c r="AB233" s="42"/>
    </row>
    <row r="234" spans="1:28" s="29" customFormat="1" ht="15" customHeight="1" x14ac:dyDescent="0.25">
      <c r="A234" s="14">
        <v>7</v>
      </c>
      <c r="B234" s="15">
        <v>45841</v>
      </c>
      <c r="C234" s="15">
        <f t="shared" si="20"/>
        <v>45849</v>
      </c>
      <c r="D234" s="14">
        <v>13014</v>
      </c>
      <c r="E234" s="16" t="s">
        <v>663</v>
      </c>
      <c r="F234" s="40" t="s">
        <v>664</v>
      </c>
      <c r="G234" s="17" t="s">
        <v>75</v>
      </c>
      <c r="H234" s="18" t="s">
        <v>133</v>
      </c>
      <c r="I234" s="19" t="s">
        <v>198</v>
      </c>
      <c r="J234" s="20">
        <v>45800</v>
      </c>
      <c r="K234" s="20">
        <v>45826</v>
      </c>
      <c r="L234" s="21">
        <v>200000</v>
      </c>
      <c r="M234" s="22">
        <f t="shared" si="21"/>
        <v>207000</v>
      </c>
      <c r="N234" s="23">
        <v>207000</v>
      </c>
      <c r="O234" s="23">
        <v>0</v>
      </c>
      <c r="P234" s="24">
        <f t="shared" si="22"/>
        <v>-7000</v>
      </c>
      <c r="Q234" s="25">
        <v>0</v>
      </c>
      <c r="R234" s="26">
        <v>150000</v>
      </c>
      <c r="S234" s="91">
        <f t="shared" si="18"/>
        <v>0</v>
      </c>
      <c r="T234" s="91">
        <f t="shared" si="19"/>
        <v>0</v>
      </c>
      <c r="U234" s="27" t="s">
        <v>56</v>
      </c>
      <c r="V234" s="19" t="s">
        <v>51</v>
      </c>
      <c r="W234" s="20">
        <v>45834</v>
      </c>
      <c r="X234" s="22" t="s">
        <v>251</v>
      </c>
      <c r="Y234" s="19" t="s">
        <v>52</v>
      </c>
      <c r="Z234" s="19" t="s">
        <v>52</v>
      </c>
      <c r="AA234" s="19" t="s">
        <v>52</v>
      </c>
      <c r="AB234" s="28"/>
    </row>
    <row r="235" spans="1:28" s="29" customFormat="1" ht="15" customHeight="1" x14ac:dyDescent="0.25">
      <c r="A235" s="14">
        <v>12</v>
      </c>
      <c r="B235" s="15">
        <v>45846</v>
      </c>
      <c r="C235" s="15">
        <f t="shared" si="20"/>
        <v>45854</v>
      </c>
      <c r="D235" s="14">
        <v>13050</v>
      </c>
      <c r="E235" s="16" t="s">
        <v>378</v>
      </c>
      <c r="F235" s="40" t="s">
        <v>379</v>
      </c>
      <c r="G235" s="17" t="s">
        <v>75</v>
      </c>
      <c r="H235" s="18" t="s">
        <v>78</v>
      </c>
      <c r="I235" s="19" t="s">
        <v>79</v>
      </c>
      <c r="J235" s="20">
        <v>45804</v>
      </c>
      <c r="K235" s="20">
        <v>45835</v>
      </c>
      <c r="L235" s="21">
        <v>150000</v>
      </c>
      <c r="M235" s="22">
        <f t="shared" si="21"/>
        <v>136000</v>
      </c>
      <c r="N235" s="23">
        <v>136000</v>
      </c>
      <c r="O235" s="23">
        <v>0</v>
      </c>
      <c r="P235" s="24">
        <f t="shared" si="22"/>
        <v>14000</v>
      </c>
      <c r="Q235" s="25">
        <v>0</v>
      </c>
      <c r="R235" s="26">
        <v>84000</v>
      </c>
      <c r="S235" s="91">
        <f t="shared" si="18"/>
        <v>0.16666666666666666</v>
      </c>
      <c r="T235" s="91">
        <f t="shared" si="19"/>
        <v>0</v>
      </c>
      <c r="U235" s="27" t="s">
        <v>56</v>
      </c>
      <c r="V235" s="19" t="s">
        <v>51</v>
      </c>
      <c r="W235" s="20">
        <v>45842</v>
      </c>
      <c r="X235" s="22" t="s">
        <v>251</v>
      </c>
      <c r="Y235" s="19" t="s">
        <v>52</v>
      </c>
      <c r="Z235" s="19" t="s">
        <v>52</v>
      </c>
      <c r="AA235" s="19" t="s">
        <v>52</v>
      </c>
      <c r="AB235" s="28"/>
    </row>
    <row r="236" spans="1:28" s="29" customFormat="1" ht="15" customHeight="1" x14ac:dyDescent="0.25">
      <c r="A236" s="14">
        <v>13</v>
      </c>
      <c r="B236" s="15">
        <v>45846</v>
      </c>
      <c r="C236" s="15">
        <f t="shared" si="20"/>
        <v>45854</v>
      </c>
      <c r="D236" s="14">
        <v>13085</v>
      </c>
      <c r="E236" s="16" t="s">
        <v>303</v>
      </c>
      <c r="F236" s="40" t="s">
        <v>304</v>
      </c>
      <c r="G236" s="17" t="s">
        <v>75</v>
      </c>
      <c r="H236" s="18" t="s">
        <v>57</v>
      </c>
      <c r="I236" s="19" t="s">
        <v>94</v>
      </c>
      <c r="J236" s="20">
        <v>45811</v>
      </c>
      <c r="K236" s="20">
        <v>45839</v>
      </c>
      <c r="L236" s="21">
        <v>700000</v>
      </c>
      <c r="M236" s="22">
        <f t="shared" si="21"/>
        <v>707000</v>
      </c>
      <c r="N236" s="23">
        <v>707000</v>
      </c>
      <c r="O236" s="23">
        <v>0</v>
      </c>
      <c r="P236" s="24">
        <f t="shared" si="22"/>
        <v>-7000</v>
      </c>
      <c r="Q236" s="25">
        <v>0</v>
      </c>
      <c r="R236" s="26">
        <v>48000</v>
      </c>
      <c r="S236" s="91">
        <f t="shared" si="18"/>
        <v>0</v>
      </c>
      <c r="T236" s="91">
        <f t="shared" si="19"/>
        <v>0</v>
      </c>
      <c r="U236" s="27" t="s">
        <v>50</v>
      </c>
      <c r="V236" s="19" t="s">
        <v>51</v>
      </c>
      <c r="W236" s="20">
        <v>45833</v>
      </c>
      <c r="X236" s="22" t="s">
        <v>251</v>
      </c>
      <c r="Y236" s="19" t="s">
        <v>52</v>
      </c>
      <c r="Z236" s="19" t="s">
        <v>52</v>
      </c>
      <c r="AA236" s="19" t="s">
        <v>52</v>
      </c>
      <c r="AB236" s="28"/>
    </row>
    <row r="237" spans="1:28" s="29" customFormat="1" ht="15" customHeight="1" x14ac:dyDescent="0.25">
      <c r="A237" s="14">
        <v>16</v>
      </c>
      <c r="B237" s="15">
        <v>45841</v>
      </c>
      <c r="C237" s="15">
        <f t="shared" si="20"/>
        <v>45849</v>
      </c>
      <c r="D237" s="14">
        <v>13049</v>
      </c>
      <c r="E237" s="16" t="s">
        <v>376</v>
      </c>
      <c r="F237" s="40" t="s">
        <v>371</v>
      </c>
      <c r="G237" s="17" t="s">
        <v>75</v>
      </c>
      <c r="H237" s="18" t="s">
        <v>78</v>
      </c>
      <c r="I237" s="19" t="s">
        <v>79</v>
      </c>
      <c r="J237" s="20">
        <v>45804</v>
      </c>
      <c r="K237" s="20">
        <v>45842</v>
      </c>
      <c r="L237" s="21">
        <v>700000</v>
      </c>
      <c r="M237" s="22">
        <f t="shared" si="21"/>
        <v>696000</v>
      </c>
      <c r="N237" s="23">
        <v>696000</v>
      </c>
      <c r="O237" s="23">
        <v>0</v>
      </c>
      <c r="P237" s="24">
        <f t="shared" si="22"/>
        <v>4000</v>
      </c>
      <c r="Q237" s="25">
        <v>0</v>
      </c>
      <c r="R237" s="26">
        <v>96000</v>
      </c>
      <c r="S237" s="91">
        <f t="shared" si="18"/>
        <v>4.1666666666666664E-2</v>
      </c>
      <c r="T237" s="91">
        <f t="shared" si="19"/>
        <v>0</v>
      </c>
      <c r="U237" s="27" t="s">
        <v>56</v>
      </c>
      <c r="V237" s="19" t="s">
        <v>51</v>
      </c>
      <c r="W237" s="20">
        <v>45821</v>
      </c>
      <c r="X237" s="22" t="s">
        <v>251</v>
      </c>
      <c r="Y237" s="19" t="s">
        <v>52</v>
      </c>
      <c r="Z237" s="19" t="s">
        <v>52</v>
      </c>
      <c r="AA237" s="19" t="s">
        <v>52</v>
      </c>
      <c r="AB237" s="28"/>
    </row>
    <row r="238" spans="1:28" s="29" customFormat="1" ht="15" customHeight="1" x14ac:dyDescent="0.25">
      <c r="A238" s="14">
        <v>5</v>
      </c>
      <c r="B238" s="15">
        <v>45846</v>
      </c>
      <c r="C238" s="15">
        <f t="shared" si="20"/>
        <v>45854</v>
      </c>
      <c r="D238" s="14">
        <v>13090</v>
      </c>
      <c r="E238" s="16" t="s">
        <v>123</v>
      </c>
      <c r="F238" s="17" t="s">
        <v>124</v>
      </c>
      <c r="G238" s="17" t="s">
        <v>102</v>
      </c>
      <c r="H238" s="18" t="s">
        <v>57</v>
      </c>
      <c r="I238" s="19" t="s">
        <v>58</v>
      </c>
      <c r="J238" s="20">
        <v>45811</v>
      </c>
      <c r="K238" s="20">
        <v>45839</v>
      </c>
      <c r="L238" s="21">
        <v>400000</v>
      </c>
      <c r="M238" s="22">
        <f t="shared" si="21"/>
        <v>362000</v>
      </c>
      <c r="N238" s="23">
        <v>362000</v>
      </c>
      <c r="O238" s="23">
        <v>0</v>
      </c>
      <c r="P238" s="24">
        <f t="shared" si="22"/>
        <v>38000</v>
      </c>
      <c r="Q238" s="25">
        <v>0</v>
      </c>
      <c r="R238" s="26">
        <v>36000</v>
      </c>
      <c r="S238" s="91">
        <f t="shared" si="18"/>
        <v>1.0555555555555556</v>
      </c>
      <c r="T238" s="91">
        <f t="shared" si="19"/>
        <v>0</v>
      </c>
      <c r="U238" s="27" t="s">
        <v>50</v>
      </c>
      <c r="V238" s="19" t="s">
        <v>51</v>
      </c>
      <c r="W238" s="20">
        <v>45833</v>
      </c>
      <c r="X238" s="22" t="s">
        <v>251</v>
      </c>
      <c r="Y238" s="19" t="s">
        <v>52</v>
      </c>
      <c r="Z238" s="19" t="s">
        <v>52</v>
      </c>
      <c r="AA238" s="19" t="s">
        <v>52</v>
      </c>
      <c r="AB238" s="28"/>
    </row>
    <row r="239" spans="1:28" s="29" customFormat="1" ht="15" customHeight="1" x14ac:dyDescent="0.25">
      <c r="A239" s="14">
        <v>9</v>
      </c>
      <c r="B239" s="15">
        <v>45841</v>
      </c>
      <c r="C239" s="15">
        <f t="shared" si="20"/>
        <v>45849</v>
      </c>
      <c r="D239" s="14">
        <v>13112</v>
      </c>
      <c r="E239" s="16" t="s">
        <v>284</v>
      </c>
      <c r="F239" s="17" t="s">
        <v>285</v>
      </c>
      <c r="G239" s="17" t="s">
        <v>102</v>
      </c>
      <c r="H239" s="18" t="s">
        <v>542</v>
      </c>
      <c r="I239" s="19" t="s">
        <v>384</v>
      </c>
      <c r="J239" s="20">
        <v>45819</v>
      </c>
      <c r="K239" s="20">
        <v>45860</v>
      </c>
      <c r="L239" s="21">
        <v>200000</v>
      </c>
      <c r="M239" s="22">
        <f t="shared" si="21"/>
        <v>174000</v>
      </c>
      <c r="N239" s="23">
        <v>174000</v>
      </c>
      <c r="O239" s="23">
        <v>0</v>
      </c>
      <c r="P239" s="24">
        <f t="shared" si="22"/>
        <v>26000</v>
      </c>
      <c r="Q239" s="25">
        <v>0</v>
      </c>
      <c r="R239" s="26">
        <v>50000</v>
      </c>
      <c r="S239" s="91">
        <f t="shared" si="18"/>
        <v>0.52</v>
      </c>
      <c r="T239" s="91">
        <f t="shared" si="19"/>
        <v>0</v>
      </c>
      <c r="U239" s="27" t="s">
        <v>50</v>
      </c>
      <c r="V239" s="19" t="s">
        <v>51</v>
      </c>
      <c r="W239" s="20">
        <v>45835</v>
      </c>
      <c r="X239" s="22" t="s">
        <v>251</v>
      </c>
      <c r="Y239" s="19" t="s">
        <v>52</v>
      </c>
      <c r="Z239" s="19" t="s">
        <v>52</v>
      </c>
      <c r="AA239" s="19" t="s">
        <v>52</v>
      </c>
      <c r="AB239" s="28"/>
    </row>
    <row r="240" spans="1:28" s="29" customFormat="1" ht="15" customHeight="1" x14ac:dyDescent="0.25">
      <c r="A240" s="14">
        <v>2</v>
      </c>
      <c r="B240" s="15">
        <v>45839</v>
      </c>
      <c r="C240" s="15">
        <f t="shared" si="20"/>
        <v>45847</v>
      </c>
      <c r="D240" s="14">
        <v>12857</v>
      </c>
      <c r="E240" s="16" t="s">
        <v>335</v>
      </c>
      <c r="F240" s="17" t="s">
        <v>336</v>
      </c>
      <c r="G240" s="17" t="s">
        <v>132</v>
      </c>
      <c r="H240" s="18" t="s">
        <v>162</v>
      </c>
      <c r="I240" s="19" t="s">
        <v>198</v>
      </c>
      <c r="J240" s="20">
        <v>45772</v>
      </c>
      <c r="K240" s="20">
        <v>45820</v>
      </c>
      <c r="L240" s="21">
        <v>300000</v>
      </c>
      <c r="M240" s="22">
        <f t="shared" si="21"/>
        <v>331810</v>
      </c>
      <c r="N240" s="23">
        <v>331810</v>
      </c>
      <c r="O240" s="23">
        <v>0</v>
      </c>
      <c r="P240" s="24">
        <f t="shared" si="22"/>
        <v>-31810</v>
      </c>
      <c r="Q240" s="25">
        <v>0</v>
      </c>
      <c r="R240" s="26">
        <v>270000</v>
      </c>
      <c r="S240" s="91">
        <f t="shared" si="18"/>
        <v>0</v>
      </c>
      <c r="T240" s="91">
        <f t="shared" si="19"/>
        <v>0</v>
      </c>
      <c r="U240" s="27" t="s">
        <v>56</v>
      </c>
      <c r="V240" s="19" t="s">
        <v>51</v>
      </c>
      <c r="W240" s="20">
        <v>45833</v>
      </c>
      <c r="X240" s="22" t="s">
        <v>251</v>
      </c>
      <c r="Y240" s="19" t="s">
        <v>52</v>
      </c>
      <c r="Z240" s="19" t="s">
        <v>52</v>
      </c>
      <c r="AA240" s="19" t="s">
        <v>52</v>
      </c>
      <c r="AB240" s="28"/>
    </row>
    <row r="241" spans="1:28" s="29" customFormat="1" ht="15" customHeight="1" x14ac:dyDescent="0.25">
      <c r="A241" s="14">
        <v>9</v>
      </c>
      <c r="B241" s="15">
        <v>45846</v>
      </c>
      <c r="C241" s="15">
        <f t="shared" si="20"/>
        <v>45854</v>
      </c>
      <c r="D241" s="14">
        <v>13034</v>
      </c>
      <c r="E241" s="16" t="s">
        <v>665</v>
      </c>
      <c r="F241" s="17" t="s">
        <v>666</v>
      </c>
      <c r="G241" s="17" t="s">
        <v>132</v>
      </c>
      <c r="H241" s="18" t="s">
        <v>54</v>
      </c>
      <c r="I241" s="19" t="s">
        <v>135</v>
      </c>
      <c r="J241" s="20">
        <v>45800</v>
      </c>
      <c r="K241" s="20">
        <v>45845</v>
      </c>
      <c r="L241" s="21">
        <v>25000</v>
      </c>
      <c r="M241" s="22">
        <f t="shared" si="21"/>
        <v>27820</v>
      </c>
      <c r="N241" s="23">
        <v>27820</v>
      </c>
      <c r="O241" s="23">
        <v>0</v>
      </c>
      <c r="P241" s="24">
        <f t="shared" si="22"/>
        <v>-2820</v>
      </c>
      <c r="Q241" s="25">
        <v>0</v>
      </c>
      <c r="R241" s="26">
        <v>57330</v>
      </c>
      <c r="S241" s="91">
        <f t="shared" si="18"/>
        <v>0</v>
      </c>
      <c r="T241" s="91">
        <f t="shared" si="19"/>
        <v>0</v>
      </c>
      <c r="U241" s="27" t="s">
        <v>56</v>
      </c>
      <c r="V241" s="19" t="s">
        <v>59</v>
      </c>
      <c r="W241" s="20">
        <v>45840</v>
      </c>
      <c r="X241" s="22" t="s">
        <v>251</v>
      </c>
      <c r="Y241" s="19" t="s">
        <v>52</v>
      </c>
      <c r="Z241" s="19" t="s">
        <v>52</v>
      </c>
      <c r="AA241" s="19" t="s">
        <v>52</v>
      </c>
      <c r="AB241" s="28"/>
    </row>
    <row r="242" spans="1:28" s="29" customFormat="1" ht="15" customHeight="1" x14ac:dyDescent="0.25">
      <c r="A242" s="14">
        <v>10</v>
      </c>
      <c r="B242" s="15">
        <v>45846</v>
      </c>
      <c r="C242" s="15">
        <f t="shared" si="20"/>
        <v>45854</v>
      </c>
      <c r="D242" s="14">
        <v>13036</v>
      </c>
      <c r="E242" s="16" t="s">
        <v>268</v>
      </c>
      <c r="F242" s="17" t="s">
        <v>269</v>
      </c>
      <c r="G242" s="17" t="s">
        <v>132</v>
      </c>
      <c r="H242" s="18" t="s">
        <v>54</v>
      </c>
      <c r="I242" s="19" t="s">
        <v>135</v>
      </c>
      <c r="J242" s="20">
        <v>45800</v>
      </c>
      <c r="K242" s="20">
        <v>45845</v>
      </c>
      <c r="L242" s="21">
        <v>50000</v>
      </c>
      <c r="M242" s="22">
        <f t="shared" si="21"/>
        <v>63700</v>
      </c>
      <c r="N242" s="23">
        <v>63700</v>
      </c>
      <c r="O242" s="23">
        <v>0</v>
      </c>
      <c r="P242" s="24">
        <f t="shared" si="22"/>
        <v>-13700</v>
      </c>
      <c r="Q242" s="25">
        <v>0</v>
      </c>
      <c r="R242" s="26">
        <v>57330</v>
      </c>
      <c r="S242" s="91">
        <f t="shared" si="18"/>
        <v>0</v>
      </c>
      <c r="T242" s="91">
        <f t="shared" si="19"/>
        <v>0</v>
      </c>
      <c r="U242" s="27" t="s">
        <v>56</v>
      </c>
      <c r="V242" s="19" t="s">
        <v>59</v>
      </c>
      <c r="W242" s="20">
        <v>45840</v>
      </c>
      <c r="X242" s="22" t="s">
        <v>251</v>
      </c>
      <c r="Y242" s="19" t="s">
        <v>52</v>
      </c>
      <c r="Z242" s="19" t="s">
        <v>52</v>
      </c>
      <c r="AA242" s="19" t="s">
        <v>52</v>
      </c>
      <c r="AB242" s="28"/>
    </row>
    <row r="243" spans="1:28" s="29" customFormat="1" ht="15" customHeight="1" x14ac:dyDescent="0.25">
      <c r="A243" s="14">
        <v>12</v>
      </c>
      <c r="B243" s="15">
        <v>45846</v>
      </c>
      <c r="C243" s="15">
        <f t="shared" si="20"/>
        <v>45854</v>
      </c>
      <c r="D243" s="14">
        <v>13039</v>
      </c>
      <c r="E243" s="16" t="s">
        <v>141</v>
      </c>
      <c r="F243" s="17" t="s">
        <v>142</v>
      </c>
      <c r="G243" s="17" t="s">
        <v>132</v>
      </c>
      <c r="H243" s="18" t="s">
        <v>54</v>
      </c>
      <c r="I243" s="19" t="s">
        <v>135</v>
      </c>
      <c r="J243" s="20">
        <v>45800</v>
      </c>
      <c r="K243" s="20">
        <v>45846</v>
      </c>
      <c r="L243" s="21">
        <v>470000</v>
      </c>
      <c r="M243" s="22">
        <f t="shared" si="21"/>
        <v>494000</v>
      </c>
      <c r="N243" s="23">
        <v>494000</v>
      </c>
      <c r="O243" s="23">
        <v>0</v>
      </c>
      <c r="P243" s="24">
        <f t="shared" si="22"/>
        <v>-24000</v>
      </c>
      <c r="Q243" s="25">
        <v>0</v>
      </c>
      <c r="R243" s="26">
        <v>175500</v>
      </c>
      <c r="S243" s="91">
        <f t="shared" si="18"/>
        <v>0</v>
      </c>
      <c r="T243" s="91">
        <f t="shared" si="19"/>
        <v>0</v>
      </c>
      <c r="U243" s="27" t="s">
        <v>56</v>
      </c>
      <c r="V243" s="19" t="s">
        <v>59</v>
      </c>
      <c r="W243" s="20">
        <v>45840</v>
      </c>
      <c r="X243" s="22" t="s">
        <v>251</v>
      </c>
      <c r="Y243" s="19" t="s">
        <v>52</v>
      </c>
      <c r="Z243" s="19" t="s">
        <v>52</v>
      </c>
      <c r="AA243" s="19" t="s">
        <v>52</v>
      </c>
      <c r="AB243" s="28"/>
    </row>
    <row r="244" spans="1:28" s="29" customFormat="1" ht="15" customHeight="1" x14ac:dyDescent="0.25">
      <c r="A244" s="14">
        <v>3</v>
      </c>
      <c r="B244" s="15">
        <v>45850</v>
      </c>
      <c r="C244" s="15">
        <f t="shared" si="20"/>
        <v>45858</v>
      </c>
      <c r="D244" s="14">
        <v>13024</v>
      </c>
      <c r="E244" s="16" t="s">
        <v>45</v>
      </c>
      <c r="F244" s="17" t="s">
        <v>46</v>
      </c>
      <c r="G244" s="17" t="s">
        <v>47</v>
      </c>
      <c r="H244" s="18" t="s">
        <v>542</v>
      </c>
      <c r="I244" s="19" t="s">
        <v>49</v>
      </c>
      <c r="J244" s="20">
        <v>45799</v>
      </c>
      <c r="K244" s="20">
        <v>45838</v>
      </c>
      <c r="L244" s="21">
        <v>240000</v>
      </c>
      <c r="M244" s="22">
        <f t="shared" si="21"/>
        <v>270000</v>
      </c>
      <c r="N244" s="23">
        <v>270000</v>
      </c>
      <c r="O244" s="23">
        <v>0</v>
      </c>
      <c r="P244" s="24">
        <f t="shared" si="22"/>
        <v>-30000</v>
      </c>
      <c r="Q244" s="25">
        <v>0</v>
      </c>
      <c r="R244" s="26">
        <v>60000</v>
      </c>
      <c r="S244" s="91">
        <f t="shared" si="18"/>
        <v>0</v>
      </c>
      <c r="T244" s="91">
        <f t="shared" si="19"/>
        <v>0</v>
      </c>
      <c r="U244" s="27" t="s">
        <v>50</v>
      </c>
      <c r="V244" s="19" t="s">
        <v>51</v>
      </c>
      <c r="W244" s="20">
        <v>45817</v>
      </c>
      <c r="X244" s="22" t="s">
        <v>251</v>
      </c>
      <c r="Y244" s="19" t="s">
        <v>52</v>
      </c>
      <c r="Z244" s="19" t="s">
        <v>52</v>
      </c>
      <c r="AA244" s="19" t="s">
        <v>52</v>
      </c>
      <c r="AB244" s="42"/>
    </row>
    <row r="245" spans="1:28" s="29" customFormat="1" ht="15" customHeight="1" x14ac:dyDescent="0.25">
      <c r="A245" s="14">
        <v>3</v>
      </c>
      <c r="B245" s="15">
        <v>45850</v>
      </c>
      <c r="C245" s="15">
        <f t="shared" si="20"/>
        <v>45858</v>
      </c>
      <c r="D245" s="14">
        <v>12832</v>
      </c>
      <c r="E245" s="16" t="s">
        <v>556</v>
      </c>
      <c r="F245" s="40" t="s">
        <v>474</v>
      </c>
      <c r="G245" s="17" t="s">
        <v>75</v>
      </c>
      <c r="H245" s="18" t="s">
        <v>57</v>
      </c>
      <c r="I245" s="19" t="s">
        <v>58</v>
      </c>
      <c r="J245" s="20">
        <v>45770</v>
      </c>
      <c r="K245" s="20">
        <v>45804</v>
      </c>
      <c r="L245" s="21">
        <v>100000</v>
      </c>
      <c r="M245" s="22">
        <f t="shared" si="21"/>
        <v>104000</v>
      </c>
      <c r="N245" s="23">
        <v>104000</v>
      </c>
      <c r="O245" s="23">
        <v>0</v>
      </c>
      <c r="P245" s="24">
        <f t="shared" si="22"/>
        <v>-4000</v>
      </c>
      <c r="Q245" s="25">
        <v>0</v>
      </c>
      <c r="R245" s="26">
        <v>150000</v>
      </c>
      <c r="S245" s="91">
        <f t="shared" si="18"/>
        <v>0</v>
      </c>
      <c r="T245" s="91">
        <f t="shared" si="19"/>
        <v>0</v>
      </c>
      <c r="U245" s="27" t="s">
        <v>50</v>
      </c>
      <c r="V245" s="19" t="s">
        <v>51</v>
      </c>
      <c r="W245" s="20">
        <v>45834</v>
      </c>
      <c r="X245" s="22" t="s">
        <v>251</v>
      </c>
      <c r="Y245" s="19" t="s">
        <v>52</v>
      </c>
      <c r="Z245" s="19" t="s">
        <v>52</v>
      </c>
      <c r="AA245" s="19" t="s">
        <v>52</v>
      </c>
      <c r="AB245" s="28"/>
    </row>
    <row r="246" spans="1:28" s="29" customFormat="1" ht="15" customHeight="1" x14ac:dyDescent="0.25">
      <c r="A246" s="14">
        <v>4</v>
      </c>
      <c r="B246" s="15">
        <v>45846</v>
      </c>
      <c r="C246" s="15">
        <f t="shared" si="20"/>
        <v>45854</v>
      </c>
      <c r="D246" s="14">
        <v>12952</v>
      </c>
      <c r="E246" s="16" t="s">
        <v>212</v>
      </c>
      <c r="F246" s="40" t="s">
        <v>213</v>
      </c>
      <c r="G246" s="17" t="s">
        <v>75</v>
      </c>
      <c r="H246" s="18" t="s">
        <v>542</v>
      </c>
      <c r="I246" s="19" t="s">
        <v>104</v>
      </c>
      <c r="J246" s="20">
        <v>45785</v>
      </c>
      <c r="K246" s="20">
        <v>45825</v>
      </c>
      <c r="L246" s="21">
        <v>750000</v>
      </c>
      <c r="M246" s="22">
        <f t="shared" si="21"/>
        <v>738000</v>
      </c>
      <c r="N246" s="23">
        <v>738000</v>
      </c>
      <c r="O246" s="23">
        <v>0</v>
      </c>
      <c r="P246" s="24">
        <f t="shared" si="22"/>
        <v>12000</v>
      </c>
      <c r="Q246" s="25">
        <v>0</v>
      </c>
      <c r="R246" s="26">
        <v>150000</v>
      </c>
      <c r="S246" s="91">
        <f t="shared" si="18"/>
        <v>0.08</v>
      </c>
      <c r="T246" s="91">
        <f t="shared" si="19"/>
        <v>0</v>
      </c>
      <c r="U246" s="27" t="s">
        <v>50</v>
      </c>
      <c r="V246" s="19" t="s">
        <v>51</v>
      </c>
      <c r="W246" s="20">
        <v>45826</v>
      </c>
      <c r="X246" s="22" t="s">
        <v>251</v>
      </c>
      <c r="Y246" s="19" t="s">
        <v>52</v>
      </c>
      <c r="Z246" s="19" t="s">
        <v>52</v>
      </c>
      <c r="AA246" s="19" t="s">
        <v>52</v>
      </c>
      <c r="AB246" s="28"/>
    </row>
    <row r="247" spans="1:28" s="29" customFormat="1" ht="15" customHeight="1" x14ac:dyDescent="0.25">
      <c r="A247" s="14">
        <v>5</v>
      </c>
      <c r="B247" s="15">
        <v>45853</v>
      </c>
      <c r="C247" s="15">
        <f t="shared" si="20"/>
        <v>45861</v>
      </c>
      <c r="D247" s="14">
        <v>12957</v>
      </c>
      <c r="E247" s="16" t="s">
        <v>385</v>
      </c>
      <c r="F247" s="40" t="s">
        <v>386</v>
      </c>
      <c r="G247" s="17" t="s">
        <v>75</v>
      </c>
      <c r="H247" s="18" t="s">
        <v>542</v>
      </c>
      <c r="I247" s="19" t="s">
        <v>70</v>
      </c>
      <c r="J247" s="20">
        <v>45790</v>
      </c>
      <c r="K247" s="20">
        <v>45826</v>
      </c>
      <c r="L247" s="21">
        <v>2000000</v>
      </c>
      <c r="M247" s="22">
        <f t="shared" si="21"/>
        <v>1854000</v>
      </c>
      <c r="N247" s="23">
        <v>1854000</v>
      </c>
      <c r="O247" s="23">
        <v>0</v>
      </c>
      <c r="P247" s="24">
        <f t="shared" si="22"/>
        <v>146000</v>
      </c>
      <c r="Q247" s="25">
        <v>0</v>
      </c>
      <c r="R247" s="26">
        <v>150000</v>
      </c>
      <c r="S247" s="91">
        <f t="shared" si="18"/>
        <v>0.97333333333333338</v>
      </c>
      <c r="T247" s="91">
        <f t="shared" si="19"/>
        <v>0</v>
      </c>
      <c r="U247" s="27" t="s">
        <v>50</v>
      </c>
      <c r="V247" s="19" t="s">
        <v>51</v>
      </c>
      <c r="W247" s="20">
        <v>45810</v>
      </c>
      <c r="X247" s="22" t="s">
        <v>251</v>
      </c>
      <c r="Y247" s="19" t="s">
        <v>52</v>
      </c>
      <c r="Z247" s="19" t="s">
        <v>52</v>
      </c>
      <c r="AA247" s="19" t="s">
        <v>52</v>
      </c>
      <c r="AB247" s="28"/>
    </row>
    <row r="248" spans="1:28" s="29" customFormat="1" ht="15" customHeight="1" x14ac:dyDescent="0.25">
      <c r="A248" s="14">
        <v>6</v>
      </c>
      <c r="B248" s="15">
        <v>45853</v>
      </c>
      <c r="C248" s="15">
        <f t="shared" si="20"/>
        <v>45861</v>
      </c>
      <c r="D248" s="14">
        <v>12956</v>
      </c>
      <c r="E248" s="16" t="s">
        <v>341</v>
      </c>
      <c r="F248" s="40" t="s">
        <v>348</v>
      </c>
      <c r="G248" s="17" t="s">
        <v>75</v>
      </c>
      <c r="H248" s="18" t="s">
        <v>542</v>
      </c>
      <c r="I248" s="19" t="s">
        <v>70</v>
      </c>
      <c r="J248" s="20">
        <v>45790</v>
      </c>
      <c r="K248" s="20">
        <v>45826</v>
      </c>
      <c r="L248" s="21">
        <v>3000000</v>
      </c>
      <c r="M248" s="22">
        <f t="shared" si="21"/>
        <v>2877000</v>
      </c>
      <c r="N248" s="23">
        <v>2877000</v>
      </c>
      <c r="O248" s="23">
        <v>0</v>
      </c>
      <c r="P248" s="24">
        <f t="shared" si="22"/>
        <v>123000</v>
      </c>
      <c r="Q248" s="25">
        <v>0</v>
      </c>
      <c r="R248" s="26">
        <v>150000</v>
      </c>
      <c r="S248" s="91">
        <f t="shared" si="18"/>
        <v>0.82</v>
      </c>
      <c r="T248" s="91">
        <f t="shared" si="19"/>
        <v>0</v>
      </c>
      <c r="U248" s="27" t="s">
        <v>50</v>
      </c>
      <c r="V248" s="19" t="s">
        <v>51</v>
      </c>
      <c r="W248" s="20">
        <v>45800</v>
      </c>
      <c r="X248" s="22" t="s">
        <v>251</v>
      </c>
      <c r="Y248" s="19" t="s">
        <v>52</v>
      </c>
      <c r="Z248" s="19" t="s">
        <v>52</v>
      </c>
      <c r="AA248" s="19" t="s">
        <v>52</v>
      </c>
      <c r="AB248" s="28"/>
    </row>
    <row r="249" spans="1:28" s="29" customFormat="1" ht="15" customHeight="1" x14ac:dyDescent="0.25">
      <c r="A249" s="14">
        <v>9</v>
      </c>
      <c r="B249" s="15">
        <v>45853</v>
      </c>
      <c r="C249" s="15">
        <f t="shared" si="20"/>
        <v>45861</v>
      </c>
      <c r="D249" s="14">
        <v>13072</v>
      </c>
      <c r="E249" s="16" t="s">
        <v>678</v>
      </c>
      <c r="F249" s="40" t="s">
        <v>657</v>
      </c>
      <c r="G249" s="17" t="s">
        <v>75</v>
      </c>
      <c r="H249" s="18" t="s">
        <v>57</v>
      </c>
      <c r="I249" s="19" t="s">
        <v>94</v>
      </c>
      <c r="J249" s="20">
        <v>45806</v>
      </c>
      <c r="K249" s="20">
        <v>45834</v>
      </c>
      <c r="L249" s="21">
        <v>1250000</v>
      </c>
      <c r="M249" s="22">
        <f t="shared" si="21"/>
        <v>1462000</v>
      </c>
      <c r="N249" s="23">
        <v>1462000</v>
      </c>
      <c r="O249" s="23">
        <v>0</v>
      </c>
      <c r="P249" s="24">
        <f t="shared" si="22"/>
        <v>-212000</v>
      </c>
      <c r="Q249" s="25">
        <v>0</v>
      </c>
      <c r="R249" s="26">
        <v>50000</v>
      </c>
      <c r="S249" s="91">
        <f t="shared" si="18"/>
        <v>0</v>
      </c>
      <c r="T249" s="91">
        <f t="shared" si="19"/>
        <v>0</v>
      </c>
      <c r="U249" s="27" t="s">
        <v>50</v>
      </c>
      <c r="V249" s="19" t="s">
        <v>51</v>
      </c>
      <c r="W249" s="20">
        <v>45834</v>
      </c>
      <c r="X249" s="22" t="s">
        <v>251</v>
      </c>
      <c r="Y249" s="19" t="s">
        <v>52</v>
      </c>
      <c r="Z249" s="19" t="s">
        <v>52</v>
      </c>
      <c r="AA249" s="19" t="s">
        <v>52</v>
      </c>
      <c r="AB249" s="28"/>
    </row>
    <row r="250" spans="1:28" s="29" customFormat="1" ht="15" customHeight="1" x14ac:dyDescent="0.25">
      <c r="A250" s="14">
        <v>15</v>
      </c>
      <c r="B250" s="15">
        <v>45853</v>
      </c>
      <c r="C250" s="15">
        <f t="shared" si="20"/>
        <v>45861</v>
      </c>
      <c r="D250" s="14">
        <v>13145</v>
      </c>
      <c r="E250" s="16" t="s">
        <v>196</v>
      </c>
      <c r="F250" s="40" t="s">
        <v>197</v>
      </c>
      <c r="G250" s="17" t="s">
        <v>75</v>
      </c>
      <c r="H250" s="18" t="s">
        <v>62</v>
      </c>
      <c r="I250" s="19" t="s">
        <v>63</v>
      </c>
      <c r="J250" s="20">
        <v>45827</v>
      </c>
      <c r="K250" s="20">
        <v>45856</v>
      </c>
      <c r="L250" s="21">
        <v>100000</v>
      </c>
      <c r="M250" s="22">
        <f t="shared" si="21"/>
        <v>95000</v>
      </c>
      <c r="N250" s="23">
        <v>95000</v>
      </c>
      <c r="O250" s="23">
        <v>0</v>
      </c>
      <c r="P250" s="24">
        <f t="shared" si="22"/>
        <v>5000</v>
      </c>
      <c r="Q250" s="25">
        <v>0</v>
      </c>
      <c r="R250" s="26">
        <v>50000</v>
      </c>
      <c r="S250" s="91">
        <f t="shared" si="18"/>
        <v>0.1</v>
      </c>
      <c r="T250" s="91">
        <f t="shared" si="19"/>
        <v>0</v>
      </c>
      <c r="U250" s="27" t="s">
        <v>50</v>
      </c>
      <c r="V250" s="19" t="s">
        <v>51</v>
      </c>
      <c r="W250" s="20">
        <v>45842</v>
      </c>
      <c r="X250" s="22" t="s">
        <v>251</v>
      </c>
      <c r="Y250" s="19" t="s">
        <v>52</v>
      </c>
      <c r="Z250" s="19" t="s">
        <v>52</v>
      </c>
      <c r="AA250" s="19" t="s">
        <v>52</v>
      </c>
      <c r="AB250" s="28"/>
    </row>
    <row r="251" spans="1:28" s="29" customFormat="1" ht="15" customHeight="1" x14ac:dyDescent="0.25">
      <c r="A251" s="14">
        <v>19</v>
      </c>
      <c r="B251" s="15">
        <v>45850</v>
      </c>
      <c r="C251" s="15">
        <f t="shared" si="20"/>
        <v>45858</v>
      </c>
      <c r="D251" s="14">
        <v>13136</v>
      </c>
      <c r="E251" s="16" t="s">
        <v>432</v>
      </c>
      <c r="F251" s="40" t="s">
        <v>433</v>
      </c>
      <c r="G251" s="17" t="s">
        <v>75</v>
      </c>
      <c r="H251" s="18" t="s">
        <v>113</v>
      </c>
      <c r="I251" s="19" t="s">
        <v>698</v>
      </c>
      <c r="J251" s="20">
        <v>45826</v>
      </c>
      <c r="K251" s="20">
        <v>45877</v>
      </c>
      <c r="L251" s="21">
        <v>200000</v>
      </c>
      <c r="M251" s="22">
        <f t="shared" si="21"/>
        <v>282000</v>
      </c>
      <c r="N251" s="23">
        <v>282000</v>
      </c>
      <c r="O251" s="23">
        <v>0</v>
      </c>
      <c r="P251" s="24">
        <f t="shared" si="22"/>
        <v>-82000</v>
      </c>
      <c r="Q251" s="25">
        <v>0</v>
      </c>
      <c r="R251" s="26">
        <v>144000</v>
      </c>
      <c r="S251" s="91">
        <f t="shared" ref="S251:S314" si="23">IF(P251&gt;0,P251/$R251,0)</f>
        <v>0</v>
      </c>
      <c r="T251" s="91">
        <f t="shared" ref="T251:T314" si="24">IF(Q251&gt;0,Q251/$R251,0)</f>
        <v>0</v>
      </c>
      <c r="U251" s="27" t="s">
        <v>50</v>
      </c>
      <c r="V251" s="19" t="s">
        <v>51</v>
      </c>
      <c r="W251" s="20">
        <v>45853</v>
      </c>
      <c r="X251" s="22" t="s">
        <v>251</v>
      </c>
      <c r="Y251" s="19" t="s">
        <v>52</v>
      </c>
      <c r="Z251" s="19" t="s">
        <v>52</v>
      </c>
      <c r="AA251" s="19" t="s">
        <v>52</v>
      </c>
      <c r="AB251" s="28"/>
    </row>
    <row r="252" spans="1:28" s="29" customFormat="1" ht="15" customHeight="1" x14ac:dyDescent="0.25">
      <c r="A252" s="14">
        <v>1</v>
      </c>
      <c r="B252" s="15">
        <v>45850</v>
      </c>
      <c r="C252" s="15">
        <f t="shared" si="20"/>
        <v>45858</v>
      </c>
      <c r="D252" s="14">
        <v>13117</v>
      </c>
      <c r="E252" s="16" t="s">
        <v>609</v>
      </c>
      <c r="F252" s="17" t="s">
        <v>610</v>
      </c>
      <c r="G252" s="17" t="s">
        <v>102</v>
      </c>
      <c r="H252" s="18" t="s">
        <v>133</v>
      </c>
      <c r="I252" s="19" t="s">
        <v>611</v>
      </c>
      <c r="J252" s="20">
        <v>45820</v>
      </c>
      <c r="K252" s="20">
        <v>45833</v>
      </c>
      <c r="L252" s="21">
        <v>25000</v>
      </c>
      <c r="M252" s="22">
        <f t="shared" si="21"/>
        <v>26700</v>
      </c>
      <c r="N252" s="23">
        <v>26700</v>
      </c>
      <c r="O252" s="23"/>
      <c r="P252" s="24">
        <f t="shared" si="22"/>
        <v>-1700</v>
      </c>
      <c r="Q252" s="25">
        <v>0</v>
      </c>
      <c r="R252" s="26">
        <v>15000</v>
      </c>
      <c r="S252" s="91">
        <f t="shared" si="23"/>
        <v>0</v>
      </c>
      <c r="T252" s="91">
        <f t="shared" si="24"/>
        <v>0</v>
      </c>
      <c r="U252" s="27" t="s">
        <v>56</v>
      </c>
      <c r="V252" s="19" t="s">
        <v>68</v>
      </c>
      <c r="W252" s="20" t="s">
        <v>68</v>
      </c>
      <c r="X252" s="22" t="s">
        <v>251</v>
      </c>
      <c r="Y252" s="19" t="s">
        <v>52</v>
      </c>
      <c r="Z252" s="19" t="s">
        <v>52</v>
      </c>
      <c r="AA252" s="19" t="s">
        <v>52</v>
      </c>
      <c r="AB252" s="28"/>
    </row>
    <row r="253" spans="1:28" s="29" customFormat="1" ht="15" customHeight="1" x14ac:dyDescent="0.25">
      <c r="A253" s="14">
        <v>2</v>
      </c>
      <c r="B253" s="15">
        <v>45850</v>
      </c>
      <c r="C253" s="15">
        <f t="shared" si="20"/>
        <v>45858</v>
      </c>
      <c r="D253" s="14">
        <v>13070</v>
      </c>
      <c r="E253" s="16" t="s">
        <v>369</v>
      </c>
      <c r="F253" s="17" t="s">
        <v>598</v>
      </c>
      <c r="G253" s="17" t="s">
        <v>102</v>
      </c>
      <c r="H253" s="18" t="s">
        <v>57</v>
      </c>
      <c r="I253" s="19" t="s">
        <v>58</v>
      </c>
      <c r="J253" s="20">
        <v>45806</v>
      </c>
      <c r="K253" s="20">
        <v>45834</v>
      </c>
      <c r="L253" s="21">
        <v>1000000</v>
      </c>
      <c r="M253" s="22">
        <f t="shared" si="21"/>
        <v>1050000</v>
      </c>
      <c r="N253" s="23">
        <v>1050000</v>
      </c>
      <c r="O253" s="23"/>
      <c r="P253" s="24">
        <f t="shared" si="22"/>
        <v>-50000</v>
      </c>
      <c r="Q253" s="25">
        <v>0</v>
      </c>
      <c r="R253" s="26">
        <v>50000</v>
      </c>
      <c r="S253" s="91">
        <f t="shared" si="23"/>
        <v>0</v>
      </c>
      <c r="T253" s="91">
        <f t="shared" si="24"/>
        <v>0</v>
      </c>
      <c r="U253" s="27" t="s">
        <v>50</v>
      </c>
      <c r="V253" s="19" t="s">
        <v>51</v>
      </c>
      <c r="W253" s="20">
        <v>45822</v>
      </c>
      <c r="X253" s="22" t="s">
        <v>251</v>
      </c>
      <c r="Y253" s="19" t="s">
        <v>52</v>
      </c>
      <c r="Z253" s="19" t="s">
        <v>52</v>
      </c>
      <c r="AA253" s="19" t="s">
        <v>52</v>
      </c>
      <c r="AB253" s="28"/>
    </row>
    <row r="254" spans="1:28" s="29" customFormat="1" ht="15" customHeight="1" x14ac:dyDescent="0.25">
      <c r="A254" s="14">
        <v>4</v>
      </c>
      <c r="B254" s="15">
        <v>45853</v>
      </c>
      <c r="C254" s="15">
        <f t="shared" si="20"/>
        <v>45861</v>
      </c>
      <c r="D254" s="14">
        <v>13030</v>
      </c>
      <c r="E254" s="16" t="s">
        <v>258</v>
      </c>
      <c r="F254" s="17" t="s">
        <v>259</v>
      </c>
      <c r="G254" s="17" t="s">
        <v>132</v>
      </c>
      <c r="H254" s="18" t="s">
        <v>54</v>
      </c>
      <c r="I254" s="19" t="s">
        <v>135</v>
      </c>
      <c r="J254" s="20">
        <v>45800</v>
      </c>
      <c r="K254" s="20">
        <v>45845</v>
      </c>
      <c r="L254" s="21">
        <v>25000</v>
      </c>
      <c r="M254" s="22">
        <f t="shared" si="21"/>
        <v>22295</v>
      </c>
      <c r="N254" s="23">
        <v>22295</v>
      </c>
      <c r="O254" s="23">
        <v>0</v>
      </c>
      <c r="P254" s="24">
        <f t="shared" si="22"/>
        <v>2705</v>
      </c>
      <c r="Q254" s="25">
        <v>0</v>
      </c>
      <c r="R254" s="26">
        <v>57330</v>
      </c>
      <c r="S254" s="91">
        <f t="shared" si="23"/>
        <v>4.7182975754404326E-2</v>
      </c>
      <c r="T254" s="91">
        <f t="shared" si="24"/>
        <v>0</v>
      </c>
      <c r="U254" s="27" t="s">
        <v>56</v>
      </c>
      <c r="V254" s="19" t="s">
        <v>51</v>
      </c>
      <c r="W254" s="20">
        <v>45840</v>
      </c>
      <c r="X254" s="22" t="s">
        <v>251</v>
      </c>
      <c r="Y254" s="19" t="s">
        <v>52</v>
      </c>
      <c r="Z254" s="19" t="s">
        <v>52</v>
      </c>
      <c r="AA254" s="19" t="s">
        <v>52</v>
      </c>
      <c r="AB254" s="28"/>
    </row>
    <row r="255" spans="1:28" s="29" customFormat="1" ht="15" customHeight="1" x14ac:dyDescent="0.25">
      <c r="A255" s="14">
        <v>5</v>
      </c>
      <c r="B255" s="15">
        <v>45853</v>
      </c>
      <c r="C255" s="15">
        <f t="shared" si="20"/>
        <v>45861</v>
      </c>
      <c r="D255" s="14">
        <v>13031</v>
      </c>
      <c r="E255" s="16" t="s">
        <v>147</v>
      </c>
      <c r="F255" s="17" t="s">
        <v>260</v>
      </c>
      <c r="G255" s="17" t="s">
        <v>132</v>
      </c>
      <c r="H255" s="18" t="s">
        <v>54</v>
      </c>
      <c r="I255" s="19" t="s">
        <v>135</v>
      </c>
      <c r="J255" s="20">
        <v>45800</v>
      </c>
      <c r="K255" s="20">
        <v>45845</v>
      </c>
      <c r="L255" s="21">
        <v>60000</v>
      </c>
      <c r="M255" s="22">
        <f t="shared" si="21"/>
        <v>62400</v>
      </c>
      <c r="N255" s="23">
        <v>62400</v>
      </c>
      <c r="O255" s="23">
        <v>0</v>
      </c>
      <c r="P255" s="24">
        <f t="shared" si="22"/>
        <v>-2400</v>
      </c>
      <c r="Q255" s="25">
        <v>0</v>
      </c>
      <c r="R255" s="26">
        <v>57330</v>
      </c>
      <c r="S255" s="91">
        <f t="shared" si="23"/>
        <v>0</v>
      </c>
      <c r="T255" s="91">
        <f t="shared" si="24"/>
        <v>0</v>
      </c>
      <c r="U255" s="27" t="s">
        <v>56</v>
      </c>
      <c r="V255" s="19" t="s">
        <v>51</v>
      </c>
      <c r="W255" s="20">
        <v>45840</v>
      </c>
      <c r="X255" s="22" t="s">
        <v>251</v>
      </c>
      <c r="Y255" s="19" t="s">
        <v>52</v>
      </c>
      <c r="Z255" s="19" t="s">
        <v>52</v>
      </c>
      <c r="AA255" s="19" t="s">
        <v>52</v>
      </c>
      <c r="AB255" s="28"/>
    </row>
    <row r="256" spans="1:28" s="29" customFormat="1" ht="15" customHeight="1" x14ac:dyDescent="0.25">
      <c r="A256" s="14">
        <v>6</v>
      </c>
      <c r="B256" s="15">
        <v>45853</v>
      </c>
      <c r="C256" s="15">
        <f t="shared" si="20"/>
        <v>45861</v>
      </c>
      <c r="D256" s="14">
        <v>13032</v>
      </c>
      <c r="E256" s="16" t="s">
        <v>245</v>
      </c>
      <c r="F256" s="17" t="s">
        <v>246</v>
      </c>
      <c r="G256" s="17" t="s">
        <v>132</v>
      </c>
      <c r="H256" s="18" t="s">
        <v>54</v>
      </c>
      <c r="I256" s="19" t="s">
        <v>135</v>
      </c>
      <c r="J256" s="20">
        <v>45800</v>
      </c>
      <c r="K256" s="20">
        <v>45845</v>
      </c>
      <c r="L256" s="21">
        <v>30000</v>
      </c>
      <c r="M256" s="22">
        <f t="shared" si="21"/>
        <v>28168</v>
      </c>
      <c r="N256" s="23">
        <v>28168</v>
      </c>
      <c r="O256" s="23">
        <v>0</v>
      </c>
      <c r="P256" s="24">
        <f t="shared" si="22"/>
        <v>1832</v>
      </c>
      <c r="Q256" s="25">
        <v>0</v>
      </c>
      <c r="R256" s="26">
        <v>53442</v>
      </c>
      <c r="S256" s="91">
        <f t="shared" si="23"/>
        <v>3.4280154185846338E-2</v>
      </c>
      <c r="T256" s="91">
        <f t="shared" si="24"/>
        <v>0</v>
      </c>
      <c r="U256" s="27" t="s">
        <v>56</v>
      </c>
      <c r="V256" s="19" t="s">
        <v>51</v>
      </c>
      <c r="W256" s="20">
        <v>45840</v>
      </c>
      <c r="X256" s="22" t="s">
        <v>251</v>
      </c>
      <c r="Y256" s="19" t="s">
        <v>52</v>
      </c>
      <c r="Z256" s="19" t="s">
        <v>52</v>
      </c>
      <c r="AA256" s="19" t="s">
        <v>52</v>
      </c>
      <c r="AB256" s="28"/>
    </row>
    <row r="257" spans="1:28" s="29" customFormat="1" ht="15" customHeight="1" x14ac:dyDescent="0.25">
      <c r="A257" s="14">
        <v>7</v>
      </c>
      <c r="B257" s="15">
        <v>45853</v>
      </c>
      <c r="C257" s="15">
        <f t="shared" si="20"/>
        <v>45861</v>
      </c>
      <c r="D257" s="14">
        <v>13033</v>
      </c>
      <c r="E257" s="16" t="s">
        <v>154</v>
      </c>
      <c r="F257" s="17" t="s">
        <v>155</v>
      </c>
      <c r="G257" s="17" t="s">
        <v>132</v>
      </c>
      <c r="H257" s="18" t="s">
        <v>54</v>
      </c>
      <c r="I257" s="19" t="s">
        <v>135</v>
      </c>
      <c r="J257" s="20">
        <v>45800</v>
      </c>
      <c r="K257" s="20">
        <v>45845</v>
      </c>
      <c r="L257" s="21">
        <v>60000</v>
      </c>
      <c r="M257" s="22">
        <f t="shared" si="21"/>
        <v>63700</v>
      </c>
      <c r="N257" s="23">
        <v>63700</v>
      </c>
      <c r="O257" s="23">
        <v>0</v>
      </c>
      <c r="P257" s="24">
        <f t="shared" si="22"/>
        <v>-3700</v>
      </c>
      <c r="Q257" s="25">
        <v>0</v>
      </c>
      <c r="R257" s="26">
        <v>57330</v>
      </c>
      <c r="S257" s="91">
        <f t="shared" si="23"/>
        <v>0</v>
      </c>
      <c r="T257" s="91">
        <f t="shared" si="24"/>
        <v>0</v>
      </c>
      <c r="U257" s="27" t="s">
        <v>56</v>
      </c>
      <c r="V257" s="19" t="s">
        <v>51</v>
      </c>
      <c r="W257" s="20">
        <v>45840</v>
      </c>
      <c r="X257" s="22" t="s">
        <v>251</v>
      </c>
      <c r="Y257" s="19" t="s">
        <v>52</v>
      </c>
      <c r="Z257" s="19" t="s">
        <v>52</v>
      </c>
      <c r="AA257" s="19" t="s">
        <v>52</v>
      </c>
      <c r="AB257" s="28"/>
    </row>
    <row r="258" spans="1:28" s="29" customFormat="1" ht="15" customHeight="1" x14ac:dyDescent="0.25">
      <c r="A258" s="14">
        <v>8</v>
      </c>
      <c r="B258" s="15">
        <v>45853</v>
      </c>
      <c r="C258" s="15">
        <f t="shared" si="20"/>
        <v>45861</v>
      </c>
      <c r="D258" s="14">
        <v>13038</v>
      </c>
      <c r="E258" s="16" t="s">
        <v>134</v>
      </c>
      <c r="F258" s="17" t="s">
        <v>667</v>
      </c>
      <c r="G258" s="17" t="s">
        <v>132</v>
      </c>
      <c r="H258" s="18" t="s">
        <v>54</v>
      </c>
      <c r="I258" s="19" t="s">
        <v>135</v>
      </c>
      <c r="J258" s="20">
        <v>45800</v>
      </c>
      <c r="K258" s="20">
        <v>45846</v>
      </c>
      <c r="L258" s="21">
        <v>116000</v>
      </c>
      <c r="M258" s="22">
        <f t="shared" si="21"/>
        <v>118980</v>
      </c>
      <c r="N258" s="23">
        <v>118980</v>
      </c>
      <c r="O258" s="23">
        <v>0</v>
      </c>
      <c r="P258" s="24">
        <f t="shared" si="22"/>
        <v>-2980</v>
      </c>
      <c r="Q258" s="25">
        <v>0</v>
      </c>
      <c r="R258" s="26">
        <v>69948</v>
      </c>
      <c r="S258" s="91">
        <f t="shared" si="23"/>
        <v>0</v>
      </c>
      <c r="T258" s="91">
        <f t="shared" si="24"/>
        <v>0</v>
      </c>
      <c r="U258" s="27" t="s">
        <v>56</v>
      </c>
      <c r="V258" s="19" t="s">
        <v>51</v>
      </c>
      <c r="W258" s="20">
        <v>45840</v>
      </c>
      <c r="X258" s="22" t="s">
        <v>251</v>
      </c>
      <c r="Y258" s="19" t="s">
        <v>52</v>
      </c>
      <c r="Z258" s="19" t="s">
        <v>52</v>
      </c>
      <c r="AA258" s="19" t="s">
        <v>52</v>
      </c>
      <c r="AB258" s="28"/>
    </row>
    <row r="259" spans="1:28" s="29" customFormat="1" ht="15" customHeight="1" x14ac:dyDescent="0.25">
      <c r="A259" s="14">
        <v>9</v>
      </c>
      <c r="B259" s="15">
        <v>45853</v>
      </c>
      <c r="C259" s="15">
        <f t="shared" si="20"/>
        <v>45861</v>
      </c>
      <c r="D259" s="14">
        <v>13040</v>
      </c>
      <c r="E259" s="16" t="s">
        <v>220</v>
      </c>
      <c r="F259" s="17" t="s">
        <v>221</v>
      </c>
      <c r="G259" s="17" t="s">
        <v>132</v>
      </c>
      <c r="H259" s="18" t="s">
        <v>54</v>
      </c>
      <c r="I259" s="19" t="s">
        <v>135</v>
      </c>
      <c r="J259" s="20">
        <v>45800</v>
      </c>
      <c r="K259" s="20">
        <v>45847</v>
      </c>
      <c r="L259" s="21">
        <v>260000</v>
      </c>
      <c r="M259" s="22">
        <f t="shared" si="21"/>
        <v>268590</v>
      </c>
      <c r="N259" s="23">
        <v>268590</v>
      </c>
      <c r="O259" s="23">
        <v>0</v>
      </c>
      <c r="P259" s="24">
        <f t="shared" si="22"/>
        <v>-8590</v>
      </c>
      <c r="Q259" s="25">
        <v>0</v>
      </c>
      <c r="R259" s="26">
        <v>117000</v>
      </c>
      <c r="S259" s="91">
        <f t="shared" si="23"/>
        <v>0</v>
      </c>
      <c r="T259" s="91">
        <f t="shared" si="24"/>
        <v>0</v>
      </c>
      <c r="U259" s="27" t="s">
        <v>56</v>
      </c>
      <c r="V259" s="19" t="s">
        <v>51</v>
      </c>
      <c r="W259" s="20">
        <v>45840</v>
      </c>
      <c r="X259" s="22" t="s">
        <v>251</v>
      </c>
      <c r="Y259" s="19" t="s">
        <v>52</v>
      </c>
      <c r="Z259" s="19" t="s">
        <v>52</v>
      </c>
      <c r="AA259" s="19" t="s">
        <v>52</v>
      </c>
      <c r="AB259" s="28"/>
    </row>
    <row r="260" spans="1:28" s="29" customFormat="1" ht="15" customHeight="1" x14ac:dyDescent="0.25">
      <c r="A260" s="14">
        <v>4</v>
      </c>
      <c r="B260" s="15">
        <v>45857</v>
      </c>
      <c r="C260" s="15">
        <f t="shared" si="20"/>
        <v>45865</v>
      </c>
      <c r="D260" s="14">
        <v>13120</v>
      </c>
      <c r="E260" s="16" t="s">
        <v>310</v>
      </c>
      <c r="F260" s="17" t="s">
        <v>311</v>
      </c>
      <c r="G260" s="17" t="s">
        <v>132</v>
      </c>
      <c r="H260" s="18" t="s">
        <v>133</v>
      </c>
      <c r="I260" s="19" t="s">
        <v>198</v>
      </c>
      <c r="J260" s="20">
        <v>45826</v>
      </c>
      <c r="K260" s="20">
        <v>45854</v>
      </c>
      <c r="L260" s="21">
        <v>250000</v>
      </c>
      <c r="M260" s="22">
        <f t="shared" si="21"/>
        <v>249395</v>
      </c>
      <c r="N260" s="23">
        <v>249395</v>
      </c>
      <c r="O260" s="23">
        <v>0</v>
      </c>
      <c r="P260" s="24">
        <f t="shared" si="22"/>
        <v>605</v>
      </c>
      <c r="Q260" s="25">
        <v>0</v>
      </c>
      <c r="R260" s="26">
        <v>160000</v>
      </c>
      <c r="S260" s="91">
        <f t="shared" si="23"/>
        <v>3.7812499999999999E-3</v>
      </c>
      <c r="T260" s="91">
        <f t="shared" si="24"/>
        <v>0</v>
      </c>
      <c r="U260" s="27" t="s">
        <v>56</v>
      </c>
      <c r="V260" s="19" t="s">
        <v>51</v>
      </c>
      <c r="W260" s="20">
        <v>45845</v>
      </c>
      <c r="X260" s="22" t="s">
        <v>251</v>
      </c>
      <c r="Y260" s="19" t="s">
        <v>52</v>
      </c>
      <c r="Z260" s="19" t="s">
        <v>52</v>
      </c>
      <c r="AA260" s="19" t="s">
        <v>52</v>
      </c>
      <c r="AB260" s="28"/>
    </row>
    <row r="261" spans="1:28" s="29" customFormat="1" ht="15" customHeight="1" x14ac:dyDescent="0.25">
      <c r="A261" s="14">
        <v>12</v>
      </c>
      <c r="B261" s="15">
        <v>45857</v>
      </c>
      <c r="C261" s="15">
        <f t="shared" si="20"/>
        <v>45865</v>
      </c>
      <c r="D261" s="14">
        <v>13083</v>
      </c>
      <c r="E261" s="16" t="s">
        <v>163</v>
      </c>
      <c r="F261" s="17" t="s">
        <v>164</v>
      </c>
      <c r="G261" s="17" t="s">
        <v>132</v>
      </c>
      <c r="H261" s="18" t="s">
        <v>162</v>
      </c>
      <c r="I261" s="19" t="s">
        <v>135</v>
      </c>
      <c r="J261" s="20">
        <v>45811</v>
      </c>
      <c r="K261" s="20">
        <v>45884</v>
      </c>
      <c r="L261" s="21">
        <v>30000</v>
      </c>
      <c r="M261" s="22">
        <f t="shared" si="21"/>
        <v>34970</v>
      </c>
      <c r="N261" s="23">
        <v>34970</v>
      </c>
      <c r="O261" s="23">
        <v>0</v>
      </c>
      <c r="P261" s="24">
        <f t="shared" si="22"/>
        <v>-4970</v>
      </c>
      <c r="Q261" s="25">
        <v>0</v>
      </c>
      <c r="R261" s="26">
        <v>69948</v>
      </c>
      <c r="S261" s="91">
        <f t="shared" si="23"/>
        <v>0</v>
      </c>
      <c r="T261" s="91">
        <f t="shared" si="24"/>
        <v>0</v>
      </c>
      <c r="U261" s="27" t="s">
        <v>56</v>
      </c>
      <c r="V261" s="19" t="s">
        <v>51</v>
      </c>
      <c r="W261" s="20">
        <v>45862</v>
      </c>
      <c r="X261" s="22" t="s">
        <v>251</v>
      </c>
      <c r="Y261" s="19" t="s">
        <v>52</v>
      </c>
      <c r="Z261" s="19" t="s">
        <v>52</v>
      </c>
      <c r="AA261" s="19" t="s">
        <v>52</v>
      </c>
      <c r="AB261" s="28"/>
    </row>
    <row r="262" spans="1:28" s="29" customFormat="1" ht="15" customHeight="1" x14ac:dyDescent="0.25">
      <c r="A262" s="14">
        <v>4</v>
      </c>
      <c r="B262" s="15">
        <v>45860</v>
      </c>
      <c r="C262" s="15">
        <f t="shared" si="20"/>
        <v>45868</v>
      </c>
      <c r="D262" s="14">
        <v>13132</v>
      </c>
      <c r="E262" s="16" t="s">
        <v>244</v>
      </c>
      <c r="F262" s="17" t="s">
        <v>243</v>
      </c>
      <c r="G262" s="17" t="s">
        <v>102</v>
      </c>
      <c r="H262" s="18" t="s">
        <v>542</v>
      </c>
      <c r="I262" s="19" t="s">
        <v>63</v>
      </c>
      <c r="J262" s="20">
        <v>45826</v>
      </c>
      <c r="K262" s="20">
        <v>45853</v>
      </c>
      <c r="L262" s="21">
        <v>504000</v>
      </c>
      <c r="M262" s="22">
        <f t="shared" si="21"/>
        <v>496000</v>
      </c>
      <c r="N262" s="23">
        <v>496000</v>
      </c>
      <c r="O262" s="23">
        <v>0</v>
      </c>
      <c r="P262" s="24">
        <f t="shared" si="22"/>
        <v>8000</v>
      </c>
      <c r="Q262" s="25">
        <v>0</v>
      </c>
      <c r="R262" s="26">
        <v>84000</v>
      </c>
      <c r="S262" s="91">
        <f t="shared" si="23"/>
        <v>9.5238095238095233E-2</v>
      </c>
      <c r="T262" s="91">
        <f t="shared" si="24"/>
        <v>0</v>
      </c>
      <c r="U262" s="27" t="s">
        <v>50</v>
      </c>
      <c r="V262" s="19" t="s">
        <v>51</v>
      </c>
      <c r="W262" s="20">
        <v>45845</v>
      </c>
      <c r="X262" s="22" t="s">
        <v>251</v>
      </c>
      <c r="Y262" s="19" t="s">
        <v>52</v>
      </c>
      <c r="Z262" s="19" t="s">
        <v>52</v>
      </c>
      <c r="AA262" s="19" t="s">
        <v>52</v>
      </c>
      <c r="AB262" s="28"/>
    </row>
    <row r="263" spans="1:28" s="29" customFormat="1" ht="15" customHeight="1" x14ac:dyDescent="0.25">
      <c r="A263" s="14">
        <v>5</v>
      </c>
      <c r="B263" s="15">
        <v>45857</v>
      </c>
      <c r="C263" s="15">
        <f t="shared" si="20"/>
        <v>45865</v>
      </c>
      <c r="D263" s="14">
        <v>13073</v>
      </c>
      <c r="E263" s="16" t="s">
        <v>297</v>
      </c>
      <c r="F263" s="17" t="s">
        <v>298</v>
      </c>
      <c r="G263" s="17" t="s">
        <v>102</v>
      </c>
      <c r="H263" s="18" t="s">
        <v>57</v>
      </c>
      <c r="I263" s="19" t="s">
        <v>94</v>
      </c>
      <c r="J263" s="20">
        <v>45825</v>
      </c>
      <c r="K263" s="20">
        <v>45853</v>
      </c>
      <c r="L263" s="21">
        <v>800000</v>
      </c>
      <c r="M263" s="22">
        <f t="shared" si="21"/>
        <v>804000</v>
      </c>
      <c r="N263" s="23">
        <v>804000</v>
      </c>
      <c r="O263" s="23">
        <v>0</v>
      </c>
      <c r="P263" s="24">
        <f t="shared" si="22"/>
        <v>-4000</v>
      </c>
      <c r="Q263" s="25">
        <v>0</v>
      </c>
      <c r="R263" s="26">
        <v>30000</v>
      </c>
      <c r="S263" s="91">
        <f t="shared" si="23"/>
        <v>0</v>
      </c>
      <c r="T263" s="91">
        <f t="shared" si="24"/>
        <v>0</v>
      </c>
      <c r="U263" s="27" t="s">
        <v>50</v>
      </c>
      <c r="V263" s="19" t="s">
        <v>51</v>
      </c>
      <c r="W263" s="20">
        <v>45845</v>
      </c>
      <c r="X263" s="22" t="s">
        <v>251</v>
      </c>
      <c r="Y263" s="19" t="s">
        <v>52</v>
      </c>
      <c r="Z263" s="19" t="s">
        <v>52</v>
      </c>
      <c r="AA263" s="19" t="s">
        <v>52</v>
      </c>
      <c r="AB263" s="28"/>
    </row>
    <row r="264" spans="1:28" s="29" customFormat="1" ht="15" customHeight="1" x14ac:dyDescent="0.25">
      <c r="A264" s="14">
        <v>7</v>
      </c>
      <c r="B264" s="15">
        <v>45863</v>
      </c>
      <c r="C264" s="15">
        <f t="shared" si="20"/>
        <v>45871</v>
      </c>
      <c r="D264" s="14">
        <v>13279</v>
      </c>
      <c r="E264" s="16" t="s">
        <v>726</v>
      </c>
      <c r="F264" s="40" t="s">
        <v>727</v>
      </c>
      <c r="G264" s="17" t="s">
        <v>75</v>
      </c>
      <c r="H264" s="18" t="s">
        <v>57</v>
      </c>
      <c r="I264" s="19" t="s">
        <v>94</v>
      </c>
      <c r="J264" s="20">
        <v>45854</v>
      </c>
      <c r="K264" s="20">
        <v>45868</v>
      </c>
      <c r="L264" s="21">
        <v>294000</v>
      </c>
      <c r="M264" s="22">
        <f t="shared" si="21"/>
        <v>294000</v>
      </c>
      <c r="N264" s="23">
        <v>294000</v>
      </c>
      <c r="O264" s="23">
        <v>0</v>
      </c>
      <c r="P264" s="24">
        <f t="shared" si="22"/>
        <v>0</v>
      </c>
      <c r="Q264" s="25">
        <v>0</v>
      </c>
      <c r="R264" s="26">
        <v>100000</v>
      </c>
      <c r="S264" s="91">
        <f t="shared" si="23"/>
        <v>0</v>
      </c>
      <c r="T264" s="91">
        <f t="shared" si="24"/>
        <v>0</v>
      </c>
      <c r="U264" s="27" t="s">
        <v>50</v>
      </c>
      <c r="V264" s="19" t="s">
        <v>59</v>
      </c>
      <c r="W264" s="20">
        <v>45863</v>
      </c>
      <c r="X264" s="22" t="s">
        <v>251</v>
      </c>
      <c r="Y264" s="19" t="s">
        <v>52</v>
      </c>
      <c r="Z264" s="19" t="s">
        <v>52</v>
      </c>
      <c r="AA264" s="19" t="s">
        <v>52</v>
      </c>
      <c r="AB264" s="28"/>
    </row>
    <row r="265" spans="1:28" s="29" customFormat="1" ht="15" customHeight="1" x14ac:dyDescent="0.25">
      <c r="A265" s="14">
        <v>2</v>
      </c>
      <c r="B265" s="15">
        <v>45880</v>
      </c>
      <c r="C265" s="15">
        <f t="shared" si="20"/>
        <v>45888</v>
      </c>
      <c r="D265" s="14">
        <v>13199</v>
      </c>
      <c r="E265" s="16" t="s">
        <v>196</v>
      </c>
      <c r="F265" s="17" t="s">
        <v>197</v>
      </c>
      <c r="G265" s="17" t="s">
        <v>47</v>
      </c>
      <c r="H265" s="18" t="s">
        <v>62</v>
      </c>
      <c r="I265" s="19" t="s">
        <v>63</v>
      </c>
      <c r="J265" s="20">
        <v>45838</v>
      </c>
      <c r="K265" s="20">
        <v>45863</v>
      </c>
      <c r="L265" s="21">
        <v>100000</v>
      </c>
      <c r="M265" s="22">
        <f t="shared" si="21"/>
        <v>134000</v>
      </c>
      <c r="N265" s="23">
        <v>134000</v>
      </c>
      <c r="O265" s="23">
        <v>0</v>
      </c>
      <c r="P265" s="24">
        <f t="shared" si="22"/>
        <v>-34000</v>
      </c>
      <c r="Q265" s="25">
        <v>0</v>
      </c>
      <c r="R265" s="26">
        <v>50000</v>
      </c>
      <c r="S265" s="91">
        <f t="shared" si="23"/>
        <v>0</v>
      </c>
      <c r="T265" s="91">
        <f t="shared" si="24"/>
        <v>0</v>
      </c>
      <c r="U265" s="27" t="s">
        <v>50</v>
      </c>
      <c r="V265" s="19" t="s">
        <v>51</v>
      </c>
      <c r="W265" s="20">
        <v>45854</v>
      </c>
      <c r="X265" s="22" t="s">
        <v>251</v>
      </c>
      <c r="Y265" s="19" t="s">
        <v>52</v>
      </c>
      <c r="Z265" s="19" t="s">
        <v>52</v>
      </c>
      <c r="AA265" s="19" t="s">
        <v>52</v>
      </c>
      <c r="AB265" s="42"/>
    </row>
    <row r="266" spans="1:28" s="29" customFormat="1" ht="15" customHeight="1" x14ac:dyDescent="0.25">
      <c r="A266" s="14">
        <v>3</v>
      </c>
      <c r="B266" s="15">
        <v>45860</v>
      </c>
      <c r="C266" s="15">
        <f t="shared" si="20"/>
        <v>45868</v>
      </c>
      <c r="D266" s="14">
        <v>13202</v>
      </c>
      <c r="E266" s="16" t="s">
        <v>263</v>
      </c>
      <c r="F266" s="17" t="s">
        <v>264</v>
      </c>
      <c r="G266" s="17" t="s">
        <v>47</v>
      </c>
      <c r="H266" s="18" t="s">
        <v>54</v>
      </c>
      <c r="I266" s="19" t="s">
        <v>55</v>
      </c>
      <c r="J266" s="20">
        <v>45845</v>
      </c>
      <c r="K266" s="20">
        <v>45866</v>
      </c>
      <c r="L266" s="21">
        <v>400000</v>
      </c>
      <c r="M266" s="22">
        <f t="shared" si="21"/>
        <v>444000</v>
      </c>
      <c r="N266" s="23">
        <v>444000</v>
      </c>
      <c r="O266" s="23">
        <v>0</v>
      </c>
      <c r="P266" s="24">
        <f t="shared" si="22"/>
        <v>-44000</v>
      </c>
      <c r="Q266" s="25">
        <v>0</v>
      </c>
      <c r="R266" s="26">
        <v>50000</v>
      </c>
      <c r="S266" s="91">
        <f t="shared" si="23"/>
        <v>0</v>
      </c>
      <c r="T266" s="91">
        <f t="shared" si="24"/>
        <v>0</v>
      </c>
      <c r="U266" s="27" t="s">
        <v>56</v>
      </c>
      <c r="V266" s="19" t="s">
        <v>51</v>
      </c>
      <c r="W266" s="20">
        <v>45859</v>
      </c>
      <c r="X266" s="22" t="s">
        <v>251</v>
      </c>
      <c r="Y266" s="19" t="s">
        <v>52</v>
      </c>
      <c r="Z266" s="19" t="s">
        <v>52</v>
      </c>
      <c r="AA266" s="19" t="s">
        <v>52</v>
      </c>
      <c r="AB266" s="42"/>
    </row>
    <row r="267" spans="1:28" s="29" customFormat="1" ht="15" customHeight="1" x14ac:dyDescent="0.25">
      <c r="A267" s="14">
        <v>4</v>
      </c>
      <c r="B267" s="15">
        <v>45869</v>
      </c>
      <c r="C267" s="15">
        <f t="shared" si="20"/>
        <v>45877</v>
      </c>
      <c r="D267" s="14">
        <v>13252</v>
      </c>
      <c r="E267" s="16" t="s">
        <v>671</v>
      </c>
      <c r="F267" s="17" t="s">
        <v>672</v>
      </c>
      <c r="G267" s="17" t="s">
        <v>47</v>
      </c>
      <c r="H267" s="18" t="s">
        <v>57</v>
      </c>
      <c r="I267" s="19" t="s">
        <v>58</v>
      </c>
      <c r="J267" s="20">
        <v>45848</v>
      </c>
      <c r="K267" s="20">
        <v>45876</v>
      </c>
      <c r="L267" s="21">
        <v>400000</v>
      </c>
      <c r="M267" s="22">
        <f t="shared" si="21"/>
        <v>418000</v>
      </c>
      <c r="N267" s="23">
        <v>418000</v>
      </c>
      <c r="O267" s="23">
        <v>0</v>
      </c>
      <c r="P267" s="24">
        <f t="shared" si="22"/>
        <v>-18000</v>
      </c>
      <c r="Q267" s="25">
        <v>0</v>
      </c>
      <c r="R267" s="26">
        <v>42000</v>
      </c>
      <c r="S267" s="91">
        <f t="shared" si="23"/>
        <v>0</v>
      </c>
      <c r="T267" s="91">
        <f t="shared" si="24"/>
        <v>0</v>
      </c>
      <c r="U267" s="27" t="s">
        <v>50</v>
      </c>
      <c r="V267" s="19" t="s">
        <v>51</v>
      </c>
      <c r="W267" s="20">
        <v>45864</v>
      </c>
      <c r="X267" s="22" t="s">
        <v>251</v>
      </c>
      <c r="Y267" s="19" t="s">
        <v>52</v>
      </c>
      <c r="Z267" s="19" t="s">
        <v>52</v>
      </c>
      <c r="AA267" s="19" t="s">
        <v>52</v>
      </c>
      <c r="AB267" s="42"/>
    </row>
    <row r="268" spans="1:28" s="29" customFormat="1" ht="15" customHeight="1" x14ac:dyDescent="0.25">
      <c r="A268" s="14">
        <v>10</v>
      </c>
      <c r="B268" s="15">
        <v>45875</v>
      </c>
      <c r="C268" s="15">
        <f t="shared" si="20"/>
        <v>45883</v>
      </c>
      <c r="D268" s="14">
        <v>13196</v>
      </c>
      <c r="E268" s="16" t="s">
        <v>314</v>
      </c>
      <c r="F268" s="17" t="s">
        <v>315</v>
      </c>
      <c r="G268" s="17" t="s">
        <v>47</v>
      </c>
      <c r="H268" s="18" t="s">
        <v>133</v>
      </c>
      <c r="I268" s="19" t="s">
        <v>198</v>
      </c>
      <c r="J268" s="20">
        <v>45839</v>
      </c>
      <c r="K268" s="20">
        <v>45894</v>
      </c>
      <c r="L268" s="21">
        <v>70000</v>
      </c>
      <c r="M268" s="22">
        <f t="shared" si="21"/>
        <v>76000</v>
      </c>
      <c r="N268" s="23">
        <v>76000</v>
      </c>
      <c r="O268" s="23">
        <v>0</v>
      </c>
      <c r="P268" s="24">
        <f t="shared" si="22"/>
        <v>-6000</v>
      </c>
      <c r="Q268" s="25">
        <v>0</v>
      </c>
      <c r="R268" s="26">
        <v>32000</v>
      </c>
      <c r="S268" s="91">
        <f t="shared" si="23"/>
        <v>0</v>
      </c>
      <c r="T268" s="91">
        <f t="shared" si="24"/>
        <v>0</v>
      </c>
      <c r="U268" s="27" t="s">
        <v>56</v>
      </c>
      <c r="V268" s="19" t="s">
        <v>51</v>
      </c>
      <c r="W268" s="20">
        <v>45868</v>
      </c>
      <c r="X268" s="22" t="s">
        <v>251</v>
      </c>
      <c r="Y268" s="19" t="s">
        <v>52</v>
      </c>
      <c r="Z268" s="19" t="s">
        <v>52</v>
      </c>
      <c r="AA268" s="19" t="s">
        <v>52</v>
      </c>
      <c r="AB268" s="42"/>
    </row>
    <row r="269" spans="1:28" s="29" customFormat="1" ht="15" customHeight="1" x14ac:dyDescent="0.25">
      <c r="A269" s="14">
        <v>16</v>
      </c>
      <c r="B269" s="15">
        <v>45860</v>
      </c>
      <c r="C269" s="15">
        <f t="shared" si="20"/>
        <v>45868</v>
      </c>
      <c r="D269" s="14">
        <v>12961</v>
      </c>
      <c r="E269" s="16" t="s">
        <v>407</v>
      </c>
      <c r="F269" s="17" t="s">
        <v>408</v>
      </c>
      <c r="G269" s="17" t="s">
        <v>47</v>
      </c>
      <c r="H269" s="18" t="s">
        <v>57</v>
      </c>
      <c r="I269" s="19" t="s">
        <v>58</v>
      </c>
      <c r="J269" s="20">
        <v>45785</v>
      </c>
      <c r="K269" s="20">
        <v>45839</v>
      </c>
      <c r="L269" s="21">
        <v>1000000</v>
      </c>
      <c r="M269" s="22">
        <f t="shared" si="21"/>
        <v>898000</v>
      </c>
      <c r="N269" s="23">
        <v>898000</v>
      </c>
      <c r="O269" s="23">
        <v>0</v>
      </c>
      <c r="P269" s="24">
        <f t="shared" si="22"/>
        <v>102000</v>
      </c>
      <c r="Q269" s="25">
        <v>0</v>
      </c>
      <c r="R269" s="26">
        <v>48000</v>
      </c>
      <c r="S269" s="91">
        <f t="shared" si="23"/>
        <v>2.125</v>
      </c>
      <c r="T269" s="91">
        <f t="shared" si="24"/>
        <v>0</v>
      </c>
      <c r="U269" s="27" t="s">
        <v>50</v>
      </c>
      <c r="V269" s="19" t="s">
        <v>51</v>
      </c>
      <c r="W269" s="20">
        <v>45817</v>
      </c>
      <c r="X269" s="22" t="s">
        <v>251</v>
      </c>
      <c r="Y269" s="19" t="s">
        <v>52</v>
      </c>
      <c r="Z269" s="19" t="s">
        <v>52</v>
      </c>
      <c r="AA269" s="19" t="s">
        <v>52</v>
      </c>
      <c r="AB269" s="42"/>
    </row>
    <row r="270" spans="1:28" s="29" customFormat="1" ht="15" customHeight="1" x14ac:dyDescent="0.25">
      <c r="A270" s="14">
        <v>3</v>
      </c>
      <c r="B270" s="15">
        <v>45860</v>
      </c>
      <c r="C270" s="15">
        <f t="shared" si="20"/>
        <v>45868</v>
      </c>
      <c r="D270" s="14">
        <v>13027</v>
      </c>
      <c r="E270" s="16" t="s">
        <v>462</v>
      </c>
      <c r="F270" s="40" t="s">
        <v>463</v>
      </c>
      <c r="G270" s="17" t="s">
        <v>75</v>
      </c>
      <c r="H270" s="18" t="s">
        <v>542</v>
      </c>
      <c r="I270" s="19" t="s">
        <v>49</v>
      </c>
      <c r="J270" s="20">
        <v>45799</v>
      </c>
      <c r="K270" s="20">
        <v>45828</v>
      </c>
      <c r="L270" s="21">
        <v>175000</v>
      </c>
      <c r="M270" s="22">
        <f t="shared" si="21"/>
        <v>174000</v>
      </c>
      <c r="N270" s="23">
        <v>174000</v>
      </c>
      <c r="O270" s="23">
        <v>0</v>
      </c>
      <c r="P270" s="24">
        <f t="shared" si="22"/>
        <v>1000</v>
      </c>
      <c r="Q270" s="25">
        <v>0</v>
      </c>
      <c r="R270" s="26">
        <v>150000</v>
      </c>
      <c r="S270" s="91">
        <f t="shared" si="23"/>
        <v>6.6666666666666671E-3</v>
      </c>
      <c r="T270" s="91">
        <f t="shared" si="24"/>
        <v>0</v>
      </c>
      <c r="U270" s="27" t="s">
        <v>50</v>
      </c>
      <c r="V270" s="19" t="s">
        <v>51</v>
      </c>
      <c r="W270" s="20">
        <v>45847</v>
      </c>
      <c r="X270" s="22" t="s">
        <v>251</v>
      </c>
      <c r="Y270" s="19" t="s">
        <v>52</v>
      </c>
      <c r="Z270" s="19" t="s">
        <v>52</v>
      </c>
      <c r="AA270" s="19" t="s">
        <v>52</v>
      </c>
      <c r="AB270" s="28"/>
    </row>
    <row r="271" spans="1:28" s="29" customFormat="1" ht="15" customHeight="1" x14ac:dyDescent="0.25">
      <c r="A271" s="14">
        <v>4</v>
      </c>
      <c r="B271" s="15">
        <v>45867</v>
      </c>
      <c r="C271" s="15">
        <f t="shared" si="20"/>
        <v>45875</v>
      </c>
      <c r="D271" s="14">
        <v>13019</v>
      </c>
      <c r="E271" s="16" t="s">
        <v>87</v>
      </c>
      <c r="F271" s="40" t="s">
        <v>88</v>
      </c>
      <c r="G271" s="17" t="s">
        <v>75</v>
      </c>
      <c r="H271" s="18" t="s">
        <v>542</v>
      </c>
      <c r="I271" s="19" t="s">
        <v>49</v>
      </c>
      <c r="J271" s="20">
        <v>45799</v>
      </c>
      <c r="K271" s="20">
        <v>45831</v>
      </c>
      <c r="L271" s="21">
        <v>1300000</v>
      </c>
      <c r="M271" s="22">
        <f t="shared" si="21"/>
        <v>1269000</v>
      </c>
      <c r="N271" s="23">
        <v>1269000</v>
      </c>
      <c r="O271" s="23">
        <v>0</v>
      </c>
      <c r="P271" s="24">
        <f t="shared" si="22"/>
        <v>31000</v>
      </c>
      <c r="Q271" s="25">
        <v>0</v>
      </c>
      <c r="R271" s="26">
        <v>150000</v>
      </c>
      <c r="S271" s="91">
        <f t="shared" si="23"/>
        <v>0.20666666666666667</v>
      </c>
      <c r="T271" s="91">
        <f t="shared" si="24"/>
        <v>0</v>
      </c>
      <c r="U271" s="27" t="s">
        <v>50</v>
      </c>
      <c r="V271" s="19" t="s">
        <v>51</v>
      </c>
      <c r="W271" s="20">
        <v>45821</v>
      </c>
      <c r="X271" s="22" t="s">
        <v>251</v>
      </c>
      <c r="Y271" s="19" t="s">
        <v>52</v>
      </c>
      <c r="Z271" s="19" t="s">
        <v>52</v>
      </c>
      <c r="AA271" s="19" t="s">
        <v>52</v>
      </c>
      <c r="AB271" s="28"/>
    </row>
    <row r="272" spans="1:28" s="29" customFormat="1" ht="15" customHeight="1" x14ac:dyDescent="0.25">
      <c r="A272" s="14">
        <v>5</v>
      </c>
      <c r="B272" s="15">
        <v>45880</v>
      </c>
      <c r="C272" s="15">
        <f t="shared" si="20"/>
        <v>45888</v>
      </c>
      <c r="D272" s="14">
        <v>12922</v>
      </c>
      <c r="E272" s="16" t="s">
        <v>340</v>
      </c>
      <c r="F272" s="40" t="s">
        <v>201</v>
      </c>
      <c r="G272" s="17" t="s">
        <v>75</v>
      </c>
      <c r="H272" s="18" t="s">
        <v>57</v>
      </c>
      <c r="I272" s="19" t="s">
        <v>58</v>
      </c>
      <c r="J272" s="20">
        <v>45782</v>
      </c>
      <c r="K272" s="20">
        <v>45835</v>
      </c>
      <c r="L272" s="21">
        <v>1000000</v>
      </c>
      <c r="M272" s="22">
        <f t="shared" si="21"/>
        <v>855000</v>
      </c>
      <c r="N272" s="23">
        <v>855000</v>
      </c>
      <c r="O272" s="23">
        <v>0</v>
      </c>
      <c r="P272" s="24">
        <f t="shared" si="22"/>
        <v>145000</v>
      </c>
      <c r="Q272" s="25">
        <v>0</v>
      </c>
      <c r="R272" s="26">
        <v>150000</v>
      </c>
      <c r="S272" s="91">
        <f t="shared" si="23"/>
        <v>0.96666666666666667</v>
      </c>
      <c r="T272" s="91">
        <f t="shared" si="24"/>
        <v>0</v>
      </c>
      <c r="U272" s="27" t="s">
        <v>50</v>
      </c>
      <c r="V272" s="19" t="s">
        <v>51</v>
      </c>
      <c r="W272" s="20">
        <v>45798</v>
      </c>
      <c r="X272" s="22" t="s">
        <v>251</v>
      </c>
      <c r="Y272" s="19" t="s">
        <v>52</v>
      </c>
      <c r="Z272" s="19" t="s">
        <v>52</v>
      </c>
      <c r="AA272" s="19" t="s">
        <v>52</v>
      </c>
      <c r="AB272" s="28"/>
    </row>
    <row r="273" spans="1:28" s="29" customFormat="1" ht="15" customHeight="1" x14ac:dyDescent="0.25">
      <c r="A273" s="14">
        <v>6</v>
      </c>
      <c r="B273" s="15">
        <v>45860</v>
      </c>
      <c r="C273" s="15">
        <f t="shared" si="20"/>
        <v>45868</v>
      </c>
      <c r="D273" s="14">
        <v>13081</v>
      </c>
      <c r="E273" s="16" t="s">
        <v>390</v>
      </c>
      <c r="F273" s="40" t="s">
        <v>391</v>
      </c>
      <c r="G273" s="17" t="s">
        <v>75</v>
      </c>
      <c r="H273" s="18" t="s">
        <v>257</v>
      </c>
      <c r="I273" s="19" t="s">
        <v>70</v>
      </c>
      <c r="J273" s="20">
        <v>45810</v>
      </c>
      <c r="K273" s="20">
        <v>45840</v>
      </c>
      <c r="L273" s="21">
        <v>1000000</v>
      </c>
      <c r="M273" s="22">
        <f t="shared" si="21"/>
        <v>1050000</v>
      </c>
      <c r="N273" s="23">
        <v>1050000</v>
      </c>
      <c r="O273" s="23">
        <v>0</v>
      </c>
      <c r="P273" s="24">
        <f t="shared" si="22"/>
        <v>-50000</v>
      </c>
      <c r="Q273" s="25">
        <v>0</v>
      </c>
      <c r="R273" s="26">
        <v>150000</v>
      </c>
      <c r="S273" s="91">
        <f t="shared" si="23"/>
        <v>0</v>
      </c>
      <c r="T273" s="91">
        <f t="shared" si="24"/>
        <v>0</v>
      </c>
      <c r="U273" s="27" t="s">
        <v>50</v>
      </c>
      <c r="V273" s="19" t="s">
        <v>51</v>
      </c>
      <c r="W273" s="20">
        <v>45833</v>
      </c>
      <c r="X273" s="22" t="s">
        <v>251</v>
      </c>
      <c r="Y273" s="19" t="s">
        <v>52</v>
      </c>
      <c r="Z273" s="19" t="s">
        <v>52</v>
      </c>
      <c r="AA273" s="19" t="s">
        <v>52</v>
      </c>
      <c r="AB273" s="28"/>
    </row>
    <row r="274" spans="1:28" s="29" customFormat="1" ht="15" customHeight="1" x14ac:dyDescent="0.25">
      <c r="A274" s="14">
        <v>7</v>
      </c>
      <c r="B274" s="15">
        <v>45857</v>
      </c>
      <c r="C274" s="15">
        <f t="shared" si="20"/>
        <v>45865</v>
      </c>
      <c r="D274" s="14">
        <v>13115</v>
      </c>
      <c r="E274" s="16" t="s">
        <v>482</v>
      </c>
      <c r="F274" s="40" t="s">
        <v>483</v>
      </c>
      <c r="G274" s="17" t="s">
        <v>75</v>
      </c>
      <c r="H274" s="18" t="s">
        <v>57</v>
      </c>
      <c r="I274" s="19" t="s">
        <v>58</v>
      </c>
      <c r="J274" s="20">
        <v>45819</v>
      </c>
      <c r="K274" s="20">
        <v>45846</v>
      </c>
      <c r="L274" s="21">
        <v>1200000</v>
      </c>
      <c r="M274" s="22">
        <f t="shared" si="21"/>
        <v>1246000</v>
      </c>
      <c r="N274" s="23">
        <v>1246000</v>
      </c>
      <c r="O274" s="23">
        <v>0</v>
      </c>
      <c r="P274" s="24">
        <f t="shared" si="22"/>
        <v>-46000</v>
      </c>
      <c r="Q274" s="25">
        <v>0</v>
      </c>
      <c r="R274" s="26">
        <v>50000</v>
      </c>
      <c r="S274" s="91">
        <f t="shared" si="23"/>
        <v>0</v>
      </c>
      <c r="T274" s="91">
        <f t="shared" si="24"/>
        <v>0</v>
      </c>
      <c r="U274" s="27" t="s">
        <v>50</v>
      </c>
      <c r="V274" s="19" t="s">
        <v>51</v>
      </c>
      <c r="W274" s="20">
        <v>45842</v>
      </c>
      <c r="X274" s="22" t="s">
        <v>251</v>
      </c>
      <c r="Y274" s="19" t="s">
        <v>52</v>
      </c>
      <c r="Z274" s="19" t="s">
        <v>52</v>
      </c>
      <c r="AA274" s="19" t="s">
        <v>52</v>
      </c>
      <c r="AB274" s="28"/>
    </row>
    <row r="275" spans="1:28" s="29" customFormat="1" ht="15" customHeight="1" x14ac:dyDescent="0.25">
      <c r="A275" s="14">
        <v>8</v>
      </c>
      <c r="B275" s="15">
        <v>45869</v>
      </c>
      <c r="C275" s="15">
        <f t="shared" si="20"/>
        <v>45877</v>
      </c>
      <c r="D275" s="14">
        <v>13097</v>
      </c>
      <c r="E275" s="16" t="s">
        <v>430</v>
      </c>
      <c r="F275" s="40" t="s">
        <v>431</v>
      </c>
      <c r="G275" s="17" t="s">
        <v>75</v>
      </c>
      <c r="H275" s="18" t="s">
        <v>542</v>
      </c>
      <c r="I275" s="19" t="s">
        <v>70</v>
      </c>
      <c r="J275" s="20">
        <v>45814</v>
      </c>
      <c r="K275" s="20">
        <v>45848</v>
      </c>
      <c r="L275" s="21">
        <v>2000000</v>
      </c>
      <c r="M275" s="22">
        <f t="shared" si="21"/>
        <v>1947000</v>
      </c>
      <c r="N275" s="23">
        <v>1947000</v>
      </c>
      <c r="O275" s="23">
        <v>0</v>
      </c>
      <c r="P275" s="24">
        <f t="shared" si="22"/>
        <v>53000</v>
      </c>
      <c r="Q275" s="25">
        <v>0</v>
      </c>
      <c r="R275" s="26">
        <v>150000</v>
      </c>
      <c r="S275" s="91">
        <f t="shared" si="23"/>
        <v>0.35333333333333333</v>
      </c>
      <c r="T275" s="91">
        <f t="shared" si="24"/>
        <v>0</v>
      </c>
      <c r="U275" s="27" t="s">
        <v>50</v>
      </c>
      <c r="V275" s="19" t="s">
        <v>51</v>
      </c>
      <c r="W275" s="20">
        <v>45842</v>
      </c>
      <c r="X275" s="22" t="s">
        <v>251</v>
      </c>
      <c r="Y275" s="19" t="s">
        <v>52</v>
      </c>
      <c r="Z275" s="19" t="s">
        <v>52</v>
      </c>
      <c r="AA275" s="19" t="s">
        <v>52</v>
      </c>
      <c r="AB275" s="28"/>
    </row>
    <row r="276" spans="1:28" s="29" customFormat="1" ht="15" customHeight="1" x14ac:dyDescent="0.25">
      <c r="A276" s="14">
        <v>9</v>
      </c>
      <c r="B276" s="15">
        <v>45860</v>
      </c>
      <c r="C276" s="15">
        <f t="shared" si="20"/>
        <v>45868</v>
      </c>
      <c r="D276" s="14">
        <v>13091</v>
      </c>
      <c r="E276" s="16" t="s">
        <v>497</v>
      </c>
      <c r="F276" s="40" t="s">
        <v>498</v>
      </c>
      <c r="G276" s="17" t="s">
        <v>75</v>
      </c>
      <c r="H276" s="18" t="s">
        <v>133</v>
      </c>
      <c r="I276" s="19" t="s">
        <v>198</v>
      </c>
      <c r="J276" s="20">
        <v>45812</v>
      </c>
      <c r="K276" s="20">
        <v>45859</v>
      </c>
      <c r="L276" s="21">
        <v>60000</v>
      </c>
      <c r="M276" s="22">
        <f t="shared" si="21"/>
        <v>72000</v>
      </c>
      <c r="N276" s="23">
        <v>72000</v>
      </c>
      <c r="O276" s="23">
        <v>0</v>
      </c>
      <c r="P276" s="24">
        <f t="shared" si="22"/>
        <v>-12000</v>
      </c>
      <c r="Q276" s="25">
        <v>0</v>
      </c>
      <c r="R276" s="26">
        <v>60000</v>
      </c>
      <c r="S276" s="91">
        <f t="shared" si="23"/>
        <v>0</v>
      </c>
      <c r="T276" s="91">
        <f t="shared" si="24"/>
        <v>0</v>
      </c>
      <c r="U276" s="27" t="s">
        <v>56</v>
      </c>
      <c r="V276" s="19" t="s">
        <v>51</v>
      </c>
      <c r="W276" s="20">
        <v>45854</v>
      </c>
      <c r="X276" s="22" t="s">
        <v>251</v>
      </c>
      <c r="Y276" s="19" t="s">
        <v>52</v>
      </c>
      <c r="Z276" s="19" t="s">
        <v>52</v>
      </c>
      <c r="AA276" s="19" t="s">
        <v>52</v>
      </c>
      <c r="AB276" s="28"/>
    </row>
    <row r="277" spans="1:28" s="29" customFormat="1" ht="15" customHeight="1" x14ac:dyDescent="0.25">
      <c r="A277" s="14">
        <v>12</v>
      </c>
      <c r="B277" s="15">
        <v>45867</v>
      </c>
      <c r="C277" s="15">
        <f t="shared" si="20"/>
        <v>45875</v>
      </c>
      <c r="D277" s="14">
        <v>13256</v>
      </c>
      <c r="E277" s="16" t="s">
        <v>339</v>
      </c>
      <c r="F277" s="40" t="s">
        <v>722</v>
      </c>
      <c r="G277" s="17" t="s">
        <v>75</v>
      </c>
      <c r="H277" s="18" t="s">
        <v>57</v>
      </c>
      <c r="I277" s="19" t="s">
        <v>58</v>
      </c>
      <c r="J277" s="20">
        <v>45849</v>
      </c>
      <c r="K277" s="20">
        <v>45876</v>
      </c>
      <c r="L277" s="21">
        <v>600000</v>
      </c>
      <c r="M277" s="22">
        <f t="shared" si="21"/>
        <v>588000</v>
      </c>
      <c r="N277" s="23">
        <v>588000</v>
      </c>
      <c r="O277" s="23">
        <v>0</v>
      </c>
      <c r="P277" s="24">
        <f t="shared" si="22"/>
        <v>12000</v>
      </c>
      <c r="Q277" s="25">
        <v>0</v>
      </c>
      <c r="R277" s="26">
        <v>144000</v>
      </c>
      <c r="S277" s="91">
        <f t="shared" si="23"/>
        <v>8.3333333333333329E-2</v>
      </c>
      <c r="T277" s="91">
        <f t="shared" si="24"/>
        <v>0</v>
      </c>
      <c r="U277" s="27" t="s">
        <v>50</v>
      </c>
      <c r="V277" s="19" t="s">
        <v>51</v>
      </c>
      <c r="W277" s="20">
        <v>45863</v>
      </c>
      <c r="X277" s="22" t="s">
        <v>251</v>
      </c>
      <c r="Y277" s="19" t="s">
        <v>52</v>
      </c>
      <c r="Z277" s="19" t="s">
        <v>52</v>
      </c>
      <c r="AA277" s="19" t="s">
        <v>52</v>
      </c>
      <c r="AB277" s="28"/>
    </row>
    <row r="278" spans="1:28" s="29" customFormat="1" ht="15" customHeight="1" x14ac:dyDescent="0.25">
      <c r="A278" s="14">
        <v>14</v>
      </c>
      <c r="B278" s="15">
        <v>45874</v>
      </c>
      <c r="C278" s="15">
        <f t="shared" si="20"/>
        <v>45882</v>
      </c>
      <c r="D278" s="14">
        <v>13276</v>
      </c>
      <c r="E278" s="16" t="s">
        <v>190</v>
      </c>
      <c r="F278" s="40" t="s">
        <v>191</v>
      </c>
      <c r="G278" s="17" t="s">
        <v>75</v>
      </c>
      <c r="H278" s="18" t="s">
        <v>542</v>
      </c>
      <c r="I278" s="19" t="s">
        <v>49</v>
      </c>
      <c r="J278" s="20">
        <v>45855</v>
      </c>
      <c r="K278" s="20">
        <v>45894</v>
      </c>
      <c r="L278" s="21">
        <v>250000</v>
      </c>
      <c r="M278" s="22">
        <f t="shared" si="21"/>
        <v>257000</v>
      </c>
      <c r="N278" s="23">
        <v>257000</v>
      </c>
      <c r="O278" s="23">
        <v>0</v>
      </c>
      <c r="P278" s="24">
        <f t="shared" si="22"/>
        <v>-7000</v>
      </c>
      <c r="Q278" s="25">
        <v>0</v>
      </c>
      <c r="R278" s="26">
        <v>50000</v>
      </c>
      <c r="S278" s="91">
        <f t="shared" si="23"/>
        <v>0</v>
      </c>
      <c r="T278" s="91">
        <f t="shared" si="24"/>
        <v>0</v>
      </c>
      <c r="U278" s="27" t="s">
        <v>50</v>
      </c>
      <c r="V278" s="19" t="s">
        <v>59</v>
      </c>
      <c r="W278" s="20">
        <v>45878</v>
      </c>
      <c r="X278" s="22" t="s">
        <v>251</v>
      </c>
      <c r="Y278" s="19" t="s">
        <v>52</v>
      </c>
      <c r="Z278" s="19" t="s">
        <v>52</v>
      </c>
      <c r="AA278" s="19" t="s">
        <v>52</v>
      </c>
      <c r="AB278" s="28"/>
    </row>
    <row r="279" spans="1:28" s="29" customFormat="1" ht="15" customHeight="1" x14ac:dyDescent="0.25">
      <c r="A279" s="14">
        <v>17</v>
      </c>
      <c r="B279" s="15">
        <v>45875</v>
      </c>
      <c r="C279" s="15">
        <f t="shared" si="20"/>
        <v>45883</v>
      </c>
      <c r="D279" s="14">
        <v>13298</v>
      </c>
      <c r="E279" s="16" t="s">
        <v>261</v>
      </c>
      <c r="F279" s="40" t="s">
        <v>262</v>
      </c>
      <c r="G279" s="17" t="s">
        <v>75</v>
      </c>
      <c r="H279" s="18" t="s">
        <v>54</v>
      </c>
      <c r="I279" s="19" t="s">
        <v>86</v>
      </c>
      <c r="J279" s="20">
        <v>45859</v>
      </c>
      <c r="K279" s="20">
        <v>45898</v>
      </c>
      <c r="L279" s="21">
        <v>200000</v>
      </c>
      <c r="M279" s="22">
        <f t="shared" si="21"/>
        <v>261000</v>
      </c>
      <c r="N279" s="23">
        <v>261000</v>
      </c>
      <c r="O279" s="23">
        <v>0</v>
      </c>
      <c r="P279" s="24">
        <f t="shared" si="22"/>
        <v>-61000</v>
      </c>
      <c r="Q279" s="25">
        <v>0</v>
      </c>
      <c r="R279" s="26">
        <v>63000</v>
      </c>
      <c r="S279" s="91">
        <f t="shared" si="23"/>
        <v>0</v>
      </c>
      <c r="T279" s="91">
        <f t="shared" si="24"/>
        <v>0</v>
      </c>
      <c r="U279" s="27" t="s">
        <v>56</v>
      </c>
      <c r="V279" s="19" t="s">
        <v>59</v>
      </c>
      <c r="W279" s="20">
        <v>45884</v>
      </c>
      <c r="X279" s="22" t="s">
        <v>251</v>
      </c>
      <c r="Y279" s="19" t="s">
        <v>52</v>
      </c>
      <c r="Z279" s="19" t="s">
        <v>52</v>
      </c>
      <c r="AA279" s="19" t="s">
        <v>52</v>
      </c>
      <c r="AB279" s="28"/>
    </row>
    <row r="280" spans="1:28" s="29" customFormat="1" ht="15" customHeight="1" x14ac:dyDescent="0.25">
      <c r="A280" s="14">
        <v>18</v>
      </c>
      <c r="B280" s="15">
        <v>45875</v>
      </c>
      <c r="C280" s="15">
        <f t="shared" si="20"/>
        <v>45883</v>
      </c>
      <c r="D280" s="14">
        <v>13234</v>
      </c>
      <c r="E280" s="16" t="s">
        <v>199</v>
      </c>
      <c r="F280" s="40" t="s">
        <v>200</v>
      </c>
      <c r="G280" s="17" t="s">
        <v>75</v>
      </c>
      <c r="H280" s="18" t="s">
        <v>133</v>
      </c>
      <c r="I280" s="19" t="s">
        <v>198</v>
      </c>
      <c r="J280" s="20">
        <v>45849</v>
      </c>
      <c r="K280" s="20">
        <v>45910</v>
      </c>
      <c r="L280" s="21">
        <v>150000</v>
      </c>
      <c r="M280" s="22">
        <f t="shared" si="21"/>
        <v>136000</v>
      </c>
      <c r="N280" s="23">
        <v>136000</v>
      </c>
      <c r="O280" s="23">
        <v>0</v>
      </c>
      <c r="P280" s="24">
        <f t="shared" si="22"/>
        <v>14000</v>
      </c>
      <c r="Q280" s="25">
        <v>0</v>
      </c>
      <c r="R280" s="26">
        <v>60000</v>
      </c>
      <c r="S280" s="91">
        <f t="shared" si="23"/>
        <v>0.23333333333333334</v>
      </c>
      <c r="T280" s="91">
        <f t="shared" si="24"/>
        <v>0</v>
      </c>
      <c r="U280" s="27" t="s">
        <v>56</v>
      </c>
      <c r="V280" s="19" t="s">
        <v>51</v>
      </c>
      <c r="W280" s="20">
        <v>45868</v>
      </c>
      <c r="X280" s="22" t="s">
        <v>251</v>
      </c>
      <c r="Y280" s="19" t="s">
        <v>52</v>
      </c>
      <c r="Z280" s="19" t="s">
        <v>52</v>
      </c>
      <c r="AA280" s="19" t="s">
        <v>52</v>
      </c>
      <c r="AB280" s="28"/>
    </row>
    <row r="281" spans="1:28" s="29" customFormat="1" ht="15" customHeight="1" x14ac:dyDescent="0.25">
      <c r="A281" s="14">
        <v>1</v>
      </c>
      <c r="B281" s="15">
        <v>45869</v>
      </c>
      <c r="C281" s="15">
        <f t="shared" si="20"/>
        <v>45877</v>
      </c>
      <c r="D281" s="14">
        <v>13025</v>
      </c>
      <c r="E281" s="16" t="s">
        <v>105</v>
      </c>
      <c r="F281" s="17" t="s">
        <v>106</v>
      </c>
      <c r="G281" s="17" t="s">
        <v>102</v>
      </c>
      <c r="H281" s="18" t="s">
        <v>542</v>
      </c>
      <c r="I281" s="19" t="s">
        <v>49</v>
      </c>
      <c r="J281" s="20">
        <v>45799</v>
      </c>
      <c r="K281" s="20">
        <v>45839</v>
      </c>
      <c r="L281" s="21">
        <v>2100000</v>
      </c>
      <c r="M281" s="22">
        <f t="shared" si="21"/>
        <v>2064000</v>
      </c>
      <c r="N281" s="23">
        <v>2064000</v>
      </c>
      <c r="O281" s="23">
        <v>0</v>
      </c>
      <c r="P281" s="24">
        <f t="shared" si="22"/>
        <v>36000</v>
      </c>
      <c r="Q281" s="25">
        <v>0</v>
      </c>
      <c r="R281" s="26">
        <v>50000</v>
      </c>
      <c r="S281" s="91">
        <f t="shared" si="23"/>
        <v>0.72</v>
      </c>
      <c r="T281" s="91">
        <f t="shared" si="24"/>
        <v>0</v>
      </c>
      <c r="U281" s="27" t="s">
        <v>50</v>
      </c>
      <c r="V281" s="19" t="s">
        <v>51</v>
      </c>
      <c r="W281" s="20">
        <v>45833</v>
      </c>
      <c r="X281" s="22" t="s">
        <v>251</v>
      </c>
      <c r="Y281" s="19" t="s">
        <v>52</v>
      </c>
      <c r="Z281" s="19" t="s">
        <v>52</v>
      </c>
      <c r="AA281" s="19" t="s">
        <v>52</v>
      </c>
      <c r="AB281" s="28"/>
    </row>
    <row r="282" spans="1:28" s="29" customFormat="1" ht="15" customHeight="1" x14ac:dyDescent="0.25">
      <c r="A282" s="14">
        <v>2</v>
      </c>
      <c r="B282" s="15">
        <v>45880</v>
      </c>
      <c r="C282" s="15">
        <f t="shared" si="20"/>
        <v>45888</v>
      </c>
      <c r="D282" s="14">
        <v>13071</v>
      </c>
      <c r="E282" s="16" t="s">
        <v>680</v>
      </c>
      <c r="F282" s="17" t="s">
        <v>681</v>
      </c>
      <c r="G282" s="17" t="s">
        <v>102</v>
      </c>
      <c r="H282" s="18" t="s">
        <v>542</v>
      </c>
      <c r="I282" s="19" t="s">
        <v>104</v>
      </c>
      <c r="J282" s="20">
        <v>45810</v>
      </c>
      <c r="K282" s="20">
        <v>45839</v>
      </c>
      <c r="L282" s="21">
        <v>1000000</v>
      </c>
      <c r="M282" s="22">
        <f t="shared" si="21"/>
        <v>878000</v>
      </c>
      <c r="N282" s="23">
        <v>878000</v>
      </c>
      <c r="O282" s="23">
        <v>0</v>
      </c>
      <c r="P282" s="24">
        <f t="shared" si="22"/>
        <v>122000</v>
      </c>
      <c r="Q282" s="25">
        <v>0</v>
      </c>
      <c r="R282" s="26">
        <v>63000</v>
      </c>
      <c r="S282" s="91">
        <f t="shared" si="23"/>
        <v>1.9365079365079365</v>
      </c>
      <c r="T282" s="91">
        <f t="shared" si="24"/>
        <v>0</v>
      </c>
      <c r="U282" s="27" t="s">
        <v>50</v>
      </c>
      <c r="V282" s="19" t="s">
        <v>51</v>
      </c>
      <c r="W282" s="20">
        <v>45842</v>
      </c>
      <c r="X282" s="22" t="s">
        <v>251</v>
      </c>
      <c r="Y282" s="19" t="s">
        <v>52</v>
      </c>
      <c r="Z282" s="19" t="s">
        <v>52</v>
      </c>
      <c r="AA282" s="19" t="s">
        <v>52</v>
      </c>
      <c r="AB282" s="28"/>
    </row>
    <row r="283" spans="1:28" s="29" customFormat="1" ht="15" customHeight="1" x14ac:dyDescent="0.25">
      <c r="A283" s="14">
        <v>3</v>
      </c>
      <c r="B283" s="15">
        <v>45874</v>
      </c>
      <c r="C283" s="15">
        <f t="shared" si="20"/>
        <v>45882</v>
      </c>
      <c r="D283" s="14">
        <v>13114</v>
      </c>
      <c r="E283" s="16" t="s">
        <v>372</v>
      </c>
      <c r="F283" s="17" t="s">
        <v>478</v>
      </c>
      <c r="G283" s="17" t="s">
        <v>102</v>
      </c>
      <c r="H283" s="18" t="s">
        <v>57</v>
      </c>
      <c r="I283" s="19" t="s">
        <v>58</v>
      </c>
      <c r="J283" s="20">
        <v>45819</v>
      </c>
      <c r="K283" s="20">
        <v>45846</v>
      </c>
      <c r="L283" s="21">
        <v>1000000</v>
      </c>
      <c r="M283" s="22">
        <f t="shared" si="21"/>
        <v>1007000</v>
      </c>
      <c r="N283" s="23">
        <v>1007000</v>
      </c>
      <c r="O283" s="23">
        <v>0</v>
      </c>
      <c r="P283" s="24">
        <f t="shared" si="22"/>
        <v>-7000</v>
      </c>
      <c r="Q283" s="25">
        <v>0</v>
      </c>
      <c r="R283" s="26">
        <v>48000</v>
      </c>
      <c r="S283" s="91">
        <f t="shared" si="23"/>
        <v>0</v>
      </c>
      <c r="T283" s="91">
        <f t="shared" si="24"/>
        <v>0</v>
      </c>
      <c r="U283" s="27" t="s">
        <v>50</v>
      </c>
      <c r="V283" s="19" t="s">
        <v>51</v>
      </c>
      <c r="W283" s="20">
        <v>45859</v>
      </c>
      <c r="X283" s="22" t="s">
        <v>251</v>
      </c>
      <c r="Y283" s="19" t="s">
        <v>52</v>
      </c>
      <c r="Z283" s="19" t="s">
        <v>52</v>
      </c>
      <c r="AA283" s="19" t="s">
        <v>52</v>
      </c>
      <c r="AB283" s="28"/>
    </row>
    <row r="284" spans="1:28" s="29" customFormat="1" ht="15" customHeight="1" x14ac:dyDescent="0.25">
      <c r="A284" s="14">
        <v>3</v>
      </c>
      <c r="B284" s="15">
        <v>45864</v>
      </c>
      <c r="C284" s="15">
        <f t="shared" si="20"/>
        <v>45872</v>
      </c>
      <c r="D284" s="14">
        <v>12908</v>
      </c>
      <c r="E284" s="16" t="s">
        <v>324</v>
      </c>
      <c r="F284" s="17" t="s">
        <v>325</v>
      </c>
      <c r="G284" s="17" t="s">
        <v>132</v>
      </c>
      <c r="H284" s="18" t="s">
        <v>162</v>
      </c>
      <c r="I284" s="19" t="s">
        <v>198</v>
      </c>
      <c r="J284" s="20">
        <v>45776</v>
      </c>
      <c r="K284" s="20">
        <v>45838</v>
      </c>
      <c r="L284" s="21">
        <v>1800000</v>
      </c>
      <c r="M284" s="22">
        <f t="shared" si="21"/>
        <v>1824000</v>
      </c>
      <c r="N284" s="23">
        <v>1824000</v>
      </c>
      <c r="O284" s="23">
        <v>0</v>
      </c>
      <c r="P284" s="24">
        <f t="shared" si="22"/>
        <v>-24000</v>
      </c>
      <c r="Q284" s="25">
        <v>0</v>
      </c>
      <c r="R284" s="26">
        <v>324000</v>
      </c>
      <c r="S284" s="91">
        <f t="shared" si="23"/>
        <v>0</v>
      </c>
      <c r="T284" s="91">
        <f t="shared" si="24"/>
        <v>0</v>
      </c>
      <c r="U284" s="27" t="s">
        <v>56</v>
      </c>
      <c r="V284" s="19" t="s">
        <v>51</v>
      </c>
      <c r="W284" s="20">
        <v>45845</v>
      </c>
      <c r="X284" s="22" t="s">
        <v>251</v>
      </c>
      <c r="Y284" s="19" t="s">
        <v>52</v>
      </c>
      <c r="Z284" s="19" t="s">
        <v>52</v>
      </c>
      <c r="AA284" s="19" t="s">
        <v>52</v>
      </c>
      <c r="AB284" s="28"/>
    </row>
    <row r="285" spans="1:28" s="29" customFormat="1" ht="15" customHeight="1" x14ac:dyDescent="0.25">
      <c r="A285" s="14">
        <v>5</v>
      </c>
      <c r="B285" s="15">
        <v>45875</v>
      </c>
      <c r="C285" s="15">
        <f t="shared" si="20"/>
        <v>45883</v>
      </c>
      <c r="D285" s="14">
        <v>13162</v>
      </c>
      <c r="E285" s="16" t="s">
        <v>226</v>
      </c>
      <c r="F285" s="17" t="s">
        <v>227</v>
      </c>
      <c r="G285" s="17" t="s">
        <v>132</v>
      </c>
      <c r="H285" s="18" t="s">
        <v>54</v>
      </c>
      <c r="I285" s="19" t="s">
        <v>135</v>
      </c>
      <c r="J285" s="20">
        <v>45833</v>
      </c>
      <c r="K285" s="20">
        <v>45877</v>
      </c>
      <c r="L285" s="21">
        <v>32000</v>
      </c>
      <c r="M285" s="22">
        <f t="shared" si="21"/>
        <v>35820</v>
      </c>
      <c r="N285" s="23">
        <v>35820</v>
      </c>
      <c r="O285" s="23">
        <v>0</v>
      </c>
      <c r="P285" s="24">
        <f t="shared" si="22"/>
        <v>-3820</v>
      </c>
      <c r="Q285" s="25">
        <v>0</v>
      </c>
      <c r="R285" s="26">
        <v>57330</v>
      </c>
      <c r="S285" s="91">
        <f t="shared" si="23"/>
        <v>0</v>
      </c>
      <c r="T285" s="91">
        <f t="shared" si="24"/>
        <v>0</v>
      </c>
      <c r="U285" s="27" t="s">
        <v>56</v>
      </c>
      <c r="V285" s="19" t="s">
        <v>51</v>
      </c>
      <c r="W285" s="20">
        <v>45868</v>
      </c>
      <c r="X285" s="22" t="s">
        <v>251</v>
      </c>
      <c r="Y285" s="19" t="s">
        <v>52</v>
      </c>
      <c r="Z285" s="19" t="s">
        <v>52</v>
      </c>
      <c r="AA285" s="19" t="s">
        <v>52</v>
      </c>
      <c r="AB285" s="28"/>
    </row>
    <row r="286" spans="1:28" s="29" customFormat="1" ht="15" customHeight="1" x14ac:dyDescent="0.25">
      <c r="A286" s="14">
        <v>6</v>
      </c>
      <c r="B286" s="15">
        <v>45875</v>
      </c>
      <c r="C286" s="15">
        <f t="shared" si="20"/>
        <v>45883</v>
      </c>
      <c r="D286" s="14">
        <v>13163</v>
      </c>
      <c r="E286" s="16" t="s">
        <v>248</v>
      </c>
      <c r="F286" s="17" t="s">
        <v>249</v>
      </c>
      <c r="G286" s="17" t="s">
        <v>132</v>
      </c>
      <c r="H286" s="18" t="s">
        <v>54</v>
      </c>
      <c r="I286" s="19" t="s">
        <v>135</v>
      </c>
      <c r="J286" s="20">
        <v>45833</v>
      </c>
      <c r="K286" s="20">
        <v>45877</v>
      </c>
      <c r="L286" s="21">
        <v>87000</v>
      </c>
      <c r="M286" s="22">
        <f t="shared" si="21"/>
        <v>97420</v>
      </c>
      <c r="N286" s="23">
        <v>97420</v>
      </c>
      <c r="O286" s="23">
        <v>0</v>
      </c>
      <c r="P286" s="24">
        <f t="shared" si="22"/>
        <v>-10420</v>
      </c>
      <c r="Q286" s="25">
        <v>0</v>
      </c>
      <c r="R286" s="26">
        <v>57330</v>
      </c>
      <c r="S286" s="91">
        <f t="shared" si="23"/>
        <v>0</v>
      </c>
      <c r="T286" s="91">
        <f t="shared" si="24"/>
        <v>0</v>
      </c>
      <c r="U286" s="27" t="s">
        <v>56</v>
      </c>
      <c r="V286" s="19" t="s">
        <v>51</v>
      </c>
      <c r="W286" s="20">
        <v>45868</v>
      </c>
      <c r="X286" s="22" t="s">
        <v>251</v>
      </c>
      <c r="Y286" s="19" t="s">
        <v>52</v>
      </c>
      <c r="Z286" s="19" t="s">
        <v>52</v>
      </c>
      <c r="AA286" s="19" t="s">
        <v>52</v>
      </c>
      <c r="AB286" s="28"/>
    </row>
    <row r="287" spans="1:28" s="29" customFormat="1" ht="15" customHeight="1" x14ac:dyDescent="0.25">
      <c r="A287" s="14">
        <v>7</v>
      </c>
      <c r="B287" s="15">
        <v>45875</v>
      </c>
      <c r="C287" s="15">
        <f t="shared" si="20"/>
        <v>45883</v>
      </c>
      <c r="D287" s="14">
        <v>13164</v>
      </c>
      <c r="E287" s="16" t="s">
        <v>150</v>
      </c>
      <c r="F287" s="17" t="s">
        <v>151</v>
      </c>
      <c r="G287" s="17" t="s">
        <v>132</v>
      </c>
      <c r="H287" s="18" t="s">
        <v>54</v>
      </c>
      <c r="I287" s="19" t="s">
        <v>135</v>
      </c>
      <c r="J287" s="20">
        <v>45833</v>
      </c>
      <c r="K287" s="20">
        <v>45877</v>
      </c>
      <c r="L287" s="21">
        <v>65000</v>
      </c>
      <c r="M287" s="22">
        <f t="shared" si="21"/>
        <v>75370</v>
      </c>
      <c r="N287" s="23">
        <v>75370</v>
      </c>
      <c r="O287" s="23">
        <v>0</v>
      </c>
      <c r="P287" s="24">
        <f t="shared" si="22"/>
        <v>-10370</v>
      </c>
      <c r="Q287" s="25">
        <v>0</v>
      </c>
      <c r="R287" s="26">
        <v>57330</v>
      </c>
      <c r="S287" s="91">
        <f t="shared" si="23"/>
        <v>0</v>
      </c>
      <c r="T287" s="91">
        <f t="shared" si="24"/>
        <v>0</v>
      </c>
      <c r="U287" s="27" t="s">
        <v>56</v>
      </c>
      <c r="V287" s="19" t="s">
        <v>51</v>
      </c>
      <c r="W287" s="20">
        <v>45868</v>
      </c>
      <c r="X287" s="22" t="s">
        <v>251</v>
      </c>
      <c r="Y287" s="19" t="s">
        <v>52</v>
      </c>
      <c r="Z287" s="19" t="s">
        <v>52</v>
      </c>
      <c r="AA287" s="19" t="s">
        <v>52</v>
      </c>
      <c r="AB287" s="28"/>
    </row>
    <row r="288" spans="1:28" s="29" customFormat="1" ht="15" customHeight="1" x14ac:dyDescent="0.25">
      <c r="A288" s="14">
        <v>9</v>
      </c>
      <c r="B288" s="15">
        <v>45875</v>
      </c>
      <c r="C288" s="15">
        <f t="shared" si="20"/>
        <v>45883</v>
      </c>
      <c r="D288" s="14">
        <v>13172</v>
      </c>
      <c r="E288" s="16" t="s">
        <v>160</v>
      </c>
      <c r="F288" s="17" t="s">
        <v>161</v>
      </c>
      <c r="G288" s="17" t="s">
        <v>132</v>
      </c>
      <c r="H288" s="18" t="s">
        <v>54</v>
      </c>
      <c r="I288" s="19" t="s">
        <v>135</v>
      </c>
      <c r="J288" s="20">
        <v>45835</v>
      </c>
      <c r="K288" s="20">
        <v>45880</v>
      </c>
      <c r="L288" s="21">
        <v>250000</v>
      </c>
      <c r="M288" s="22">
        <f t="shared" si="21"/>
        <v>239250</v>
      </c>
      <c r="N288" s="23">
        <v>239250</v>
      </c>
      <c r="O288" s="23">
        <v>0</v>
      </c>
      <c r="P288" s="24">
        <f t="shared" si="22"/>
        <v>10750</v>
      </c>
      <c r="Q288" s="25">
        <v>0</v>
      </c>
      <c r="R288" s="26">
        <v>175500</v>
      </c>
      <c r="S288" s="91">
        <f t="shared" si="23"/>
        <v>6.1253561253561253E-2</v>
      </c>
      <c r="T288" s="91">
        <f t="shared" si="24"/>
        <v>0</v>
      </c>
      <c r="U288" s="27" t="s">
        <v>56</v>
      </c>
      <c r="V288" s="19" t="s">
        <v>51</v>
      </c>
      <c r="W288" s="20">
        <v>45868</v>
      </c>
      <c r="X288" s="22" t="s">
        <v>251</v>
      </c>
      <c r="Y288" s="19" t="s">
        <v>52</v>
      </c>
      <c r="Z288" s="19" t="s">
        <v>52</v>
      </c>
      <c r="AA288" s="19" t="s">
        <v>52</v>
      </c>
      <c r="AB288" s="28"/>
    </row>
    <row r="289" spans="1:28" s="29" customFormat="1" ht="15" customHeight="1" x14ac:dyDescent="0.25">
      <c r="A289" s="14">
        <v>12</v>
      </c>
      <c r="B289" s="15">
        <v>45875</v>
      </c>
      <c r="C289" s="15">
        <f t="shared" si="20"/>
        <v>45883</v>
      </c>
      <c r="D289" s="14">
        <v>13229</v>
      </c>
      <c r="E289" s="16" t="s">
        <v>322</v>
      </c>
      <c r="F289" s="17" t="s">
        <v>323</v>
      </c>
      <c r="G289" s="17" t="s">
        <v>132</v>
      </c>
      <c r="H289" s="18" t="s">
        <v>133</v>
      </c>
      <c r="I289" s="19" t="s">
        <v>198</v>
      </c>
      <c r="J289" s="20">
        <v>45849</v>
      </c>
      <c r="K289" s="20">
        <v>45889</v>
      </c>
      <c r="L289" s="21">
        <v>300000</v>
      </c>
      <c r="M289" s="22">
        <f t="shared" si="21"/>
        <v>279010</v>
      </c>
      <c r="N289" s="23">
        <v>279010</v>
      </c>
      <c r="O289" s="23">
        <v>0</v>
      </c>
      <c r="P289" s="24">
        <f t="shared" si="22"/>
        <v>20990</v>
      </c>
      <c r="Q289" s="25">
        <v>0</v>
      </c>
      <c r="R289" s="26">
        <v>160000</v>
      </c>
      <c r="S289" s="91">
        <f t="shared" si="23"/>
        <v>0.13118750000000001</v>
      </c>
      <c r="T289" s="91">
        <f t="shared" si="24"/>
        <v>0</v>
      </c>
      <c r="U289" s="27" t="s">
        <v>56</v>
      </c>
      <c r="V289" s="19" t="s">
        <v>51</v>
      </c>
      <c r="W289" s="20">
        <v>45870</v>
      </c>
      <c r="X289" s="22" t="s">
        <v>251</v>
      </c>
      <c r="Y289" s="19" t="s">
        <v>52</v>
      </c>
      <c r="Z289" s="19" t="s">
        <v>52</v>
      </c>
      <c r="AA289" s="19" t="s">
        <v>52</v>
      </c>
      <c r="AB289" s="28"/>
    </row>
    <row r="290" spans="1:28" s="29" customFormat="1" ht="15" customHeight="1" x14ac:dyDescent="0.25">
      <c r="A290" s="14">
        <v>19</v>
      </c>
      <c r="B290" s="15">
        <v>45875</v>
      </c>
      <c r="C290" s="15">
        <f t="shared" si="20"/>
        <v>45883</v>
      </c>
      <c r="D290" s="14">
        <v>13284</v>
      </c>
      <c r="E290" s="16" t="s">
        <v>154</v>
      </c>
      <c r="F290" s="17" t="s">
        <v>155</v>
      </c>
      <c r="G290" s="17" t="s">
        <v>132</v>
      </c>
      <c r="H290" s="18" t="s">
        <v>54</v>
      </c>
      <c r="I290" s="19" t="s">
        <v>135</v>
      </c>
      <c r="J290" s="20">
        <v>45859</v>
      </c>
      <c r="K290" s="20">
        <v>45904</v>
      </c>
      <c r="L290" s="21">
        <v>75000</v>
      </c>
      <c r="M290" s="22">
        <f t="shared" si="21"/>
        <v>74950</v>
      </c>
      <c r="N290" s="23">
        <v>74950</v>
      </c>
      <c r="O290" s="23">
        <v>0</v>
      </c>
      <c r="P290" s="24">
        <f t="shared" si="22"/>
        <v>50</v>
      </c>
      <c r="Q290" s="25">
        <v>0</v>
      </c>
      <c r="R290" s="26">
        <v>57330</v>
      </c>
      <c r="S290" s="91">
        <f t="shared" si="23"/>
        <v>8.7214372928658644E-4</v>
      </c>
      <c r="T290" s="91">
        <f t="shared" si="24"/>
        <v>0</v>
      </c>
      <c r="U290" s="27" t="s">
        <v>56</v>
      </c>
      <c r="V290" s="19" t="s">
        <v>59</v>
      </c>
      <c r="W290" s="20">
        <v>45878</v>
      </c>
      <c r="X290" s="22" t="s">
        <v>251</v>
      </c>
      <c r="Y290" s="19" t="s">
        <v>52</v>
      </c>
      <c r="Z290" s="19" t="s">
        <v>52</v>
      </c>
      <c r="AA290" s="19" t="s">
        <v>52</v>
      </c>
      <c r="AB290" s="28"/>
    </row>
    <row r="291" spans="1:28" s="29" customFormat="1" ht="15" customHeight="1" x14ac:dyDescent="0.25">
      <c r="A291" s="14">
        <v>2</v>
      </c>
      <c r="B291" s="15">
        <v>45881</v>
      </c>
      <c r="C291" s="15">
        <f t="shared" si="20"/>
        <v>45889</v>
      </c>
      <c r="D291" s="14">
        <v>13204</v>
      </c>
      <c r="E291" s="16" t="s">
        <v>403</v>
      </c>
      <c r="F291" s="17" t="s">
        <v>708</v>
      </c>
      <c r="G291" s="17" t="s">
        <v>47</v>
      </c>
      <c r="H291" s="18" t="s">
        <v>542</v>
      </c>
      <c r="I291" s="19" t="s">
        <v>70</v>
      </c>
      <c r="J291" s="20">
        <v>45840</v>
      </c>
      <c r="K291" s="20">
        <v>45877</v>
      </c>
      <c r="L291" s="21">
        <v>2000000</v>
      </c>
      <c r="M291" s="22">
        <f t="shared" si="21"/>
        <v>2062000</v>
      </c>
      <c r="N291" s="23">
        <v>2062000</v>
      </c>
      <c r="O291" s="23">
        <v>0</v>
      </c>
      <c r="P291" s="24">
        <f t="shared" si="22"/>
        <v>-62000</v>
      </c>
      <c r="Q291" s="25">
        <v>0</v>
      </c>
      <c r="R291" s="26">
        <v>50000</v>
      </c>
      <c r="S291" s="91">
        <f t="shared" si="23"/>
        <v>0</v>
      </c>
      <c r="T291" s="91">
        <f t="shared" si="24"/>
        <v>0</v>
      </c>
      <c r="U291" s="27" t="s">
        <v>50</v>
      </c>
      <c r="V291" s="19" t="s">
        <v>51</v>
      </c>
      <c r="W291" s="20">
        <v>45864</v>
      </c>
      <c r="X291" s="22" t="s">
        <v>251</v>
      </c>
      <c r="Y291" s="19" t="s">
        <v>52</v>
      </c>
      <c r="Z291" s="19" t="s">
        <v>52</v>
      </c>
      <c r="AA291" s="19" t="s">
        <v>52</v>
      </c>
      <c r="AB291" s="42"/>
    </row>
    <row r="292" spans="1:28" s="29" customFormat="1" ht="15" customHeight="1" x14ac:dyDescent="0.25">
      <c r="A292" s="14">
        <v>4</v>
      </c>
      <c r="B292" s="15">
        <v>45880</v>
      </c>
      <c r="C292" s="15">
        <f t="shared" si="20"/>
        <v>45888</v>
      </c>
      <c r="D292" s="14">
        <v>13304</v>
      </c>
      <c r="E292" s="16" t="s">
        <v>60</v>
      </c>
      <c r="F292" s="17" t="s">
        <v>61</v>
      </c>
      <c r="G292" s="17" t="s">
        <v>47</v>
      </c>
      <c r="H292" s="18" t="s">
        <v>62</v>
      </c>
      <c r="I292" s="19" t="s">
        <v>63</v>
      </c>
      <c r="J292" s="20">
        <v>45859</v>
      </c>
      <c r="K292" s="20">
        <v>45884</v>
      </c>
      <c r="L292" s="21">
        <v>200000</v>
      </c>
      <c r="M292" s="22">
        <f t="shared" si="21"/>
        <v>196000</v>
      </c>
      <c r="N292" s="23">
        <v>196000</v>
      </c>
      <c r="O292" s="23">
        <v>0</v>
      </c>
      <c r="P292" s="24">
        <f t="shared" si="22"/>
        <v>4000</v>
      </c>
      <c r="Q292" s="25">
        <v>0</v>
      </c>
      <c r="R292" s="26">
        <v>40000</v>
      </c>
      <c r="S292" s="91">
        <f t="shared" si="23"/>
        <v>0.1</v>
      </c>
      <c r="T292" s="91">
        <f t="shared" si="24"/>
        <v>0</v>
      </c>
      <c r="U292" s="27" t="s">
        <v>50</v>
      </c>
      <c r="V292" s="19" t="s">
        <v>51</v>
      </c>
      <c r="W292" s="20">
        <v>45868</v>
      </c>
      <c r="X292" s="22" t="s">
        <v>251</v>
      </c>
      <c r="Y292" s="19" t="s">
        <v>52</v>
      </c>
      <c r="Z292" s="19" t="s">
        <v>52</v>
      </c>
      <c r="AA292" s="19" t="s">
        <v>52</v>
      </c>
      <c r="AB292" s="42"/>
    </row>
    <row r="293" spans="1:28" s="29" customFormat="1" ht="15" customHeight="1" x14ac:dyDescent="0.25">
      <c r="A293" s="14">
        <v>6</v>
      </c>
      <c r="B293" s="15">
        <v>45880</v>
      </c>
      <c r="C293" s="15">
        <f t="shared" si="20"/>
        <v>45888</v>
      </c>
      <c r="D293" s="14">
        <v>13294</v>
      </c>
      <c r="E293" s="16" t="s">
        <v>731</v>
      </c>
      <c r="F293" s="17" t="s">
        <v>408</v>
      </c>
      <c r="G293" s="17" t="s">
        <v>47</v>
      </c>
      <c r="H293" s="18" t="s">
        <v>57</v>
      </c>
      <c r="I293" s="19" t="s">
        <v>58</v>
      </c>
      <c r="J293" s="20">
        <v>45855</v>
      </c>
      <c r="K293" s="20">
        <v>45883</v>
      </c>
      <c r="L293" s="21">
        <v>1000000</v>
      </c>
      <c r="M293" s="22">
        <f t="shared" si="21"/>
        <v>1024000</v>
      </c>
      <c r="N293" s="23">
        <v>1024000</v>
      </c>
      <c r="O293" s="23">
        <v>0</v>
      </c>
      <c r="P293" s="24">
        <f t="shared" si="22"/>
        <v>-24000</v>
      </c>
      <c r="Q293" s="25">
        <v>0</v>
      </c>
      <c r="R293" s="26">
        <v>48000</v>
      </c>
      <c r="S293" s="91">
        <f t="shared" si="23"/>
        <v>0</v>
      </c>
      <c r="T293" s="91">
        <f t="shared" si="24"/>
        <v>0</v>
      </c>
      <c r="U293" s="27" t="s">
        <v>50</v>
      </c>
      <c r="V293" s="19" t="s">
        <v>51</v>
      </c>
      <c r="W293" s="20">
        <v>45874</v>
      </c>
      <c r="X293" s="22" t="s">
        <v>251</v>
      </c>
      <c r="Y293" s="19" t="s">
        <v>52</v>
      </c>
      <c r="Z293" s="19" t="s">
        <v>52</v>
      </c>
      <c r="AA293" s="19" t="s">
        <v>52</v>
      </c>
      <c r="AB293" s="42"/>
    </row>
    <row r="294" spans="1:28" s="29" customFormat="1" ht="15" customHeight="1" x14ac:dyDescent="0.25">
      <c r="A294" s="14">
        <v>5</v>
      </c>
      <c r="B294" s="15">
        <v>45881</v>
      </c>
      <c r="C294" s="15">
        <f t="shared" ref="C294:C357" si="25">B294+8</f>
        <v>45889</v>
      </c>
      <c r="D294" s="14">
        <v>13246</v>
      </c>
      <c r="E294" s="16" t="s">
        <v>684</v>
      </c>
      <c r="F294" s="40" t="s">
        <v>720</v>
      </c>
      <c r="G294" s="17" t="s">
        <v>75</v>
      </c>
      <c r="H294" s="18" t="s">
        <v>57</v>
      </c>
      <c r="I294" s="19" t="s">
        <v>94</v>
      </c>
      <c r="J294" s="20">
        <v>45848</v>
      </c>
      <c r="K294" s="20">
        <v>45881</v>
      </c>
      <c r="L294" s="21">
        <v>400000</v>
      </c>
      <c r="M294" s="22">
        <f t="shared" ref="M294:M357" si="26">SUM(N294:O294)</f>
        <v>414000</v>
      </c>
      <c r="N294" s="23">
        <v>414000</v>
      </c>
      <c r="O294" s="23">
        <v>0</v>
      </c>
      <c r="P294" s="24">
        <f t="shared" ref="P294:P357" si="27">L294-N294</f>
        <v>-14000</v>
      </c>
      <c r="Q294" s="25">
        <v>0</v>
      </c>
      <c r="R294" s="26">
        <v>100000</v>
      </c>
      <c r="S294" s="91">
        <f t="shared" si="23"/>
        <v>0</v>
      </c>
      <c r="T294" s="91">
        <f t="shared" si="24"/>
        <v>0</v>
      </c>
      <c r="U294" s="27" t="s">
        <v>50</v>
      </c>
      <c r="V294" s="19" t="s">
        <v>51</v>
      </c>
      <c r="W294" s="20">
        <v>45864</v>
      </c>
      <c r="X294" s="22" t="s">
        <v>251</v>
      </c>
      <c r="Y294" s="19" t="s">
        <v>52</v>
      </c>
      <c r="Z294" s="19" t="s">
        <v>52</v>
      </c>
      <c r="AA294" s="19" t="s">
        <v>52</v>
      </c>
      <c r="AB294" s="28"/>
    </row>
    <row r="295" spans="1:28" s="29" customFormat="1" ht="15" customHeight="1" x14ac:dyDescent="0.25">
      <c r="A295" s="14">
        <v>2</v>
      </c>
      <c r="B295" s="15">
        <v>45869</v>
      </c>
      <c r="C295" s="15">
        <f t="shared" si="25"/>
        <v>45877</v>
      </c>
      <c r="D295" s="14">
        <v>13203</v>
      </c>
      <c r="E295" s="16" t="s">
        <v>121</v>
      </c>
      <c r="F295" s="17" t="s">
        <v>122</v>
      </c>
      <c r="G295" s="17" t="s">
        <v>102</v>
      </c>
      <c r="H295" s="18" t="s">
        <v>542</v>
      </c>
      <c r="I295" s="19" t="s">
        <v>70</v>
      </c>
      <c r="J295" s="20">
        <v>45840</v>
      </c>
      <c r="K295" s="20">
        <v>45873</v>
      </c>
      <c r="L295" s="21">
        <v>300000</v>
      </c>
      <c r="M295" s="22">
        <f t="shared" si="26"/>
        <v>321000</v>
      </c>
      <c r="N295" s="23">
        <v>321000</v>
      </c>
      <c r="O295" s="23">
        <v>0</v>
      </c>
      <c r="P295" s="24">
        <f t="shared" si="27"/>
        <v>-21000</v>
      </c>
      <c r="Q295" s="25">
        <v>0</v>
      </c>
      <c r="R295" s="26">
        <v>50000</v>
      </c>
      <c r="S295" s="91">
        <f t="shared" si="23"/>
        <v>0</v>
      </c>
      <c r="T295" s="91">
        <f t="shared" si="24"/>
        <v>0</v>
      </c>
      <c r="U295" s="27" t="s">
        <v>50</v>
      </c>
      <c r="V295" s="19" t="s">
        <v>51</v>
      </c>
      <c r="W295" s="20">
        <v>45862</v>
      </c>
      <c r="X295" s="22" t="s">
        <v>251</v>
      </c>
      <c r="Y295" s="19" t="s">
        <v>52</v>
      </c>
      <c r="Z295" s="19" t="s">
        <v>52</v>
      </c>
      <c r="AA295" s="19" t="s">
        <v>52</v>
      </c>
      <c r="AB295" s="28"/>
    </row>
    <row r="296" spans="1:28" s="29" customFormat="1" ht="15" customHeight="1" x14ac:dyDescent="0.25">
      <c r="A296" s="14">
        <v>4</v>
      </c>
      <c r="B296" s="15">
        <v>45880</v>
      </c>
      <c r="C296" s="15">
        <f t="shared" si="25"/>
        <v>45888</v>
      </c>
      <c r="D296" s="14">
        <v>13250</v>
      </c>
      <c r="E296" s="16" t="s">
        <v>111</v>
      </c>
      <c r="F296" s="17" t="s">
        <v>481</v>
      </c>
      <c r="G296" s="17" t="s">
        <v>102</v>
      </c>
      <c r="H296" s="18" t="s">
        <v>57</v>
      </c>
      <c r="I296" s="19" t="s">
        <v>94</v>
      </c>
      <c r="J296" s="20">
        <v>45848</v>
      </c>
      <c r="K296" s="20">
        <v>45876</v>
      </c>
      <c r="L296" s="21">
        <v>120000</v>
      </c>
      <c r="M296" s="22">
        <f t="shared" si="26"/>
        <v>112000</v>
      </c>
      <c r="N296" s="23">
        <v>112000</v>
      </c>
      <c r="O296" s="23">
        <v>0</v>
      </c>
      <c r="P296" s="24">
        <f t="shared" si="27"/>
        <v>8000</v>
      </c>
      <c r="Q296" s="25">
        <v>0</v>
      </c>
      <c r="R296" s="26">
        <v>42000</v>
      </c>
      <c r="S296" s="91">
        <f t="shared" si="23"/>
        <v>0.19047619047619047</v>
      </c>
      <c r="T296" s="91">
        <f t="shared" si="24"/>
        <v>0</v>
      </c>
      <c r="U296" s="27" t="s">
        <v>50</v>
      </c>
      <c r="V296" s="19" t="s">
        <v>51</v>
      </c>
      <c r="W296" s="20">
        <v>45874</v>
      </c>
      <c r="X296" s="22" t="s">
        <v>251</v>
      </c>
      <c r="Y296" s="19" t="s">
        <v>52</v>
      </c>
      <c r="Z296" s="19" t="s">
        <v>52</v>
      </c>
      <c r="AA296" s="19" t="s">
        <v>52</v>
      </c>
      <c r="AB296" s="28"/>
    </row>
    <row r="297" spans="1:28" s="29" customFormat="1" ht="15" customHeight="1" x14ac:dyDescent="0.25">
      <c r="A297" s="14">
        <v>11</v>
      </c>
      <c r="B297" s="15">
        <v>45881</v>
      </c>
      <c r="C297" s="15">
        <f t="shared" si="25"/>
        <v>45889</v>
      </c>
      <c r="D297" s="14">
        <v>13310</v>
      </c>
      <c r="E297" s="16" t="s">
        <v>218</v>
      </c>
      <c r="F297" s="17" t="s">
        <v>219</v>
      </c>
      <c r="G297" s="17" t="s">
        <v>102</v>
      </c>
      <c r="H297" s="18" t="s">
        <v>542</v>
      </c>
      <c r="I297" s="19" t="s">
        <v>104</v>
      </c>
      <c r="J297" s="20">
        <v>45861</v>
      </c>
      <c r="K297" s="20">
        <v>45891</v>
      </c>
      <c r="L297" s="21">
        <v>200000</v>
      </c>
      <c r="M297" s="22">
        <f t="shared" si="26"/>
        <v>213000</v>
      </c>
      <c r="N297" s="23">
        <v>213000</v>
      </c>
      <c r="O297" s="23">
        <v>0</v>
      </c>
      <c r="P297" s="24">
        <f t="shared" si="27"/>
        <v>-13000</v>
      </c>
      <c r="Q297" s="25">
        <v>0</v>
      </c>
      <c r="R297" s="26">
        <v>50000</v>
      </c>
      <c r="S297" s="91">
        <f t="shared" si="23"/>
        <v>0</v>
      </c>
      <c r="T297" s="91">
        <f t="shared" si="24"/>
        <v>0</v>
      </c>
      <c r="U297" s="27" t="s">
        <v>50</v>
      </c>
      <c r="V297" s="19" t="s">
        <v>51</v>
      </c>
      <c r="W297" s="20">
        <v>45870</v>
      </c>
      <c r="X297" s="22" t="s">
        <v>251</v>
      </c>
      <c r="Y297" s="19" t="s">
        <v>52</v>
      </c>
      <c r="Z297" s="19" t="s">
        <v>52</v>
      </c>
      <c r="AA297" s="19" t="s">
        <v>52</v>
      </c>
      <c r="AB297" s="28"/>
    </row>
    <row r="298" spans="1:28" s="29" customFormat="1" ht="15" customHeight="1" x14ac:dyDescent="0.25">
      <c r="A298" s="14">
        <v>5</v>
      </c>
      <c r="B298" s="15">
        <v>45869</v>
      </c>
      <c r="C298" s="15">
        <f t="shared" si="25"/>
        <v>45877</v>
      </c>
      <c r="D298" s="14">
        <v>13248</v>
      </c>
      <c r="E298" s="16" t="s">
        <v>360</v>
      </c>
      <c r="F298" s="17" t="s">
        <v>361</v>
      </c>
      <c r="G298" s="17" t="s">
        <v>102</v>
      </c>
      <c r="H298" s="18" t="s">
        <v>113</v>
      </c>
      <c r="I298" s="19" t="s">
        <v>698</v>
      </c>
      <c r="J298" s="20">
        <v>45848</v>
      </c>
      <c r="K298" s="20">
        <v>45877</v>
      </c>
      <c r="L298" s="21">
        <v>100000</v>
      </c>
      <c r="M298" s="22">
        <f t="shared" si="26"/>
        <v>74950</v>
      </c>
      <c r="N298" s="23">
        <v>74950</v>
      </c>
      <c r="O298" s="23">
        <v>0</v>
      </c>
      <c r="P298" s="24">
        <f t="shared" si="27"/>
        <v>25050</v>
      </c>
      <c r="Q298" s="25">
        <v>0</v>
      </c>
      <c r="R298" s="26">
        <v>100000</v>
      </c>
      <c r="S298" s="91">
        <f t="shared" si="23"/>
        <v>0.2505</v>
      </c>
      <c r="T298" s="91">
        <f t="shared" si="24"/>
        <v>0</v>
      </c>
      <c r="U298" s="27" t="s">
        <v>50</v>
      </c>
      <c r="V298" s="19" t="s">
        <v>51</v>
      </c>
      <c r="W298" s="20">
        <v>45868</v>
      </c>
      <c r="X298" s="22" t="s">
        <v>251</v>
      </c>
      <c r="Y298" s="19" t="s">
        <v>52</v>
      </c>
      <c r="Z298" s="19" t="s">
        <v>52</v>
      </c>
      <c r="AA298" s="19" t="s">
        <v>52</v>
      </c>
      <c r="AB298" s="28"/>
    </row>
    <row r="299" spans="1:28" s="29" customFormat="1" ht="15" customHeight="1" x14ac:dyDescent="0.25">
      <c r="A299" s="14">
        <v>1</v>
      </c>
      <c r="B299" s="15">
        <v>45889</v>
      </c>
      <c r="C299" s="15">
        <f t="shared" si="25"/>
        <v>45897</v>
      </c>
      <c r="D299" s="14">
        <v>12880</v>
      </c>
      <c r="E299" s="16" t="s">
        <v>291</v>
      </c>
      <c r="F299" s="17" t="s">
        <v>292</v>
      </c>
      <c r="G299" s="17" t="s">
        <v>47</v>
      </c>
      <c r="H299" s="18" t="s">
        <v>542</v>
      </c>
      <c r="I299" s="19" t="s">
        <v>104</v>
      </c>
      <c r="J299" s="20">
        <v>45771</v>
      </c>
      <c r="K299" s="20">
        <v>45828</v>
      </c>
      <c r="L299" s="21">
        <v>350000</v>
      </c>
      <c r="M299" s="22">
        <f t="shared" si="26"/>
        <v>325500</v>
      </c>
      <c r="N299" s="23">
        <v>325500</v>
      </c>
      <c r="O299" s="23">
        <v>0</v>
      </c>
      <c r="P299" s="24">
        <f t="shared" si="27"/>
        <v>24500</v>
      </c>
      <c r="Q299" s="25">
        <v>0</v>
      </c>
      <c r="R299" s="26">
        <v>72000</v>
      </c>
      <c r="S299" s="91">
        <f t="shared" si="23"/>
        <v>0.34027777777777779</v>
      </c>
      <c r="T299" s="91">
        <f t="shared" si="24"/>
        <v>0</v>
      </c>
      <c r="U299" s="27" t="s">
        <v>50</v>
      </c>
      <c r="V299" s="19" t="s">
        <v>51</v>
      </c>
      <c r="W299" s="20">
        <v>45846</v>
      </c>
      <c r="X299" s="22" t="s">
        <v>251</v>
      </c>
      <c r="Y299" s="19" t="s">
        <v>52</v>
      </c>
      <c r="Z299" s="19" t="s">
        <v>52</v>
      </c>
      <c r="AA299" s="19" t="s">
        <v>52</v>
      </c>
      <c r="AB299" s="42"/>
    </row>
    <row r="300" spans="1:28" s="29" customFormat="1" ht="15" customHeight="1" x14ac:dyDescent="0.25">
      <c r="A300" s="14">
        <v>2</v>
      </c>
      <c r="B300" s="15">
        <v>45884</v>
      </c>
      <c r="C300" s="15">
        <f t="shared" si="25"/>
        <v>45892</v>
      </c>
      <c r="D300" s="14">
        <v>13266</v>
      </c>
      <c r="E300" s="16" t="s">
        <v>702</v>
      </c>
      <c r="F300" s="17" t="s">
        <v>703</v>
      </c>
      <c r="G300" s="17" t="s">
        <v>47</v>
      </c>
      <c r="H300" s="18" t="s">
        <v>542</v>
      </c>
      <c r="I300" s="19" t="s">
        <v>104</v>
      </c>
      <c r="J300" s="20">
        <v>45853</v>
      </c>
      <c r="K300" s="20">
        <v>45882</v>
      </c>
      <c r="L300" s="21">
        <v>1200000</v>
      </c>
      <c r="M300" s="22">
        <f t="shared" si="26"/>
        <v>1424500</v>
      </c>
      <c r="N300" s="23">
        <v>1424500</v>
      </c>
      <c r="O300" s="23">
        <v>0</v>
      </c>
      <c r="P300" s="24">
        <f t="shared" si="27"/>
        <v>-224500</v>
      </c>
      <c r="Q300" s="25">
        <v>0</v>
      </c>
      <c r="R300" s="26">
        <v>94500</v>
      </c>
      <c r="S300" s="91">
        <f t="shared" si="23"/>
        <v>0</v>
      </c>
      <c r="T300" s="91">
        <f t="shared" si="24"/>
        <v>0</v>
      </c>
      <c r="U300" s="27" t="s">
        <v>50</v>
      </c>
      <c r="V300" s="19" t="s">
        <v>51</v>
      </c>
      <c r="W300" s="20">
        <v>45874</v>
      </c>
      <c r="X300" s="22" t="s">
        <v>251</v>
      </c>
      <c r="Y300" s="19" t="s">
        <v>52</v>
      </c>
      <c r="Z300" s="19" t="s">
        <v>52</v>
      </c>
      <c r="AA300" s="19" t="s">
        <v>52</v>
      </c>
      <c r="AB300" s="42"/>
    </row>
    <row r="301" spans="1:28" s="29" customFormat="1" ht="15" customHeight="1" x14ac:dyDescent="0.25">
      <c r="A301" s="14">
        <v>3</v>
      </c>
      <c r="B301" s="15">
        <v>45889</v>
      </c>
      <c r="C301" s="15">
        <f t="shared" si="25"/>
        <v>45897</v>
      </c>
      <c r="D301" s="14">
        <v>13287</v>
      </c>
      <c r="E301" s="16" t="s">
        <v>728</v>
      </c>
      <c r="F301" s="17" t="s">
        <v>469</v>
      </c>
      <c r="G301" s="17" t="s">
        <v>47</v>
      </c>
      <c r="H301" s="18" t="s">
        <v>57</v>
      </c>
      <c r="I301" s="19" t="s">
        <v>58</v>
      </c>
      <c r="J301" s="20">
        <v>45855</v>
      </c>
      <c r="K301" s="20">
        <v>45883</v>
      </c>
      <c r="L301" s="21">
        <v>2000000</v>
      </c>
      <c r="M301" s="22">
        <f t="shared" si="26"/>
        <v>2040000</v>
      </c>
      <c r="N301" s="23">
        <v>2040000</v>
      </c>
      <c r="O301" s="23">
        <v>0</v>
      </c>
      <c r="P301" s="24">
        <f t="shared" si="27"/>
        <v>-40000</v>
      </c>
      <c r="Q301" s="25">
        <v>0</v>
      </c>
      <c r="R301" s="26">
        <v>96000</v>
      </c>
      <c r="S301" s="91">
        <f t="shared" si="23"/>
        <v>0</v>
      </c>
      <c r="T301" s="91">
        <f t="shared" si="24"/>
        <v>0</v>
      </c>
      <c r="U301" s="27" t="s">
        <v>50</v>
      </c>
      <c r="V301" s="19" t="s">
        <v>51</v>
      </c>
      <c r="W301" s="20">
        <v>45874</v>
      </c>
      <c r="X301" s="22" t="s">
        <v>251</v>
      </c>
      <c r="Y301" s="19" t="s">
        <v>52</v>
      </c>
      <c r="Z301" s="19" t="s">
        <v>52</v>
      </c>
      <c r="AA301" s="19" t="s">
        <v>52</v>
      </c>
      <c r="AB301" s="42"/>
    </row>
    <row r="302" spans="1:28" s="29" customFormat="1" ht="15" customHeight="1" x14ac:dyDescent="0.25">
      <c r="A302" s="14">
        <v>4</v>
      </c>
      <c r="B302" s="15">
        <v>45889</v>
      </c>
      <c r="C302" s="15">
        <f t="shared" si="25"/>
        <v>45897</v>
      </c>
      <c r="D302" s="14">
        <v>13306</v>
      </c>
      <c r="E302" s="16" t="s">
        <v>660</v>
      </c>
      <c r="F302" s="17" t="s">
        <v>629</v>
      </c>
      <c r="G302" s="17" t="s">
        <v>47</v>
      </c>
      <c r="H302" s="18" t="s">
        <v>54</v>
      </c>
      <c r="I302" s="19" t="s">
        <v>55</v>
      </c>
      <c r="J302" s="20">
        <v>45861</v>
      </c>
      <c r="K302" s="20">
        <v>45901</v>
      </c>
      <c r="L302" s="21">
        <v>300000</v>
      </c>
      <c r="M302" s="22">
        <f t="shared" si="26"/>
        <v>371000</v>
      </c>
      <c r="N302" s="23">
        <v>371000</v>
      </c>
      <c r="O302" s="23">
        <v>0</v>
      </c>
      <c r="P302" s="24">
        <f t="shared" si="27"/>
        <v>-71000</v>
      </c>
      <c r="Q302" s="25">
        <v>0</v>
      </c>
      <c r="R302" s="26">
        <v>50000</v>
      </c>
      <c r="S302" s="91">
        <f t="shared" si="23"/>
        <v>0</v>
      </c>
      <c r="T302" s="91">
        <f t="shared" si="24"/>
        <v>0</v>
      </c>
      <c r="U302" s="27" t="s">
        <v>56</v>
      </c>
      <c r="V302" s="19" t="s">
        <v>51</v>
      </c>
      <c r="W302" s="20">
        <v>45880</v>
      </c>
      <c r="X302" s="22" t="s">
        <v>251</v>
      </c>
      <c r="Y302" s="19" t="s">
        <v>52</v>
      </c>
      <c r="Z302" s="19" t="s">
        <v>52</v>
      </c>
      <c r="AA302" s="19" t="s">
        <v>52</v>
      </c>
      <c r="AB302" s="42"/>
    </row>
    <row r="303" spans="1:28" s="29" customFormat="1" ht="15" customHeight="1" x14ac:dyDescent="0.25">
      <c r="A303" s="14">
        <v>1</v>
      </c>
      <c r="B303" s="15">
        <v>45884</v>
      </c>
      <c r="C303" s="15">
        <f t="shared" si="25"/>
        <v>45892</v>
      </c>
      <c r="D303" s="14">
        <v>13285</v>
      </c>
      <c r="E303" s="16" t="s">
        <v>375</v>
      </c>
      <c r="F303" s="40" t="s">
        <v>370</v>
      </c>
      <c r="G303" s="17" t="s">
        <v>75</v>
      </c>
      <c r="H303" s="18" t="s">
        <v>406</v>
      </c>
      <c r="I303" s="19" t="s">
        <v>79</v>
      </c>
      <c r="J303" s="20">
        <v>45854</v>
      </c>
      <c r="K303" s="20">
        <v>45859</v>
      </c>
      <c r="L303" s="21">
        <v>500000</v>
      </c>
      <c r="M303" s="22">
        <f t="shared" si="26"/>
        <v>555000</v>
      </c>
      <c r="N303" s="23">
        <v>555000</v>
      </c>
      <c r="O303" s="23">
        <v>0</v>
      </c>
      <c r="P303" s="24">
        <f t="shared" si="27"/>
        <v>-55000</v>
      </c>
      <c r="Q303" s="25">
        <v>0</v>
      </c>
      <c r="R303" s="26">
        <v>210000</v>
      </c>
      <c r="S303" s="91">
        <f t="shared" si="23"/>
        <v>0</v>
      </c>
      <c r="T303" s="91">
        <f t="shared" si="24"/>
        <v>0</v>
      </c>
      <c r="U303" s="27" t="s">
        <v>56</v>
      </c>
      <c r="V303" s="19" t="s">
        <v>51</v>
      </c>
      <c r="W303" s="20">
        <v>45859</v>
      </c>
      <c r="X303" s="22" t="s">
        <v>251</v>
      </c>
      <c r="Y303" s="19" t="s">
        <v>52</v>
      </c>
      <c r="Z303" s="19" t="s">
        <v>52</v>
      </c>
      <c r="AA303" s="19" t="s">
        <v>52</v>
      </c>
      <c r="AB303" s="28"/>
    </row>
    <row r="304" spans="1:28" s="29" customFormat="1" ht="15" customHeight="1" x14ac:dyDescent="0.25">
      <c r="A304" s="14">
        <v>6</v>
      </c>
      <c r="B304" s="15">
        <v>45889</v>
      </c>
      <c r="C304" s="15">
        <f t="shared" si="25"/>
        <v>45897</v>
      </c>
      <c r="D304" s="14">
        <v>13359</v>
      </c>
      <c r="E304" s="16" t="s">
        <v>684</v>
      </c>
      <c r="F304" s="40" t="s">
        <v>720</v>
      </c>
      <c r="G304" s="17" t="s">
        <v>75</v>
      </c>
      <c r="H304" s="18" t="s">
        <v>57</v>
      </c>
      <c r="I304" s="19" t="s">
        <v>94</v>
      </c>
      <c r="J304" s="20">
        <v>45870</v>
      </c>
      <c r="K304" s="20">
        <v>45897</v>
      </c>
      <c r="L304" s="21">
        <v>400000</v>
      </c>
      <c r="M304" s="22">
        <f t="shared" si="26"/>
        <v>442000</v>
      </c>
      <c r="N304" s="23">
        <v>442000</v>
      </c>
      <c r="O304" s="23">
        <v>0</v>
      </c>
      <c r="P304" s="24">
        <f t="shared" si="27"/>
        <v>-42000</v>
      </c>
      <c r="Q304" s="25">
        <v>0</v>
      </c>
      <c r="R304" s="26">
        <v>100000</v>
      </c>
      <c r="S304" s="91">
        <f t="shared" si="23"/>
        <v>0</v>
      </c>
      <c r="T304" s="91">
        <f t="shared" si="24"/>
        <v>0</v>
      </c>
      <c r="U304" s="27" t="s">
        <v>50</v>
      </c>
      <c r="V304" s="19" t="s">
        <v>51</v>
      </c>
      <c r="W304" s="20">
        <v>45880</v>
      </c>
      <c r="X304" s="22" t="s">
        <v>251</v>
      </c>
      <c r="Y304" s="19" t="s">
        <v>52</v>
      </c>
      <c r="Z304" s="19" t="s">
        <v>52</v>
      </c>
      <c r="AA304" s="19" t="s">
        <v>52</v>
      </c>
      <c r="AB304" s="28"/>
    </row>
    <row r="305" spans="1:28" s="29" customFormat="1" ht="15" customHeight="1" x14ac:dyDescent="0.25">
      <c r="A305" s="14">
        <v>1</v>
      </c>
      <c r="B305" s="15">
        <v>45889</v>
      </c>
      <c r="C305" s="15">
        <f t="shared" si="25"/>
        <v>45897</v>
      </c>
      <c r="D305" s="14">
        <v>13175</v>
      </c>
      <c r="E305" s="16" t="s">
        <v>760</v>
      </c>
      <c r="F305" s="17" t="s">
        <v>286</v>
      </c>
      <c r="G305" s="17" t="s">
        <v>102</v>
      </c>
      <c r="H305" s="18" t="s">
        <v>57</v>
      </c>
      <c r="I305" s="19" t="s">
        <v>94</v>
      </c>
      <c r="J305" s="20">
        <v>45833</v>
      </c>
      <c r="K305" s="20">
        <v>45861</v>
      </c>
      <c r="L305" s="21">
        <v>150000</v>
      </c>
      <c r="M305" s="22">
        <f t="shared" si="26"/>
        <v>157000</v>
      </c>
      <c r="N305" s="23">
        <v>157000</v>
      </c>
      <c r="O305" s="23">
        <v>0</v>
      </c>
      <c r="P305" s="24">
        <f t="shared" si="27"/>
        <v>-7000</v>
      </c>
      <c r="Q305" s="25">
        <v>0</v>
      </c>
      <c r="R305" s="26">
        <v>30000</v>
      </c>
      <c r="S305" s="91">
        <f t="shared" si="23"/>
        <v>0</v>
      </c>
      <c r="T305" s="91">
        <f t="shared" si="24"/>
        <v>0</v>
      </c>
      <c r="U305" s="27" t="s">
        <v>50</v>
      </c>
      <c r="V305" s="19" t="s">
        <v>51</v>
      </c>
      <c r="W305" s="20">
        <v>45868</v>
      </c>
      <c r="X305" s="22" t="s">
        <v>251</v>
      </c>
      <c r="Y305" s="19" t="s">
        <v>52</v>
      </c>
      <c r="Z305" s="19" t="s">
        <v>52</v>
      </c>
      <c r="AA305" s="19" t="s">
        <v>52</v>
      </c>
      <c r="AB305" s="28"/>
    </row>
    <row r="306" spans="1:28" s="29" customFormat="1" ht="15" customHeight="1" x14ac:dyDescent="0.25">
      <c r="A306" s="14">
        <v>2</v>
      </c>
      <c r="B306" s="15">
        <v>45891</v>
      </c>
      <c r="C306" s="15">
        <f t="shared" si="25"/>
        <v>45899</v>
      </c>
      <c r="D306" s="14">
        <v>13208</v>
      </c>
      <c r="E306" s="16" t="s">
        <v>626</v>
      </c>
      <c r="F306" s="17" t="s">
        <v>627</v>
      </c>
      <c r="G306" s="17" t="s">
        <v>102</v>
      </c>
      <c r="H306" s="18" t="s">
        <v>57</v>
      </c>
      <c r="I306" s="19" t="s">
        <v>94</v>
      </c>
      <c r="J306" s="20">
        <v>45841</v>
      </c>
      <c r="K306" s="20">
        <v>45868</v>
      </c>
      <c r="L306" s="21">
        <v>200000</v>
      </c>
      <c r="M306" s="22">
        <f t="shared" si="26"/>
        <v>148000</v>
      </c>
      <c r="N306" s="23">
        <v>148000</v>
      </c>
      <c r="O306" s="23">
        <v>0</v>
      </c>
      <c r="P306" s="24">
        <f t="shared" si="27"/>
        <v>52000</v>
      </c>
      <c r="Q306" s="25">
        <v>0</v>
      </c>
      <c r="R306" s="26">
        <v>50000</v>
      </c>
      <c r="S306" s="91">
        <f t="shared" si="23"/>
        <v>1.04</v>
      </c>
      <c r="T306" s="91">
        <f t="shared" si="24"/>
        <v>0</v>
      </c>
      <c r="U306" s="27" t="s">
        <v>50</v>
      </c>
      <c r="V306" s="19" t="s">
        <v>51</v>
      </c>
      <c r="W306" s="20">
        <v>45862</v>
      </c>
      <c r="X306" s="22" t="s">
        <v>251</v>
      </c>
      <c r="Y306" s="19" t="s">
        <v>52</v>
      </c>
      <c r="Z306" s="19" t="s">
        <v>52</v>
      </c>
      <c r="AA306" s="19" t="s">
        <v>52</v>
      </c>
      <c r="AB306" s="28"/>
    </row>
    <row r="307" spans="1:28" s="29" customFormat="1" ht="15" customHeight="1" x14ac:dyDescent="0.25">
      <c r="A307" s="14">
        <v>3</v>
      </c>
      <c r="B307" s="15">
        <v>45884</v>
      </c>
      <c r="C307" s="15">
        <f t="shared" si="25"/>
        <v>45892</v>
      </c>
      <c r="D307" s="14">
        <v>13228</v>
      </c>
      <c r="E307" s="16" t="s">
        <v>287</v>
      </c>
      <c r="F307" s="17" t="s">
        <v>288</v>
      </c>
      <c r="G307" s="17" t="s">
        <v>102</v>
      </c>
      <c r="H307" s="18" t="s">
        <v>62</v>
      </c>
      <c r="I307" s="19" t="s">
        <v>63</v>
      </c>
      <c r="J307" s="20">
        <v>45847</v>
      </c>
      <c r="K307" s="20">
        <v>45875</v>
      </c>
      <c r="L307" s="21">
        <v>1000000</v>
      </c>
      <c r="M307" s="22">
        <f t="shared" si="26"/>
        <v>970000</v>
      </c>
      <c r="N307" s="23">
        <v>970000</v>
      </c>
      <c r="O307" s="23">
        <v>0</v>
      </c>
      <c r="P307" s="24">
        <f t="shared" si="27"/>
        <v>30000</v>
      </c>
      <c r="Q307" s="25">
        <v>0</v>
      </c>
      <c r="R307" s="26">
        <v>84000</v>
      </c>
      <c r="S307" s="91">
        <f t="shared" si="23"/>
        <v>0.35714285714285715</v>
      </c>
      <c r="T307" s="91">
        <f t="shared" si="24"/>
        <v>0</v>
      </c>
      <c r="U307" s="27" t="s">
        <v>50</v>
      </c>
      <c r="V307" s="19" t="s">
        <v>51</v>
      </c>
      <c r="W307" s="20">
        <v>45862</v>
      </c>
      <c r="X307" s="22" t="s">
        <v>251</v>
      </c>
      <c r="Y307" s="19" t="s">
        <v>52</v>
      </c>
      <c r="Z307" s="19" t="s">
        <v>52</v>
      </c>
      <c r="AA307" s="19" t="s">
        <v>52</v>
      </c>
      <c r="AB307" s="28"/>
    </row>
    <row r="308" spans="1:28" s="29" customFormat="1" ht="15" customHeight="1" x14ac:dyDescent="0.25">
      <c r="A308" s="14">
        <v>4</v>
      </c>
      <c r="B308" s="15">
        <v>45884</v>
      </c>
      <c r="C308" s="15">
        <f t="shared" si="25"/>
        <v>45892</v>
      </c>
      <c r="D308" s="14">
        <v>13160</v>
      </c>
      <c r="E308" s="16" t="s">
        <v>305</v>
      </c>
      <c r="F308" s="17" t="s">
        <v>306</v>
      </c>
      <c r="G308" s="17" t="s">
        <v>132</v>
      </c>
      <c r="H308" s="18" t="s">
        <v>54</v>
      </c>
      <c r="I308" s="19" t="s">
        <v>135</v>
      </c>
      <c r="J308" s="20">
        <v>45833</v>
      </c>
      <c r="K308" s="20">
        <v>45877</v>
      </c>
      <c r="L308" s="21">
        <v>25000</v>
      </c>
      <c r="M308" s="22">
        <f t="shared" si="26"/>
        <v>27340</v>
      </c>
      <c r="N308" s="23">
        <v>27340</v>
      </c>
      <c r="O308" s="23">
        <v>0</v>
      </c>
      <c r="P308" s="24">
        <f t="shared" si="27"/>
        <v>-2340</v>
      </c>
      <c r="Q308" s="25">
        <v>0</v>
      </c>
      <c r="R308" s="26">
        <v>75078</v>
      </c>
      <c r="S308" s="91">
        <f t="shared" si="23"/>
        <v>0</v>
      </c>
      <c r="T308" s="91">
        <f t="shared" si="24"/>
        <v>0</v>
      </c>
      <c r="U308" s="27" t="s">
        <v>56</v>
      </c>
      <c r="V308" s="19" t="s">
        <v>51</v>
      </c>
      <c r="W308" s="20">
        <v>45880</v>
      </c>
      <c r="X308" s="22" t="s">
        <v>251</v>
      </c>
      <c r="Y308" s="19" t="s">
        <v>52</v>
      </c>
      <c r="Z308" s="19" t="s">
        <v>52</v>
      </c>
      <c r="AA308" s="19" t="s">
        <v>52</v>
      </c>
      <c r="AB308" s="28"/>
    </row>
    <row r="309" spans="1:28" s="29" customFormat="1" ht="15" customHeight="1" x14ac:dyDescent="0.25">
      <c r="A309" s="14">
        <v>5</v>
      </c>
      <c r="B309" s="15">
        <v>45884</v>
      </c>
      <c r="C309" s="15">
        <f t="shared" si="25"/>
        <v>45892</v>
      </c>
      <c r="D309" s="14">
        <v>13165</v>
      </c>
      <c r="E309" s="16" t="s">
        <v>222</v>
      </c>
      <c r="F309" s="17" t="s">
        <v>223</v>
      </c>
      <c r="G309" s="17" t="s">
        <v>132</v>
      </c>
      <c r="H309" s="18" t="s">
        <v>54</v>
      </c>
      <c r="I309" s="19" t="s">
        <v>135</v>
      </c>
      <c r="J309" s="20">
        <v>45833</v>
      </c>
      <c r="K309" s="20">
        <v>45877</v>
      </c>
      <c r="L309" s="21">
        <v>140000</v>
      </c>
      <c r="M309" s="22">
        <f t="shared" si="26"/>
        <v>159250</v>
      </c>
      <c r="N309" s="23">
        <v>159250</v>
      </c>
      <c r="O309" s="23">
        <v>0</v>
      </c>
      <c r="P309" s="24">
        <f t="shared" si="27"/>
        <v>-19250</v>
      </c>
      <c r="Q309" s="25">
        <v>0</v>
      </c>
      <c r="R309" s="26">
        <v>57330</v>
      </c>
      <c r="S309" s="91">
        <f t="shared" si="23"/>
        <v>0</v>
      </c>
      <c r="T309" s="91">
        <f t="shared" si="24"/>
        <v>0</v>
      </c>
      <c r="U309" s="27" t="s">
        <v>56</v>
      </c>
      <c r="V309" s="19" t="s">
        <v>51</v>
      </c>
      <c r="W309" s="20">
        <v>45868</v>
      </c>
      <c r="X309" s="22" t="s">
        <v>251</v>
      </c>
      <c r="Y309" s="19" t="s">
        <v>52</v>
      </c>
      <c r="Z309" s="19" t="s">
        <v>52</v>
      </c>
      <c r="AA309" s="19" t="s">
        <v>52</v>
      </c>
      <c r="AB309" s="28"/>
    </row>
    <row r="310" spans="1:28" s="29" customFormat="1" ht="15" customHeight="1" x14ac:dyDescent="0.25">
      <c r="A310" s="14">
        <v>7</v>
      </c>
      <c r="B310" s="15">
        <v>45884</v>
      </c>
      <c r="C310" s="15">
        <f t="shared" si="25"/>
        <v>45892</v>
      </c>
      <c r="D310" s="14">
        <v>13282</v>
      </c>
      <c r="E310" s="16" t="s">
        <v>331</v>
      </c>
      <c r="F310" s="17" t="s">
        <v>332</v>
      </c>
      <c r="G310" s="17" t="s">
        <v>132</v>
      </c>
      <c r="H310" s="18" t="s">
        <v>54</v>
      </c>
      <c r="I310" s="19" t="s">
        <v>135</v>
      </c>
      <c r="J310" s="20">
        <v>45859</v>
      </c>
      <c r="K310" s="20">
        <v>45904</v>
      </c>
      <c r="L310" s="21">
        <v>25000</v>
      </c>
      <c r="M310" s="22">
        <f t="shared" si="26"/>
        <v>22770</v>
      </c>
      <c r="N310" s="23">
        <v>22770</v>
      </c>
      <c r="O310" s="23">
        <v>0</v>
      </c>
      <c r="P310" s="24">
        <f t="shared" si="27"/>
        <v>2230</v>
      </c>
      <c r="Q310" s="25">
        <v>0</v>
      </c>
      <c r="R310" s="26">
        <v>75078</v>
      </c>
      <c r="S310" s="91">
        <f t="shared" si="23"/>
        <v>2.9702442792828791E-2</v>
      </c>
      <c r="T310" s="91">
        <f t="shared" si="24"/>
        <v>0</v>
      </c>
      <c r="U310" s="27" t="s">
        <v>56</v>
      </c>
      <c r="V310" s="19" t="s">
        <v>51</v>
      </c>
      <c r="W310" s="20">
        <v>45880</v>
      </c>
      <c r="X310" s="22" t="s">
        <v>251</v>
      </c>
      <c r="Y310" s="19" t="s">
        <v>52</v>
      </c>
      <c r="Z310" s="19" t="s">
        <v>52</v>
      </c>
      <c r="AA310" s="19" t="s">
        <v>52</v>
      </c>
      <c r="AB310" s="28"/>
    </row>
    <row r="311" spans="1:28" s="29" customFormat="1" ht="15" customHeight="1" x14ac:dyDescent="0.25">
      <c r="A311" s="14">
        <v>8</v>
      </c>
      <c r="B311" s="15">
        <v>45884</v>
      </c>
      <c r="C311" s="15">
        <f t="shared" si="25"/>
        <v>45892</v>
      </c>
      <c r="D311" s="14">
        <v>13283</v>
      </c>
      <c r="E311" s="16" t="s">
        <v>329</v>
      </c>
      <c r="F311" s="17" t="s">
        <v>330</v>
      </c>
      <c r="G311" s="17" t="s">
        <v>132</v>
      </c>
      <c r="H311" s="18" t="s">
        <v>54</v>
      </c>
      <c r="I311" s="19" t="s">
        <v>135</v>
      </c>
      <c r="J311" s="20">
        <v>45859</v>
      </c>
      <c r="K311" s="20">
        <v>45904</v>
      </c>
      <c r="L311" s="21">
        <v>25000</v>
      </c>
      <c r="M311" s="22">
        <f t="shared" si="26"/>
        <v>28280</v>
      </c>
      <c r="N311" s="23">
        <v>28280</v>
      </c>
      <c r="O311" s="23">
        <v>0</v>
      </c>
      <c r="P311" s="24">
        <f t="shared" si="27"/>
        <v>-3280</v>
      </c>
      <c r="Q311" s="25">
        <v>0</v>
      </c>
      <c r="R311" s="26">
        <v>75078</v>
      </c>
      <c r="S311" s="91">
        <f t="shared" si="23"/>
        <v>0</v>
      </c>
      <c r="T311" s="91">
        <f t="shared" si="24"/>
        <v>0</v>
      </c>
      <c r="U311" s="27" t="s">
        <v>56</v>
      </c>
      <c r="V311" s="19" t="s">
        <v>51</v>
      </c>
      <c r="W311" s="20">
        <v>45880</v>
      </c>
      <c r="X311" s="22" t="s">
        <v>251</v>
      </c>
      <c r="Y311" s="19" t="s">
        <v>52</v>
      </c>
      <c r="Z311" s="19" t="s">
        <v>52</v>
      </c>
      <c r="AA311" s="19" t="s">
        <v>52</v>
      </c>
      <c r="AB311" s="28"/>
    </row>
    <row r="312" spans="1:28" s="29" customFormat="1" ht="15" customHeight="1" x14ac:dyDescent="0.25">
      <c r="A312" s="14">
        <v>9</v>
      </c>
      <c r="B312" s="15">
        <v>45884</v>
      </c>
      <c r="C312" s="15">
        <f t="shared" si="25"/>
        <v>45892</v>
      </c>
      <c r="D312" s="14">
        <v>13292</v>
      </c>
      <c r="E312" s="16" t="s">
        <v>139</v>
      </c>
      <c r="F312" s="17" t="s">
        <v>140</v>
      </c>
      <c r="G312" s="17" t="s">
        <v>132</v>
      </c>
      <c r="H312" s="18" t="s">
        <v>54</v>
      </c>
      <c r="I312" s="19" t="s">
        <v>135</v>
      </c>
      <c r="J312" s="20">
        <v>45859</v>
      </c>
      <c r="K312" s="20">
        <v>45904</v>
      </c>
      <c r="L312" s="21">
        <v>530000</v>
      </c>
      <c r="M312" s="22">
        <f t="shared" si="26"/>
        <v>633180</v>
      </c>
      <c r="N312" s="23">
        <v>633180</v>
      </c>
      <c r="O312" s="23">
        <v>0</v>
      </c>
      <c r="P312" s="24">
        <f t="shared" si="27"/>
        <v>-103180</v>
      </c>
      <c r="Q312" s="25">
        <v>0</v>
      </c>
      <c r="R312" s="26">
        <v>175500</v>
      </c>
      <c r="S312" s="91">
        <f t="shared" si="23"/>
        <v>0</v>
      </c>
      <c r="T312" s="91">
        <f t="shared" si="24"/>
        <v>0</v>
      </c>
      <c r="U312" s="27" t="s">
        <v>56</v>
      </c>
      <c r="V312" s="19" t="s">
        <v>51</v>
      </c>
      <c r="W312" s="20">
        <v>45880</v>
      </c>
      <c r="X312" s="22" t="s">
        <v>251</v>
      </c>
      <c r="Y312" s="19" t="s">
        <v>52</v>
      </c>
      <c r="Z312" s="19" t="s">
        <v>52</v>
      </c>
      <c r="AA312" s="19" t="s">
        <v>52</v>
      </c>
      <c r="AB312" s="28"/>
    </row>
    <row r="313" spans="1:28" s="29" customFormat="1" ht="15" customHeight="1" x14ac:dyDescent="0.25">
      <c r="A313" s="14">
        <v>12</v>
      </c>
      <c r="B313" s="15">
        <v>45884</v>
      </c>
      <c r="C313" s="15">
        <f t="shared" si="25"/>
        <v>45892</v>
      </c>
      <c r="D313" s="14">
        <v>13281</v>
      </c>
      <c r="E313" s="16" t="s">
        <v>240</v>
      </c>
      <c r="F313" s="17" t="s">
        <v>241</v>
      </c>
      <c r="G313" s="17" t="s">
        <v>132</v>
      </c>
      <c r="H313" s="18" t="s">
        <v>54</v>
      </c>
      <c r="I313" s="19" t="s">
        <v>135</v>
      </c>
      <c r="J313" s="20">
        <v>45859</v>
      </c>
      <c r="K313" s="20">
        <v>45904</v>
      </c>
      <c r="L313" s="21">
        <v>475000</v>
      </c>
      <c r="M313" s="22">
        <f t="shared" si="26"/>
        <v>457550</v>
      </c>
      <c r="N313" s="23">
        <v>457550</v>
      </c>
      <c r="O313" s="23">
        <v>0</v>
      </c>
      <c r="P313" s="24">
        <f t="shared" si="27"/>
        <v>17450</v>
      </c>
      <c r="Q313" s="25">
        <v>0</v>
      </c>
      <c r="R313" s="26">
        <v>175500</v>
      </c>
      <c r="S313" s="91">
        <f t="shared" si="23"/>
        <v>9.9430199430199429E-2</v>
      </c>
      <c r="T313" s="91">
        <f t="shared" si="24"/>
        <v>0</v>
      </c>
      <c r="U313" s="27" t="s">
        <v>56</v>
      </c>
      <c r="V313" s="19" t="s">
        <v>51</v>
      </c>
      <c r="W313" s="20">
        <v>45880</v>
      </c>
      <c r="X313" s="22" t="s">
        <v>251</v>
      </c>
      <c r="Y313" s="19" t="s">
        <v>52</v>
      </c>
      <c r="Z313" s="19" t="s">
        <v>52</v>
      </c>
      <c r="AA313" s="19" t="s">
        <v>52</v>
      </c>
      <c r="AB313" s="28"/>
    </row>
    <row r="314" spans="1:28" s="29" customFormat="1" ht="15" customHeight="1" x14ac:dyDescent="0.25">
      <c r="A314" s="14">
        <v>8</v>
      </c>
      <c r="B314" s="15">
        <v>45892</v>
      </c>
      <c r="C314" s="15">
        <f t="shared" si="25"/>
        <v>45900</v>
      </c>
      <c r="D314" s="14">
        <v>13381</v>
      </c>
      <c r="E314" s="16" t="s">
        <v>378</v>
      </c>
      <c r="F314" s="40" t="s">
        <v>379</v>
      </c>
      <c r="G314" s="17" t="s">
        <v>75</v>
      </c>
      <c r="H314" s="18" t="s">
        <v>78</v>
      </c>
      <c r="I314" s="19" t="s">
        <v>79</v>
      </c>
      <c r="J314" s="20">
        <v>45876</v>
      </c>
      <c r="K314" s="20">
        <v>45924</v>
      </c>
      <c r="L314" s="21">
        <v>180000</v>
      </c>
      <c r="M314" s="22">
        <f t="shared" si="26"/>
        <v>266000</v>
      </c>
      <c r="N314" s="23">
        <v>266000</v>
      </c>
      <c r="O314" s="23">
        <v>0</v>
      </c>
      <c r="P314" s="24">
        <f t="shared" si="27"/>
        <v>-86000</v>
      </c>
      <c r="Q314" s="25">
        <v>0</v>
      </c>
      <c r="R314" s="26">
        <v>84000</v>
      </c>
      <c r="S314" s="91">
        <f t="shared" si="23"/>
        <v>0</v>
      </c>
      <c r="T314" s="91">
        <f t="shared" si="24"/>
        <v>0</v>
      </c>
      <c r="U314" s="27" t="s">
        <v>56</v>
      </c>
      <c r="V314" s="19" t="s">
        <v>51</v>
      </c>
      <c r="W314" s="20">
        <v>45880</v>
      </c>
      <c r="X314" s="22" t="s">
        <v>251</v>
      </c>
      <c r="Y314" s="19" t="s">
        <v>52</v>
      </c>
      <c r="Z314" s="19" t="s">
        <v>52</v>
      </c>
      <c r="AA314" s="19" t="s">
        <v>52</v>
      </c>
      <c r="AB314" s="28"/>
    </row>
    <row r="315" spans="1:28" s="29" customFormat="1" ht="15" customHeight="1" x14ac:dyDescent="0.25">
      <c r="A315" s="14">
        <v>1</v>
      </c>
      <c r="B315" s="15">
        <v>45892</v>
      </c>
      <c r="C315" s="15">
        <f t="shared" si="25"/>
        <v>45900</v>
      </c>
      <c r="D315" s="14">
        <v>13339</v>
      </c>
      <c r="E315" s="16" t="s">
        <v>312</v>
      </c>
      <c r="F315" s="17" t="s">
        <v>313</v>
      </c>
      <c r="G315" s="17" t="s">
        <v>102</v>
      </c>
      <c r="H315" s="18" t="s">
        <v>57</v>
      </c>
      <c r="I315" s="19" t="s">
        <v>94</v>
      </c>
      <c r="J315" s="20">
        <v>45868</v>
      </c>
      <c r="K315" s="20">
        <v>45916</v>
      </c>
      <c r="L315" s="21">
        <v>24000</v>
      </c>
      <c r="M315" s="22">
        <f t="shared" si="26"/>
        <v>28000</v>
      </c>
      <c r="N315" s="23">
        <v>28000</v>
      </c>
      <c r="O315" s="23">
        <v>0</v>
      </c>
      <c r="P315" s="24">
        <f t="shared" si="27"/>
        <v>-4000</v>
      </c>
      <c r="Q315" s="25">
        <v>0</v>
      </c>
      <c r="R315" s="26">
        <v>50000</v>
      </c>
      <c r="S315" s="91">
        <f t="shared" ref="S315:S378" si="28">IF(P315&gt;0,P315/$R315,0)</f>
        <v>0</v>
      </c>
      <c r="T315" s="91">
        <f t="shared" ref="T315:T378" si="29">IF(Q315&gt;0,Q315/$R315,0)</f>
        <v>0</v>
      </c>
      <c r="U315" s="27" t="s">
        <v>50</v>
      </c>
      <c r="V315" s="19" t="s">
        <v>51</v>
      </c>
      <c r="W315" s="20">
        <v>45892</v>
      </c>
      <c r="X315" s="22" t="s">
        <v>251</v>
      </c>
      <c r="Y315" s="19" t="s">
        <v>52</v>
      </c>
      <c r="Z315" s="19" t="s">
        <v>52</v>
      </c>
      <c r="AA315" s="19" t="s">
        <v>52</v>
      </c>
      <c r="AB315" s="28"/>
    </row>
    <row r="316" spans="1:28" s="29" customFormat="1" ht="15" customHeight="1" x14ac:dyDescent="0.25">
      <c r="A316" s="14">
        <v>4</v>
      </c>
      <c r="B316" s="15">
        <v>45892</v>
      </c>
      <c r="C316" s="15">
        <f t="shared" si="25"/>
        <v>45900</v>
      </c>
      <c r="D316" s="14">
        <v>13272</v>
      </c>
      <c r="E316" s="16" t="s">
        <v>105</v>
      </c>
      <c r="F316" s="17" t="s">
        <v>106</v>
      </c>
      <c r="G316" s="17" t="s">
        <v>102</v>
      </c>
      <c r="H316" s="18" t="s">
        <v>542</v>
      </c>
      <c r="I316" s="19" t="s">
        <v>49</v>
      </c>
      <c r="J316" s="20">
        <v>45854</v>
      </c>
      <c r="K316" s="20">
        <v>45884</v>
      </c>
      <c r="L316" s="21">
        <v>2000000</v>
      </c>
      <c r="M316" s="22">
        <f t="shared" si="26"/>
        <v>1988000</v>
      </c>
      <c r="N316" s="23">
        <v>1988000</v>
      </c>
      <c r="O316" s="23">
        <v>0</v>
      </c>
      <c r="P316" s="24">
        <f t="shared" si="27"/>
        <v>12000</v>
      </c>
      <c r="Q316" s="25">
        <v>0</v>
      </c>
      <c r="R316" s="26">
        <v>50000</v>
      </c>
      <c r="S316" s="91">
        <f t="shared" si="28"/>
        <v>0.24</v>
      </c>
      <c r="T316" s="91">
        <f t="shared" si="29"/>
        <v>0</v>
      </c>
      <c r="U316" s="27" t="s">
        <v>50</v>
      </c>
      <c r="V316" s="19" t="s">
        <v>51</v>
      </c>
      <c r="W316" s="20">
        <v>45870</v>
      </c>
      <c r="X316" s="22" t="s">
        <v>251</v>
      </c>
      <c r="Y316" s="19" t="s">
        <v>52</v>
      </c>
      <c r="Z316" s="19" t="s">
        <v>52</v>
      </c>
      <c r="AA316" s="19" t="s">
        <v>52</v>
      </c>
      <c r="AB316" s="28"/>
    </row>
    <row r="317" spans="1:28" s="29" customFormat="1" ht="15" customHeight="1" x14ac:dyDescent="0.25">
      <c r="A317" s="14">
        <v>7</v>
      </c>
      <c r="B317" s="15">
        <v>45892</v>
      </c>
      <c r="C317" s="15">
        <f t="shared" si="25"/>
        <v>45900</v>
      </c>
      <c r="D317" s="14">
        <v>13360</v>
      </c>
      <c r="E317" s="16" t="s">
        <v>244</v>
      </c>
      <c r="F317" s="17" t="s">
        <v>243</v>
      </c>
      <c r="G317" s="17" t="s">
        <v>102</v>
      </c>
      <c r="H317" s="18" t="s">
        <v>542</v>
      </c>
      <c r="I317" s="19" t="s">
        <v>63</v>
      </c>
      <c r="J317" s="20">
        <v>45873</v>
      </c>
      <c r="K317" s="20">
        <v>45898</v>
      </c>
      <c r="L317" s="21">
        <v>700000</v>
      </c>
      <c r="M317" s="22">
        <f t="shared" si="26"/>
        <v>822000</v>
      </c>
      <c r="N317" s="23">
        <v>822000</v>
      </c>
      <c r="O317" s="23">
        <v>0</v>
      </c>
      <c r="P317" s="24">
        <f t="shared" si="27"/>
        <v>-122000</v>
      </c>
      <c r="Q317" s="25">
        <v>0</v>
      </c>
      <c r="R317" s="26">
        <v>84000</v>
      </c>
      <c r="S317" s="91">
        <f t="shared" si="28"/>
        <v>0</v>
      </c>
      <c r="T317" s="91">
        <f t="shared" si="29"/>
        <v>0</v>
      </c>
      <c r="U317" s="27" t="s">
        <v>50</v>
      </c>
      <c r="V317" s="19" t="s">
        <v>51</v>
      </c>
      <c r="W317" s="20">
        <v>45889</v>
      </c>
      <c r="X317" s="22" t="s">
        <v>251</v>
      </c>
      <c r="Y317" s="19" t="s">
        <v>52</v>
      </c>
      <c r="Z317" s="19" t="s">
        <v>52</v>
      </c>
      <c r="AA317" s="19" t="s">
        <v>52</v>
      </c>
      <c r="AB317" s="28"/>
    </row>
    <row r="318" spans="1:28" s="29" customFormat="1" ht="15" customHeight="1" x14ac:dyDescent="0.25">
      <c r="A318" s="14">
        <v>1</v>
      </c>
      <c r="B318" s="15">
        <v>45898</v>
      </c>
      <c r="C318" s="15">
        <f t="shared" si="25"/>
        <v>45906</v>
      </c>
      <c r="D318" s="14">
        <v>13364</v>
      </c>
      <c r="E318" s="16" t="s">
        <v>756</v>
      </c>
      <c r="F318" s="17" t="s">
        <v>483</v>
      </c>
      <c r="G318" s="17" t="s">
        <v>47</v>
      </c>
      <c r="H318" s="18" t="s">
        <v>57</v>
      </c>
      <c r="I318" s="19" t="s">
        <v>58</v>
      </c>
      <c r="J318" s="20">
        <v>45873</v>
      </c>
      <c r="K318" s="20">
        <v>45905</v>
      </c>
      <c r="L318" s="21">
        <v>1500000</v>
      </c>
      <c r="M318" s="22">
        <f t="shared" si="26"/>
        <v>1500000</v>
      </c>
      <c r="N318" s="23">
        <v>1500000</v>
      </c>
      <c r="O318" s="23">
        <v>0</v>
      </c>
      <c r="P318" s="24">
        <f t="shared" si="27"/>
        <v>0</v>
      </c>
      <c r="Q318" s="25">
        <v>0</v>
      </c>
      <c r="R318" s="26">
        <v>50000</v>
      </c>
      <c r="S318" s="91">
        <f t="shared" si="28"/>
        <v>0</v>
      </c>
      <c r="T318" s="91">
        <f t="shared" si="29"/>
        <v>0</v>
      </c>
      <c r="U318" s="27" t="s">
        <v>50</v>
      </c>
      <c r="V318" s="19" t="s">
        <v>51</v>
      </c>
      <c r="W318" s="20">
        <v>45880</v>
      </c>
      <c r="X318" s="22" t="s">
        <v>251</v>
      </c>
      <c r="Y318" s="19" t="s">
        <v>52</v>
      </c>
      <c r="Z318" s="19" t="s">
        <v>52</v>
      </c>
      <c r="AA318" s="19" t="s">
        <v>52</v>
      </c>
      <c r="AB318" s="42"/>
    </row>
    <row r="319" spans="1:28" s="29" customFormat="1" ht="15" customHeight="1" x14ac:dyDescent="0.25">
      <c r="A319" s="14">
        <v>1</v>
      </c>
      <c r="B319" s="15">
        <v>45898</v>
      </c>
      <c r="C319" s="15">
        <f t="shared" si="25"/>
        <v>45906</v>
      </c>
      <c r="D319" s="14">
        <v>12727</v>
      </c>
      <c r="E319" s="16" t="s">
        <v>83</v>
      </c>
      <c r="F319" s="40" t="s">
        <v>84</v>
      </c>
      <c r="G319" s="17" t="s">
        <v>75</v>
      </c>
      <c r="H319" s="18" t="s">
        <v>54</v>
      </c>
      <c r="I319" s="19" t="s">
        <v>421</v>
      </c>
      <c r="J319" s="20">
        <v>45737</v>
      </c>
      <c r="K319" s="20">
        <v>45779</v>
      </c>
      <c r="L319" s="21">
        <v>500000</v>
      </c>
      <c r="M319" s="22">
        <f t="shared" si="26"/>
        <v>484000</v>
      </c>
      <c r="N319" s="23">
        <v>484000</v>
      </c>
      <c r="O319" s="23">
        <v>0</v>
      </c>
      <c r="P319" s="24">
        <f t="shared" si="27"/>
        <v>16000</v>
      </c>
      <c r="Q319" s="25">
        <v>0</v>
      </c>
      <c r="R319" s="26">
        <v>84000</v>
      </c>
      <c r="S319" s="91">
        <f t="shared" si="28"/>
        <v>0.19047619047619047</v>
      </c>
      <c r="T319" s="91">
        <f t="shared" si="29"/>
        <v>0</v>
      </c>
      <c r="U319" s="27" t="s">
        <v>56</v>
      </c>
      <c r="V319" s="19" t="s">
        <v>51</v>
      </c>
      <c r="W319" s="20">
        <v>45772</v>
      </c>
      <c r="X319" s="22" t="s">
        <v>251</v>
      </c>
      <c r="Y319" s="19" t="s">
        <v>52</v>
      </c>
      <c r="Z319" s="19" t="s">
        <v>52</v>
      </c>
      <c r="AA319" s="19" t="s">
        <v>52</v>
      </c>
      <c r="AB319" s="28"/>
    </row>
    <row r="320" spans="1:28" s="29" customFormat="1" ht="15" customHeight="1" x14ac:dyDescent="0.25">
      <c r="A320" s="14">
        <v>8</v>
      </c>
      <c r="B320" s="15">
        <v>45898</v>
      </c>
      <c r="C320" s="15">
        <f t="shared" si="25"/>
        <v>45906</v>
      </c>
      <c r="D320" s="14">
        <v>13390</v>
      </c>
      <c r="E320" s="16" t="s">
        <v>443</v>
      </c>
      <c r="F320" s="40" t="s">
        <v>444</v>
      </c>
      <c r="G320" s="17" t="s">
        <v>75</v>
      </c>
      <c r="H320" s="18" t="s">
        <v>54</v>
      </c>
      <c r="I320" s="19" t="s">
        <v>421</v>
      </c>
      <c r="J320" s="20">
        <v>45876</v>
      </c>
      <c r="K320" s="20">
        <v>45919</v>
      </c>
      <c r="L320" s="21">
        <v>250000</v>
      </c>
      <c r="M320" s="22">
        <f t="shared" si="26"/>
        <v>287000</v>
      </c>
      <c r="N320" s="23">
        <v>287000</v>
      </c>
      <c r="O320" s="23">
        <v>0</v>
      </c>
      <c r="P320" s="24">
        <f t="shared" si="27"/>
        <v>-37000</v>
      </c>
      <c r="Q320" s="25">
        <v>0</v>
      </c>
      <c r="R320" s="26">
        <v>84000</v>
      </c>
      <c r="S320" s="91">
        <f t="shared" si="28"/>
        <v>0</v>
      </c>
      <c r="T320" s="91">
        <f t="shared" si="29"/>
        <v>0</v>
      </c>
      <c r="U320" s="27" t="s">
        <v>56</v>
      </c>
      <c r="V320" s="19" t="s">
        <v>51</v>
      </c>
      <c r="W320" s="20">
        <v>45897</v>
      </c>
      <c r="X320" s="22" t="s">
        <v>251</v>
      </c>
      <c r="Y320" s="19" t="s">
        <v>52</v>
      </c>
      <c r="Z320" s="19" t="s">
        <v>52</v>
      </c>
      <c r="AA320" s="19" t="s">
        <v>52</v>
      </c>
      <c r="AB320" s="28"/>
    </row>
    <row r="321" spans="1:28" s="29" customFormat="1" ht="15" customHeight="1" x14ac:dyDescent="0.25">
      <c r="A321" s="14">
        <v>9</v>
      </c>
      <c r="B321" s="15">
        <v>45898</v>
      </c>
      <c r="C321" s="15">
        <f t="shared" si="25"/>
        <v>45906</v>
      </c>
      <c r="D321" s="14">
        <v>13389</v>
      </c>
      <c r="E321" s="16" t="s">
        <v>419</v>
      </c>
      <c r="F321" s="40" t="s">
        <v>420</v>
      </c>
      <c r="G321" s="17" t="s">
        <v>75</v>
      </c>
      <c r="H321" s="18" t="s">
        <v>54</v>
      </c>
      <c r="I321" s="19" t="s">
        <v>421</v>
      </c>
      <c r="J321" s="20">
        <v>45876</v>
      </c>
      <c r="K321" s="20">
        <v>45919</v>
      </c>
      <c r="L321" s="21">
        <v>500000</v>
      </c>
      <c r="M321" s="22">
        <f t="shared" si="26"/>
        <v>553000</v>
      </c>
      <c r="N321" s="23">
        <v>553000</v>
      </c>
      <c r="O321" s="23">
        <v>0</v>
      </c>
      <c r="P321" s="24">
        <f t="shared" si="27"/>
        <v>-53000</v>
      </c>
      <c r="Q321" s="25">
        <v>0</v>
      </c>
      <c r="R321" s="26">
        <v>84000</v>
      </c>
      <c r="S321" s="91">
        <f t="shared" si="28"/>
        <v>0</v>
      </c>
      <c r="T321" s="91">
        <f t="shared" si="29"/>
        <v>0</v>
      </c>
      <c r="U321" s="27" t="s">
        <v>56</v>
      </c>
      <c r="V321" s="19" t="s">
        <v>51</v>
      </c>
      <c r="W321" s="20">
        <v>45884</v>
      </c>
      <c r="X321" s="22" t="s">
        <v>251</v>
      </c>
      <c r="Y321" s="19" t="s">
        <v>52</v>
      </c>
      <c r="Z321" s="19" t="s">
        <v>52</v>
      </c>
      <c r="AA321" s="19" t="s">
        <v>52</v>
      </c>
      <c r="AB321" s="28"/>
    </row>
    <row r="322" spans="1:28" s="29" customFormat="1" ht="15" customHeight="1" x14ac:dyDescent="0.25">
      <c r="A322" s="14">
        <v>8</v>
      </c>
      <c r="B322" s="15">
        <v>45903</v>
      </c>
      <c r="C322" s="15">
        <f t="shared" si="25"/>
        <v>45911</v>
      </c>
      <c r="D322" s="14">
        <v>13383</v>
      </c>
      <c r="E322" s="16" t="s">
        <v>636</v>
      </c>
      <c r="F322" s="17" t="s">
        <v>637</v>
      </c>
      <c r="G322" s="17" t="s">
        <v>102</v>
      </c>
      <c r="H322" s="18" t="s">
        <v>542</v>
      </c>
      <c r="I322" s="19" t="s">
        <v>104</v>
      </c>
      <c r="J322" s="20">
        <v>45876</v>
      </c>
      <c r="K322" s="20">
        <v>45910</v>
      </c>
      <c r="L322" s="21">
        <v>100000</v>
      </c>
      <c r="M322" s="22">
        <f t="shared" si="26"/>
        <v>102000</v>
      </c>
      <c r="N322" s="23">
        <v>102000</v>
      </c>
      <c r="O322" s="23">
        <v>0</v>
      </c>
      <c r="P322" s="24">
        <f t="shared" si="27"/>
        <v>-2000</v>
      </c>
      <c r="Q322" s="25">
        <v>0</v>
      </c>
      <c r="R322" s="26">
        <v>63000</v>
      </c>
      <c r="S322" s="91">
        <f t="shared" si="28"/>
        <v>0</v>
      </c>
      <c r="T322" s="91">
        <f t="shared" si="29"/>
        <v>0</v>
      </c>
      <c r="U322" s="27" t="s">
        <v>50</v>
      </c>
      <c r="V322" s="19" t="s">
        <v>51</v>
      </c>
      <c r="W322" s="20">
        <v>45898</v>
      </c>
      <c r="X322" s="22" t="s">
        <v>251</v>
      </c>
      <c r="Y322" s="19" t="s">
        <v>52</v>
      </c>
      <c r="Z322" s="19" t="s">
        <v>52</v>
      </c>
      <c r="AA322" s="19" t="s">
        <v>52</v>
      </c>
      <c r="AB322" s="28"/>
    </row>
    <row r="323" spans="1:28" s="29" customFormat="1" ht="15" customHeight="1" x14ac:dyDescent="0.25">
      <c r="A323" s="14">
        <v>9</v>
      </c>
      <c r="B323" s="15">
        <v>45903</v>
      </c>
      <c r="C323" s="15">
        <f t="shared" si="25"/>
        <v>45911</v>
      </c>
      <c r="D323" s="14">
        <v>13427</v>
      </c>
      <c r="E323" s="16" t="s">
        <v>109</v>
      </c>
      <c r="F323" s="17" t="s">
        <v>110</v>
      </c>
      <c r="G323" s="17" t="s">
        <v>102</v>
      </c>
      <c r="H323" s="18" t="s">
        <v>771</v>
      </c>
      <c r="I323" s="19" t="s">
        <v>94</v>
      </c>
      <c r="J323" s="20">
        <v>45883</v>
      </c>
      <c r="K323" s="20">
        <v>45917</v>
      </c>
      <c r="L323" s="21">
        <v>450000</v>
      </c>
      <c r="M323" s="22">
        <f t="shared" si="26"/>
        <v>441000</v>
      </c>
      <c r="N323" s="23">
        <v>441000</v>
      </c>
      <c r="O323" s="23">
        <v>0</v>
      </c>
      <c r="P323" s="24">
        <f t="shared" si="27"/>
        <v>9000</v>
      </c>
      <c r="Q323" s="25">
        <v>0</v>
      </c>
      <c r="R323" s="26">
        <v>50000</v>
      </c>
      <c r="S323" s="91">
        <f t="shared" si="28"/>
        <v>0.18</v>
      </c>
      <c r="T323" s="91">
        <f t="shared" si="29"/>
        <v>0</v>
      </c>
      <c r="U323" s="27" t="s">
        <v>50</v>
      </c>
      <c r="V323" s="19" t="s">
        <v>51</v>
      </c>
      <c r="W323" s="20">
        <v>45898</v>
      </c>
      <c r="X323" s="22" t="s">
        <v>251</v>
      </c>
      <c r="Y323" s="19" t="s">
        <v>52</v>
      </c>
      <c r="Z323" s="19" t="s">
        <v>52</v>
      </c>
      <c r="AA323" s="19" t="s">
        <v>52</v>
      </c>
      <c r="AB323" s="28"/>
    </row>
    <row r="324" spans="1:28" s="29" customFormat="1" ht="15" customHeight="1" x14ac:dyDescent="0.25">
      <c r="A324" s="14">
        <v>2</v>
      </c>
      <c r="B324" s="15">
        <v>45905</v>
      </c>
      <c r="C324" s="15">
        <f t="shared" si="25"/>
        <v>45913</v>
      </c>
      <c r="D324" s="14">
        <v>13236</v>
      </c>
      <c r="E324" s="16" t="s">
        <v>717</v>
      </c>
      <c r="F324" s="40" t="s">
        <v>80</v>
      </c>
      <c r="G324" s="17" t="s">
        <v>75</v>
      </c>
      <c r="H324" s="18" t="s">
        <v>57</v>
      </c>
      <c r="I324" s="19" t="s">
        <v>58</v>
      </c>
      <c r="J324" s="20">
        <v>45847</v>
      </c>
      <c r="K324" s="20">
        <v>45874</v>
      </c>
      <c r="L324" s="21">
        <v>600000</v>
      </c>
      <c r="M324" s="22">
        <f t="shared" si="26"/>
        <v>630000</v>
      </c>
      <c r="N324" s="23">
        <v>630000</v>
      </c>
      <c r="O324" s="23">
        <v>0</v>
      </c>
      <c r="P324" s="24">
        <f t="shared" si="27"/>
        <v>-30000</v>
      </c>
      <c r="Q324" s="25">
        <v>0</v>
      </c>
      <c r="R324" s="26">
        <v>150000</v>
      </c>
      <c r="S324" s="91">
        <f t="shared" si="28"/>
        <v>0</v>
      </c>
      <c r="T324" s="91">
        <f t="shared" si="29"/>
        <v>0</v>
      </c>
      <c r="U324" s="27" t="s">
        <v>50</v>
      </c>
      <c r="V324" s="19" t="s">
        <v>51</v>
      </c>
      <c r="W324" s="20">
        <v>45874</v>
      </c>
      <c r="X324" s="22" t="s">
        <v>251</v>
      </c>
      <c r="Y324" s="19" t="s">
        <v>52</v>
      </c>
      <c r="Z324" s="19" t="s">
        <v>52</v>
      </c>
      <c r="AA324" s="19" t="s">
        <v>52</v>
      </c>
      <c r="AB324" s="28"/>
    </row>
    <row r="325" spans="1:28" s="29" customFormat="1" ht="15" customHeight="1" x14ac:dyDescent="0.25">
      <c r="A325" s="14">
        <v>3</v>
      </c>
      <c r="B325" s="15">
        <v>45905</v>
      </c>
      <c r="C325" s="15">
        <f t="shared" si="25"/>
        <v>45913</v>
      </c>
      <c r="D325" s="14">
        <v>13365</v>
      </c>
      <c r="E325" s="16" t="s">
        <v>753</v>
      </c>
      <c r="F325" s="17" t="s">
        <v>754</v>
      </c>
      <c r="G325" s="17" t="s">
        <v>102</v>
      </c>
      <c r="H325" s="18" t="s">
        <v>62</v>
      </c>
      <c r="I325" s="19" t="s">
        <v>63</v>
      </c>
      <c r="J325" s="20">
        <v>45870</v>
      </c>
      <c r="K325" s="20">
        <v>45901</v>
      </c>
      <c r="L325" s="21">
        <v>300000</v>
      </c>
      <c r="M325" s="22">
        <f t="shared" si="26"/>
        <v>318000</v>
      </c>
      <c r="N325" s="23">
        <v>318000</v>
      </c>
      <c r="O325" s="23">
        <v>0</v>
      </c>
      <c r="P325" s="24">
        <f t="shared" si="27"/>
        <v>-18000</v>
      </c>
      <c r="Q325" s="25">
        <v>0</v>
      </c>
      <c r="R325" s="26">
        <v>100000</v>
      </c>
      <c r="S325" s="91">
        <f t="shared" si="28"/>
        <v>0</v>
      </c>
      <c r="T325" s="91">
        <f t="shared" si="29"/>
        <v>0</v>
      </c>
      <c r="U325" s="27" t="s">
        <v>50</v>
      </c>
      <c r="V325" s="19" t="s">
        <v>51</v>
      </c>
      <c r="W325" s="20">
        <v>45892</v>
      </c>
      <c r="X325" s="22" t="s">
        <v>251</v>
      </c>
      <c r="Y325" s="19" t="s">
        <v>52</v>
      </c>
      <c r="Z325" s="19" t="s">
        <v>52</v>
      </c>
      <c r="AA325" s="19" t="s">
        <v>52</v>
      </c>
      <c r="AB325" s="28"/>
    </row>
    <row r="326" spans="1:28" s="29" customFormat="1" ht="15" customHeight="1" x14ac:dyDescent="0.25">
      <c r="A326" s="14">
        <v>5</v>
      </c>
      <c r="B326" s="15">
        <v>45905</v>
      </c>
      <c r="C326" s="15">
        <f t="shared" si="25"/>
        <v>45913</v>
      </c>
      <c r="D326" s="14">
        <v>13369</v>
      </c>
      <c r="E326" s="16" t="s">
        <v>130</v>
      </c>
      <c r="F326" s="17" t="s">
        <v>250</v>
      </c>
      <c r="G326" s="17" t="s">
        <v>102</v>
      </c>
      <c r="H326" s="18" t="s">
        <v>542</v>
      </c>
      <c r="I326" s="19" t="s">
        <v>70</v>
      </c>
      <c r="J326" s="20">
        <v>45873</v>
      </c>
      <c r="K326" s="20">
        <v>45905</v>
      </c>
      <c r="L326" s="21">
        <v>500000</v>
      </c>
      <c r="M326" s="22">
        <f t="shared" si="26"/>
        <v>580000</v>
      </c>
      <c r="N326" s="23">
        <v>580000</v>
      </c>
      <c r="O326" s="23">
        <v>0</v>
      </c>
      <c r="P326" s="24">
        <f t="shared" si="27"/>
        <v>-80000</v>
      </c>
      <c r="Q326" s="25">
        <v>0</v>
      </c>
      <c r="R326" s="26">
        <v>50000</v>
      </c>
      <c r="S326" s="91">
        <f t="shared" si="28"/>
        <v>0</v>
      </c>
      <c r="T326" s="91">
        <f t="shared" si="29"/>
        <v>0</v>
      </c>
      <c r="U326" s="27" t="s">
        <v>50</v>
      </c>
      <c r="V326" s="19" t="s">
        <v>51</v>
      </c>
      <c r="W326" s="20">
        <v>45891</v>
      </c>
      <c r="X326" s="22" t="s">
        <v>251</v>
      </c>
      <c r="Y326" s="19" t="s">
        <v>52</v>
      </c>
      <c r="Z326" s="19" t="s">
        <v>52</v>
      </c>
      <c r="AA326" s="19" t="s">
        <v>52</v>
      </c>
      <c r="AB326" s="28"/>
    </row>
    <row r="327" spans="1:28" s="29" customFormat="1" ht="15" customHeight="1" x14ac:dyDescent="0.25">
      <c r="A327" s="14">
        <v>6</v>
      </c>
      <c r="B327" s="15">
        <v>45905</v>
      </c>
      <c r="C327" s="15">
        <f t="shared" si="25"/>
        <v>45913</v>
      </c>
      <c r="D327" s="14">
        <v>13361</v>
      </c>
      <c r="E327" s="16" t="s">
        <v>761</v>
      </c>
      <c r="F327" s="17" t="s">
        <v>467</v>
      </c>
      <c r="G327" s="17" t="s">
        <v>102</v>
      </c>
      <c r="H327" s="18" t="s">
        <v>57</v>
      </c>
      <c r="I327" s="19" t="s">
        <v>58</v>
      </c>
      <c r="J327" s="20">
        <v>45874</v>
      </c>
      <c r="K327" s="20">
        <v>45905</v>
      </c>
      <c r="L327" s="21">
        <v>1000000</v>
      </c>
      <c r="M327" s="22">
        <f t="shared" si="26"/>
        <v>1134000</v>
      </c>
      <c r="N327" s="23">
        <v>1134000</v>
      </c>
      <c r="O327" s="23">
        <v>0</v>
      </c>
      <c r="P327" s="24">
        <f t="shared" si="27"/>
        <v>-134000</v>
      </c>
      <c r="Q327" s="25">
        <v>0</v>
      </c>
      <c r="R327" s="26">
        <v>50000</v>
      </c>
      <c r="S327" s="91">
        <f t="shared" si="28"/>
        <v>0</v>
      </c>
      <c r="T327" s="91">
        <f t="shared" si="29"/>
        <v>0</v>
      </c>
      <c r="U327" s="27" t="s">
        <v>50</v>
      </c>
      <c r="V327" s="19" t="s">
        <v>51</v>
      </c>
      <c r="W327" s="20">
        <v>45894</v>
      </c>
      <c r="X327" s="22" t="s">
        <v>251</v>
      </c>
      <c r="Y327" s="19" t="s">
        <v>52</v>
      </c>
      <c r="Z327" s="19" t="s">
        <v>52</v>
      </c>
      <c r="AA327" s="19" t="s">
        <v>52</v>
      </c>
      <c r="AB327" s="28"/>
    </row>
    <row r="328" spans="1:28" s="29" customFormat="1" ht="15" customHeight="1" x14ac:dyDescent="0.25">
      <c r="A328" s="14">
        <v>2</v>
      </c>
      <c r="B328" s="15">
        <v>45912</v>
      </c>
      <c r="C328" s="15">
        <f t="shared" si="25"/>
        <v>45920</v>
      </c>
      <c r="D328" s="14">
        <v>13454</v>
      </c>
      <c r="E328" s="16" t="s">
        <v>702</v>
      </c>
      <c r="F328" s="40" t="s">
        <v>703</v>
      </c>
      <c r="G328" s="17" t="s">
        <v>47</v>
      </c>
      <c r="H328" s="18" t="s">
        <v>542</v>
      </c>
      <c r="I328" s="19" t="s">
        <v>104</v>
      </c>
      <c r="J328" s="20">
        <v>45888</v>
      </c>
      <c r="K328" s="20">
        <v>45916</v>
      </c>
      <c r="L328" s="21">
        <v>1500000</v>
      </c>
      <c r="M328" s="22">
        <f t="shared" si="26"/>
        <v>1683000</v>
      </c>
      <c r="N328" s="23">
        <v>1683000</v>
      </c>
      <c r="O328" s="23">
        <v>0</v>
      </c>
      <c r="P328" s="24">
        <f t="shared" si="27"/>
        <v>-183000</v>
      </c>
      <c r="Q328" s="25">
        <v>0</v>
      </c>
      <c r="R328" s="26">
        <v>94500</v>
      </c>
      <c r="S328" s="91">
        <f t="shared" si="28"/>
        <v>0</v>
      </c>
      <c r="T328" s="91">
        <f t="shared" si="29"/>
        <v>0</v>
      </c>
      <c r="U328" s="27" t="s">
        <v>50</v>
      </c>
      <c r="V328" s="19" t="s">
        <v>51</v>
      </c>
      <c r="W328" s="20">
        <v>45901</v>
      </c>
      <c r="X328" s="22" t="s">
        <v>251</v>
      </c>
      <c r="Y328" s="19" t="s">
        <v>52</v>
      </c>
      <c r="Z328" s="19" t="s">
        <v>52</v>
      </c>
      <c r="AA328" s="19" t="s">
        <v>52</v>
      </c>
      <c r="AB328" s="28"/>
    </row>
    <row r="329" spans="1:28" s="29" customFormat="1" ht="15" customHeight="1" x14ac:dyDescent="0.25">
      <c r="A329" s="14">
        <v>13</v>
      </c>
      <c r="B329" s="15">
        <v>45919</v>
      </c>
      <c r="C329" s="15">
        <f t="shared" si="25"/>
        <v>45927</v>
      </c>
      <c r="D329" s="14">
        <v>13411</v>
      </c>
      <c r="E329" s="16" t="s">
        <v>314</v>
      </c>
      <c r="F329" s="17" t="s">
        <v>315</v>
      </c>
      <c r="G329" s="17" t="s">
        <v>47</v>
      </c>
      <c r="H329" s="18" t="s">
        <v>133</v>
      </c>
      <c r="I329" s="19" t="s">
        <v>198</v>
      </c>
      <c r="J329" s="20">
        <v>45881</v>
      </c>
      <c r="K329" s="20">
        <v>45946</v>
      </c>
      <c r="L329" s="21">
        <v>80000</v>
      </c>
      <c r="M329" s="22">
        <f t="shared" si="26"/>
        <v>84000</v>
      </c>
      <c r="N329" s="23">
        <v>84000</v>
      </c>
      <c r="O329" s="23">
        <v>0</v>
      </c>
      <c r="P329" s="24">
        <f t="shared" si="27"/>
        <v>-4000</v>
      </c>
      <c r="Q329" s="25">
        <v>0</v>
      </c>
      <c r="R329" s="26">
        <v>32000</v>
      </c>
      <c r="S329" s="91">
        <f t="shared" si="28"/>
        <v>0</v>
      </c>
      <c r="T329" s="91">
        <f t="shared" si="29"/>
        <v>0</v>
      </c>
      <c r="U329" s="27" t="s">
        <v>56</v>
      </c>
      <c r="V329" s="19" t="s">
        <v>51</v>
      </c>
      <c r="W329" s="20">
        <v>45910</v>
      </c>
      <c r="X329" s="22" t="s">
        <v>251</v>
      </c>
      <c r="Y329" s="19" t="s">
        <v>52</v>
      </c>
      <c r="Z329" s="19" t="s">
        <v>52</v>
      </c>
      <c r="AA329" s="19" t="s">
        <v>52</v>
      </c>
      <c r="AB329" s="42"/>
    </row>
    <row r="330" spans="1:28" s="29" customFormat="1" ht="15" customHeight="1" x14ac:dyDescent="0.25">
      <c r="A330" s="14">
        <v>3</v>
      </c>
      <c r="B330" s="15">
        <v>45912</v>
      </c>
      <c r="C330" s="15">
        <f t="shared" si="25"/>
        <v>45920</v>
      </c>
      <c r="D330" s="14">
        <v>13423</v>
      </c>
      <c r="E330" s="16" t="s">
        <v>92</v>
      </c>
      <c r="F330" s="40" t="s">
        <v>93</v>
      </c>
      <c r="G330" s="17" t="s">
        <v>75</v>
      </c>
      <c r="H330" s="18" t="s">
        <v>57</v>
      </c>
      <c r="I330" s="19" t="s">
        <v>94</v>
      </c>
      <c r="J330" s="20">
        <v>45883</v>
      </c>
      <c r="K330" s="20">
        <v>45910</v>
      </c>
      <c r="L330" s="21">
        <v>750000</v>
      </c>
      <c r="M330" s="22">
        <f t="shared" si="26"/>
        <v>759000</v>
      </c>
      <c r="N330" s="23">
        <v>759000</v>
      </c>
      <c r="O330" s="23">
        <v>0</v>
      </c>
      <c r="P330" s="24">
        <f t="shared" si="27"/>
        <v>-9000</v>
      </c>
      <c r="Q330" s="25">
        <v>0</v>
      </c>
      <c r="R330" s="26">
        <v>150000</v>
      </c>
      <c r="S330" s="91">
        <f t="shared" si="28"/>
        <v>0</v>
      </c>
      <c r="T330" s="91">
        <f t="shared" si="29"/>
        <v>0</v>
      </c>
      <c r="U330" s="27" t="s">
        <v>50</v>
      </c>
      <c r="V330" s="19" t="s">
        <v>51</v>
      </c>
      <c r="W330" s="20">
        <v>45903</v>
      </c>
      <c r="X330" s="22" t="s">
        <v>251</v>
      </c>
      <c r="Y330" s="19" t="s">
        <v>52</v>
      </c>
      <c r="Z330" s="19" t="s">
        <v>52</v>
      </c>
      <c r="AA330" s="19" t="s">
        <v>52</v>
      </c>
      <c r="AB330" s="28"/>
    </row>
    <row r="331" spans="1:28" s="29" customFormat="1" ht="15" customHeight="1" x14ac:dyDescent="0.25">
      <c r="A331" s="14">
        <v>4</v>
      </c>
      <c r="B331" s="15">
        <v>45912</v>
      </c>
      <c r="C331" s="15">
        <f t="shared" si="25"/>
        <v>45920</v>
      </c>
      <c r="D331" s="14">
        <v>13428</v>
      </c>
      <c r="E331" s="16" t="s">
        <v>76</v>
      </c>
      <c r="F331" s="40" t="s">
        <v>77</v>
      </c>
      <c r="G331" s="17" t="s">
        <v>75</v>
      </c>
      <c r="H331" s="18" t="s">
        <v>62</v>
      </c>
      <c r="I331" s="19" t="s">
        <v>63</v>
      </c>
      <c r="J331" s="20">
        <v>45883</v>
      </c>
      <c r="K331" s="20">
        <v>45911</v>
      </c>
      <c r="L331" s="21">
        <v>500000</v>
      </c>
      <c r="M331" s="22">
        <f t="shared" si="26"/>
        <v>570000</v>
      </c>
      <c r="N331" s="23">
        <v>570000</v>
      </c>
      <c r="O331" s="23">
        <v>0</v>
      </c>
      <c r="P331" s="24">
        <f t="shared" si="27"/>
        <v>-70000</v>
      </c>
      <c r="Q331" s="25">
        <v>0</v>
      </c>
      <c r="R331" s="26">
        <v>150000</v>
      </c>
      <c r="S331" s="91">
        <f t="shared" si="28"/>
        <v>0</v>
      </c>
      <c r="T331" s="91">
        <f t="shared" si="29"/>
        <v>0</v>
      </c>
      <c r="U331" s="27" t="s">
        <v>50</v>
      </c>
      <c r="V331" s="19" t="s">
        <v>51</v>
      </c>
      <c r="W331" s="20">
        <v>45899</v>
      </c>
      <c r="X331" s="22" t="s">
        <v>251</v>
      </c>
      <c r="Y331" s="19" t="s">
        <v>52</v>
      </c>
      <c r="Z331" s="19" t="s">
        <v>52</v>
      </c>
      <c r="AA331" s="19" t="s">
        <v>52</v>
      </c>
      <c r="AB331" s="28"/>
    </row>
    <row r="332" spans="1:28" s="29" customFormat="1" ht="15" customHeight="1" x14ac:dyDescent="0.25">
      <c r="A332" s="14">
        <v>5</v>
      </c>
      <c r="B332" s="15">
        <v>45919</v>
      </c>
      <c r="C332" s="15">
        <f t="shared" si="25"/>
        <v>45927</v>
      </c>
      <c r="D332" s="14">
        <v>13439</v>
      </c>
      <c r="E332" s="16" t="s">
        <v>99</v>
      </c>
      <c r="F332" s="40" t="s">
        <v>100</v>
      </c>
      <c r="G332" s="17" t="s">
        <v>75</v>
      </c>
      <c r="H332" s="18" t="s">
        <v>775</v>
      </c>
      <c r="I332" s="19" t="s">
        <v>86</v>
      </c>
      <c r="J332" s="20">
        <v>45887</v>
      </c>
      <c r="K332" s="20">
        <v>45924</v>
      </c>
      <c r="L332" s="21">
        <v>500000</v>
      </c>
      <c r="M332" s="22">
        <f t="shared" si="26"/>
        <v>605000</v>
      </c>
      <c r="N332" s="23">
        <v>605000</v>
      </c>
      <c r="O332" s="23">
        <v>0</v>
      </c>
      <c r="P332" s="24">
        <f t="shared" si="27"/>
        <v>-105000</v>
      </c>
      <c r="Q332" s="25">
        <v>0</v>
      </c>
      <c r="R332" s="26">
        <v>160000</v>
      </c>
      <c r="S332" s="91">
        <f t="shared" si="28"/>
        <v>0</v>
      </c>
      <c r="T332" s="91">
        <f t="shared" si="29"/>
        <v>0</v>
      </c>
      <c r="U332" s="27" t="s">
        <v>56</v>
      </c>
      <c r="V332" s="19" t="s">
        <v>51</v>
      </c>
      <c r="W332" s="20">
        <v>45910</v>
      </c>
      <c r="X332" s="22" t="s">
        <v>251</v>
      </c>
      <c r="Y332" s="19" t="s">
        <v>52</v>
      </c>
      <c r="Z332" s="19" t="s">
        <v>52</v>
      </c>
      <c r="AA332" s="19" t="s">
        <v>52</v>
      </c>
      <c r="AB332" s="28"/>
    </row>
    <row r="333" spans="1:28" s="29" customFormat="1" ht="15" customHeight="1" x14ac:dyDescent="0.25">
      <c r="A333" s="14">
        <v>2</v>
      </c>
      <c r="B333" s="15">
        <v>45912</v>
      </c>
      <c r="C333" s="15">
        <f t="shared" si="25"/>
        <v>45920</v>
      </c>
      <c r="D333" s="14">
        <v>13317</v>
      </c>
      <c r="E333" s="16" t="s">
        <v>737</v>
      </c>
      <c r="F333" s="17" t="s">
        <v>478</v>
      </c>
      <c r="G333" s="17" t="s">
        <v>102</v>
      </c>
      <c r="H333" s="18" t="s">
        <v>57</v>
      </c>
      <c r="I333" s="19" t="s">
        <v>58</v>
      </c>
      <c r="J333" s="20">
        <v>45861</v>
      </c>
      <c r="K333" s="20">
        <v>45888</v>
      </c>
      <c r="L333" s="21">
        <v>1000000</v>
      </c>
      <c r="M333" s="22">
        <f t="shared" si="26"/>
        <v>1246000</v>
      </c>
      <c r="N333" s="23">
        <v>1246000</v>
      </c>
      <c r="O333" s="23">
        <v>0</v>
      </c>
      <c r="P333" s="24">
        <f t="shared" si="27"/>
        <v>-246000</v>
      </c>
      <c r="Q333" s="25">
        <v>0</v>
      </c>
      <c r="R333" s="26">
        <v>48000</v>
      </c>
      <c r="S333" s="91">
        <f t="shared" si="28"/>
        <v>0</v>
      </c>
      <c r="T333" s="91">
        <f t="shared" si="29"/>
        <v>0</v>
      </c>
      <c r="U333" s="27" t="s">
        <v>50</v>
      </c>
      <c r="V333" s="19" t="s">
        <v>51</v>
      </c>
      <c r="W333" s="20">
        <v>45889</v>
      </c>
      <c r="X333" s="22" t="s">
        <v>251</v>
      </c>
      <c r="Y333" s="19" t="s">
        <v>52</v>
      </c>
      <c r="Z333" s="19" t="s">
        <v>52</v>
      </c>
      <c r="AA333" s="19" t="s">
        <v>52</v>
      </c>
      <c r="AB333" s="28"/>
    </row>
    <row r="334" spans="1:28" s="29" customFormat="1" ht="15" customHeight="1" x14ac:dyDescent="0.25">
      <c r="A334" s="14">
        <v>3</v>
      </c>
      <c r="B334" s="15">
        <v>45912</v>
      </c>
      <c r="C334" s="15">
        <f t="shared" si="25"/>
        <v>45920</v>
      </c>
      <c r="D334" s="14">
        <v>13385</v>
      </c>
      <c r="E334" s="16" t="s">
        <v>312</v>
      </c>
      <c r="F334" s="17" t="s">
        <v>313</v>
      </c>
      <c r="G334" s="17" t="s">
        <v>102</v>
      </c>
      <c r="H334" s="18" t="s">
        <v>57</v>
      </c>
      <c r="I334" s="19" t="s">
        <v>94</v>
      </c>
      <c r="J334" s="20">
        <v>45876</v>
      </c>
      <c r="K334" s="20">
        <v>45901</v>
      </c>
      <c r="L334" s="21">
        <v>24000</v>
      </c>
      <c r="M334" s="22">
        <f t="shared" si="26"/>
        <v>24000</v>
      </c>
      <c r="N334" s="23">
        <v>24000</v>
      </c>
      <c r="O334" s="23">
        <v>0</v>
      </c>
      <c r="P334" s="24">
        <f t="shared" si="27"/>
        <v>0</v>
      </c>
      <c r="Q334" s="25">
        <v>0</v>
      </c>
      <c r="R334" s="26">
        <v>50000</v>
      </c>
      <c r="S334" s="91">
        <f t="shared" si="28"/>
        <v>0</v>
      </c>
      <c r="T334" s="91">
        <f t="shared" si="29"/>
        <v>0</v>
      </c>
      <c r="U334" s="27" t="s">
        <v>50</v>
      </c>
      <c r="V334" s="19" t="s">
        <v>51</v>
      </c>
      <c r="W334" s="20">
        <v>45908</v>
      </c>
      <c r="X334" s="22" t="s">
        <v>251</v>
      </c>
      <c r="Y334" s="19" t="s">
        <v>52</v>
      </c>
      <c r="Z334" s="19" t="s">
        <v>52</v>
      </c>
      <c r="AA334" s="19" t="s">
        <v>52</v>
      </c>
      <c r="AB334" s="28"/>
    </row>
    <row r="335" spans="1:28" s="29" customFormat="1" ht="15" customHeight="1" x14ac:dyDescent="0.25">
      <c r="A335" s="14">
        <v>4</v>
      </c>
      <c r="B335" s="15">
        <v>45912</v>
      </c>
      <c r="C335" s="15">
        <f t="shared" si="25"/>
        <v>45920</v>
      </c>
      <c r="D335" s="14">
        <v>13460</v>
      </c>
      <c r="E335" s="16" t="s">
        <v>787</v>
      </c>
      <c r="F335" s="17" t="s">
        <v>112</v>
      </c>
      <c r="G335" s="17" t="s">
        <v>102</v>
      </c>
      <c r="H335" s="18" t="s">
        <v>57</v>
      </c>
      <c r="I335" s="19" t="s">
        <v>94</v>
      </c>
      <c r="J335" s="20">
        <v>45889</v>
      </c>
      <c r="K335" s="20">
        <v>45903</v>
      </c>
      <c r="L335" s="21">
        <v>500000</v>
      </c>
      <c r="M335" s="22">
        <f t="shared" si="26"/>
        <v>478000</v>
      </c>
      <c r="N335" s="23">
        <v>478000</v>
      </c>
      <c r="O335" s="23">
        <v>0</v>
      </c>
      <c r="P335" s="24">
        <f t="shared" si="27"/>
        <v>22000</v>
      </c>
      <c r="Q335" s="25">
        <v>0</v>
      </c>
      <c r="R335" s="26">
        <v>50000</v>
      </c>
      <c r="S335" s="91">
        <f t="shared" si="28"/>
        <v>0.44</v>
      </c>
      <c r="T335" s="91">
        <f t="shared" si="29"/>
        <v>0</v>
      </c>
      <c r="U335" s="27" t="s">
        <v>50</v>
      </c>
      <c r="V335" s="19" t="s">
        <v>51</v>
      </c>
      <c r="W335" s="20">
        <v>45891</v>
      </c>
      <c r="X335" s="22" t="s">
        <v>251</v>
      </c>
      <c r="Y335" s="19" t="s">
        <v>52</v>
      </c>
      <c r="Z335" s="19" t="s">
        <v>52</v>
      </c>
      <c r="AA335" s="19" t="s">
        <v>52</v>
      </c>
      <c r="AB335" s="28"/>
    </row>
    <row r="336" spans="1:28" s="29" customFormat="1" ht="15" customHeight="1" x14ac:dyDescent="0.25">
      <c r="A336" s="14">
        <v>4</v>
      </c>
      <c r="B336" s="15">
        <v>45919</v>
      </c>
      <c r="C336" s="15">
        <f t="shared" si="25"/>
        <v>45927</v>
      </c>
      <c r="D336" s="14">
        <v>13144</v>
      </c>
      <c r="E336" s="16" t="s">
        <v>307</v>
      </c>
      <c r="F336" s="17" t="s">
        <v>308</v>
      </c>
      <c r="G336" s="17" t="s">
        <v>132</v>
      </c>
      <c r="H336" s="18" t="s">
        <v>133</v>
      </c>
      <c r="I336" s="19" t="s">
        <v>198</v>
      </c>
      <c r="J336" s="20">
        <v>45831</v>
      </c>
      <c r="K336" s="20">
        <v>45882</v>
      </c>
      <c r="L336" s="21">
        <v>450000</v>
      </c>
      <c r="M336" s="22">
        <f t="shared" si="26"/>
        <v>436000</v>
      </c>
      <c r="N336" s="23">
        <v>436000</v>
      </c>
      <c r="O336" s="23">
        <v>0</v>
      </c>
      <c r="P336" s="24">
        <f t="shared" si="27"/>
        <v>14000</v>
      </c>
      <c r="Q336" s="25">
        <v>0</v>
      </c>
      <c r="R336" s="26">
        <v>128000</v>
      </c>
      <c r="S336" s="91">
        <f t="shared" si="28"/>
        <v>0.109375</v>
      </c>
      <c r="T336" s="91">
        <f t="shared" si="29"/>
        <v>0</v>
      </c>
      <c r="U336" s="27" t="s">
        <v>56</v>
      </c>
      <c r="V336" s="19" t="s">
        <v>51</v>
      </c>
      <c r="W336" s="20">
        <v>45862</v>
      </c>
      <c r="X336" s="22" t="s">
        <v>251</v>
      </c>
      <c r="Y336" s="19" t="s">
        <v>52</v>
      </c>
      <c r="Z336" s="19" t="s">
        <v>52</v>
      </c>
      <c r="AA336" s="19" t="s">
        <v>52</v>
      </c>
      <c r="AB336" s="28"/>
    </row>
    <row r="337" spans="1:28" s="29" customFormat="1" ht="15" customHeight="1" x14ac:dyDescent="0.25">
      <c r="A337" s="14">
        <v>8</v>
      </c>
      <c r="B337" s="15">
        <v>45919</v>
      </c>
      <c r="C337" s="15">
        <f t="shared" si="25"/>
        <v>45927</v>
      </c>
      <c r="D337" s="14">
        <v>13397</v>
      </c>
      <c r="E337" s="16" t="s">
        <v>767</v>
      </c>
      <c r="F337" s="17" t="s">
        <v>768</v>
      </c>
      <c r="G337" s="17" t="s">
        <v>132</v>
      </c>
      <c r="H337" s="18" t="s">
        <v>78</v>
      </c>
      <c r="I337" s="19" t="s">
        <v>79</v>
      </c>
      <c r="J337" s="20">
        <v>45882</v>
      </c>
      <c r="K337" s="20">
        <v>45905</v>
      </c>
      <c r="L337" s="21">
        <v>200000</v>
      </c>
      <c r="M337" s="22">
        <f t="shared" si="26"/>
        <v>222820</v>
      </c>
      <c r="N337" s="23">
        <v>222820</v>
      </c>
      <c r="O337" s="23">
        <v>0</v>
      </c>
      <c r="P337" s="24">
        <f t="shared" si="27"/>
        <v>-22820</v>
      </c>
      <c r="Q337" s="25">
        <v>0</v>
      </c>
      <c r="R337" s="26">
        <v>205680</v>
      </c>
      <c r="S337" s="91">
        <f t="shared" si="28"/>
        <v>0</v>
      </c>
      <c r="T337" s="91">
        <f t="shared" si="29"/>
        <v>0</v>
      </c>
      <c r="U337" s="27" t="s">
        <v>56</v>
      </c>
      <c r="V337" s="19" t="s">
        <v>51</v>
      </c>
      <c r="W337" s="20">
        <v>45906</v>
      </c>
      <c r="X337" s="22" t="s">
        <v>251</v>
      </c>
      <c r="Y337" s="19" t="s">
        <v>52</v>
      </c>
      <c r="Z337" s="19" t="s">
        <v>52</v>
      </c>
      <c r="AA337" s="19" t="s">
        <v>52</v>
      </c>
      <c r="AB337" s="28"/>
    </row>
    <row r="338" spans="1:28" s="29" customFormat="1" ht="15" customHeight="1" x14ac:dyDescent="0.25">
      <c r="A338" s="14">
        <v>13</v>
      </c>
      <c r="B338" s="15">
        <v>45919</v>
      </c>
      <c r="C338" s="15">
        <f t="shared" si="25"/>
        <v>45927</v>
      </c>
      <c r="D338" s="14">
        <v>13413</v>
      </c>
      <c r="E338" s="16" t="s">
        <v>434</v>
      </c>
      <c r="F338" s="17" t="s">
        <v>435</v>
      </c>
      <c r="G338" s="17" t="s">
        <v>132</v>
      </c>
      <c r="H338" s="18" t="s">
        <v>54</v>
      </c>
      <c r="I338" s="19" t="s">
        <v>135</v>
      </c>
      <c r="J338" s="20">
        <v>45884</v>
      </c>
      <c r="K338" s="20">
        <v>45932</v>
      </c>
      <c r="L338" s="21">
        <v>25000</v>
      </c>
      <c r="M338" s="22">
        <f t="shared" si="26"/>
        <v>25480</v>
      </c>
      <c r="N338" s="23">
        <v>25480</v>
      </c>
      <c r="O338" s="23">
        <v>0</v>
      </c>
      <c r="P338" s="24">
        <f t="shared" si="27"/>
        <v>-480</v>
      </c>
      <c r="Q338" s="25">
        <v>0</v>
      </c>
      <c r="R338" s="26">
        <v>57330</v>
      </c>
      <c r="S338" s="91">
        <f t="shared" si="28"/>
        <v>0</v>
      </c>
      <c r="T338" s="91">
        <f t="shared" si="29"/>
        <v>0</v>
      </c>
      <c r="U338" s="27" t="s">
        <v>56</v>
      </c>
      <c r="V338" s="19" t="s">
        <v>51</v>
      </c>
      <c r="W338" s="20">
        <v>45910</v>
      </c>
      <c r="X338" s="22" t="s">
        <v>251</v>
      </c>
      <c r="Y338" s="19" t="s">
        <v>52</v>
      </c>
      <c r="Z338" s="19" t="s">
        <v>52</v>
      </c>
      <c r="AA338" s="19" t="s">
        <v>52</v>
      </c>
      <c r="AB338" s="28"/>
    </row>
    <row r="339" spans="1:28" s="29" customFormat="1" ht="15" customHeight="1" x14ac:dyDescent="0.25">
      <c r="A339" s="14">
        <v>15</v>
      </c>
      <c r="B339" s="15">
        <v>45919</v>
      </c>
      <c r="C339" s="15">
        <f t="shared" si="25"/>
        <v>45927</v>
      </c>
      <c r="D339" s="14">
        <v>13418</v>
      </c>
      <c r="E339" s="16" t="s">
        <v>228</v>
      </c>
      <c r="F339" s="17" t="s">
        <v>229</v>
      </c>
      <c r="G339" s="17" t="s">
        <v>132</v>
      </c>
      <c r="H339" s="18" t="s">
        <v>54</v>
      </c>
      <c r="I339" s="19" t="s">
        <v>135</v>
      </c>
      <c r="J339" s="20">
        <v>45884</v>
      </c>
      <c r="K339" s="20">
        <v>45932</v>
      </c>
      <c r="L339" s="21">
        <v>115000</v>
      </c>
      <c r="M339" s="22">
        <f t="shared" si="26"/>
        <v>130110</v>
      </c>
      <c r="N339" s="23">
        <v>130110</v>
      </c>
      <c r="O339" s="23">
        <v>0</v>
      </c>
      <c r="P339" s="24">
        <f t="shared" si="27"/>
        <v>-15110</v>
      </c>
      <c r="Q339" s="25">
        <v>0</v>
      </c>
      <c r="R339" s="26">
        <v>57330</v>
      </c>
      <c r="S339" s="91">
        <f t="shared" si="28"/>
        <v>0</v>
      </c>
      <c r="T339" s="91">
        <f t="shared" si="29"/>
        <v>0</v>
      </c>
      <c r="U339" s="27" t="s">
        <v>56</v>
      </c>
      <c r="V339" s="19" t="s">
        <v>51</v>
      </c>
      <c r="W339" s="20">
        <v>45910</v>
      </c>
      <c r="X339" s="22" t="s">
        <v>251</v>
      </c>
      <c r="Y339" s="19" t="s">
        <v>52</v>
      </c>
      <c r="Z339" s="19" t="s">
        <v>52</v>
      </c>
      <c r="AA339" s="19" t="s">
        <v>52</v>
      </c>
      <c r="AB339" s="28"/>
    </row>
    <row r="340" spans="1:28" s="29" customFormat="1" ht="15" customHeight="1" x14ac:dyDescent="0.25">
      <c r="A340" s="14">
        <v>1</v>
      </c>
      <c r="B340" s="15">
        <v>45927</v>
      </c>
      <c r="C340" s="15">
        <f t="shared" si="25"/>
        <v>45935</v>
      </c>
      <c r="D340" s="14">
        <v>13354</v>
      </c>
      <c r="E340" s="16" t="s">
        <v>750</v>
      </c>
      <c r="F340" s="17" t="s">
        <v>751</v>
      </c>
      <c r="G340" s="17" t="s">
        <v>47</v>
      </c>
      <c r="H340" s="18" t="s">
        <v>62</v>
      </c>
      <c r="I340" s="19" t="s">
        <v>63</v>
      </c>
      <c r="J340" s="20">
        <v>45869</v>
      </c>
      <c r="K340" s="20">
        <v>45911</v>
      </c>
      <c r="L340" s="21">
        <v>2000000</v>
      </c>
      <c r="M340" s="22">
        <f t="shared" si="26"/>
        <v>2258000</v>
      </c>
      <c r="N340" s="23">
        <v>2258000</v>
      </c>
      <c r="O340" s="23">
        <v>0</v>
      </c>
      <c r="P340" s="24">
        <f t="shared" si="27"/>
        <v>-258000</v>
      </c>
      <c r="Q340" s="25">
        <v>0</v>
      </c>
      <c r="R340" s="26">
        <v>80000</v>
      </c>
      <c r="S340" s="91">
        <f t="shared" si="28"/>
        <v>0</v>
      </c>
      <c r="T340" s="91">
        <f t="shared" si="29"/>
        <v>0</v>
      </c>
      <c r="U340" s="27" t="s">
        <v>50</v>
      </c>
      <c r="V340" s="19" t="s">
        <v>51</v>
      </c>
      <c r="W340" s="20">
        <v>45903</v>
      </c>
      <c r="X340" s="22" t="s">
        <v>251</v>
      </c>
      <c r="Y340" s="19" t="s">
        <v>52</v>
      </c>
      <c r="Z340" s="19" t="s">
        <v>52</v>
      </c>
      <c r="AA340" s="19" t="s">
        <v>52</v>
      </c>
      <c r="AB340" s="42"/>
    </row>
    <row r="341" spans="1:28" s="29" customFormat="1" ht="15" customHeight="1" x14ac:dyDescent="0.25">
      <c r="A341" s="14">
        <v>2</v>
      </c>
      <c r="B341" s="15">
        <v>45927</v>
      </c>
      <c r="C341" s="15">
        <f t="shared" si="25"/>
        <v>45935</v>
      </c>
      <c r="D341" s="14">
        <v>13534</v>
      </c>
      <c r="E341" s="16" t="s">
        <v>797</v>
      </c>
      <c r="F341" s="17" t="s">
        <v>798</v>
      </c>
      <c r="G341" s="17" t="s">
        <v>47</v>
      </c>
      <c r="H341" s="18" t="s">
        <v>57</v>
      </c>
      <c r="I341" s="19" t="s">
        <v>94</v>
      </c>
      <c r="J341" s="20">
        <v>45905</v>
      </c>
      <c r="K341" s="20">
        <v>45918</v>
      </c>
      <c r="L341" s="21">
        <v>50000</v>
      </c>
      <c r="M341" s="22">
        <f t="shared" si="26"/>
        <v>59000</v>
      </c>
      <c r="N341" s="23">
        <v>59000</v>
      </c>
      <c r="O341" s="23">
        <v>0</v>
      </c>
      <c r="P341" s="24">
        <f t="shared" si="27"/>
        <v>-9000</v>
      </c>
      <c r="Q341" s="25">
        <v>0</v>
      </c>
      <c r="R341" s="26">
        <v>50000</v>
      </c>
      <c r="S341" s="91">
        <f t="shared" si="28"/>
        <v>0</v>
      </c>
      <c r="T341" s="91">
        <f t="shared" si="29"/>
        <v>0</v>
      </c>
      <c r="U341" s="27" t="s">
        <v>50</v>
      </c>
      <c r="V341" s="19" t="s">
        <v>51</v>
      </c>
      <c r="W341" s="20">
        <v>45925</v>
      </c>
      <c r="X341" s="22" t="s">
        <v>251</v>
      </c>
      <c r="Y341" s="19" t="s">
        <v>52</v>
      </c>
      <c r="Z341" s="19" t="s">
        <v>52</v>
      </c>
      <c r="AA341" s="19" t="s">
        <v>52</v>
      </c>
      <c r="AB341" s="42"/>
    </row>
    <row r="342" spans="1:28" s="29" customFormat="1" ht="15" customHeight="1" x14ac:dyDescent="0.25">
      <c r="A342" s="14">
        <v>3</v>
      </c>
      <c r="B342" s="15">
        <v>45927</v>
      </c>
      <c r="C342" s="15">
        <f t="shared" si="25"/>
        <v>45935</v>
      </c>
      <c r="D342" s="14">
        <v>13501</v>
      </c>
      <c r="E342" s="16" t="s">
        <v>400</v>
      </c>
      <c r="F342" s="40" t="s">
        <v>401</v>
      </c>
      <c r="G342" s="17" t="s">
        <v>47</v>
      </c>
      <c r="H342" s="18" t="s">
        <v>542</v>
      </c>
      <c r="I342" s="19" t="s">
        <v>49</v>
      </c>
      <c r="J342" s="20">
        <v>45897</v>
      </c>
      <c r="K342" s="20">
        <v>45923</v>
      </c>
      <c r="L342" s="21">
        <v>150000</v>
      </c>
      <c r="M342" s="22">
        <f t="shared" si="26"/>
        <v>206000</v>
      </c>
      <c r="N342" s="23">
        <v>206000</v>
      </c>
      <c r="O342" s="23">
        <v>0</v>
      </c>
      <c r="P342" s="24">
        <f t="shared" si="27"/>
        <v>-56000</v>
      </c>
      <c r="Q342" s="25">
        <v>0</v>
      </c>
      <c r="R342" s="26">
        <v>50000</v>
      </c>
      <c r="S342" s="91">
        <f t="shared" si="28"/>
        <v>0</v>
      </c>
      <c r="T342" s="91">
        <f t="shared" si="29"/>
        <v>0</v>
      </c>
      <c r="U342" s="27" t="s">
        <v>50</v>
      </c>
      <c r="V342" s="19" t="s">
        <v>51</v>
      </c>
      <c r="W342" s="20">
        <v>45920</v>
      </c>
      <c r="X342" s="22" t="s">
        <v>251</v>
      </c>
      <c r="Y342" s="19" t="s">
        <v>52</v>
      </c>
      <c r="Z342" s="19" t="s">
        <v>52</v>
      </c>
      <c r="AA342" s="19" t="s">
        <v>52</v>
      </c>
      <c r="AB342" s="28"/>
    </row>
    <row r="343" spans="1:28" s="29" customFormat="1" ht="15" customHeight="1" x14ac:dyDescent="0.25">
      <c r="A343" s="14">
        <v>4</v>
      </c>
      <c r="B343" s="15">
        <v>45930</v>
      </c>
      <c r="C343" s="15">
        <f t="shared" si="25"/>
        <v>45938</v>
      </c>
      <c r="D343" s="14">
        <v>13480</v>
      </c>
      <c r="E343" s="16" t="s">
        <v>208</v>
      </c>
      <c r="F343" s="40" t="s">
        <v>209</v>
      </c>
      <c r="G343" s="17" t="s">
        <v>47</v>
      </c>
      <c r="H343" s="18" t="s">
        <v>542</v>
      </c>
      <c r="I343" s="19" t="s">
        <v>49</v>
      </c>
      <c r="J343" s="20">
        <v>45895</v>
      </c>
      <c r="K343" s="20">
        <v>45931</v>
      </c>
      <c r="L343" s="21">
        <v>175000</v>
      </c>
      <c r="M343" s="22">
        <f t="shared" si="26"/>
        <v>216000</v>
      </c>
      <c r="N343" s="23">
        <v>216000</v>
      </c>
      <c r="O343" s="23">
        <v>0</v>
      </c>
      <c r="P343" s="24">
        <f t="shared" si="27"/>
        <v>-41000</v>
      </c>
      <c r="Q343" s="25">
        <v>0</v>
      </c>
      <c r="R343" s="26">
        <v>50000</v>
      </c>
      <c r="S343" s="91">
        <f t="shared" si="28"/>
        <v>0</v>
      </c>
      <c r="T343" s="91">
        <f t="shared" si="29"/>
        <v>0</v>
      </c>
      <c r="U343" s="27" t="s">
        <v>50</v>
      </c>
      <c r="V343" s="19" t="s">
        <v>51</v>
      </c>
      <c r="W343" s="20">
        <v>45915</v>
      </c>
      <c r="X343" s="22" t="s">
        <v>251</v>
      </c>
      <c r="Y343" s="19" t="s">
        <v>52</v>
      </c>
      <c r="Z343" s="19" t="s">
        <v>52</v>
      </c>
      <c r="AA343" s="19" t="s">
        <v>52</v>
      </c>
      <c r="AB343" s="28"/>
    </row>
    <row r="344" spans="1:28" s="29" customFormat="1" ht="15" customHeight="1" x14ac:dyDescent="0.25">
      <c r="A344" s="14">
        <v>6</v>
      </c>
      <c r="B344" s="15">
        <v>45931</v>
      </c>
      <c r="C344" s="15">
        <f t="shared" si="25"/>
        <v>45939</v>
      </c>
      <c r="D344" s="14">
        <v>13301</v>
      </c>
      <c r="E344" s="16" t="s">
        <v>732</v>
      </c>
      <c r="F344" s="17" t="s">
        <v>242</v>
      </c>
      <c r="G344" s="17" t="s">
        <v>47</v>
      </c>
      <c r="H344" s="18" t="s">
        <v>113</v>
      </c>
      <c r="I344" s="19" t="s">
        <v>118</v>
      </c>
      <c r="J344" s="20">
        <v>45895</v>
      </c>
      <c r="K344" s="20">
        <v>45933</v>
      </c>
      <c r="L344" s="21">
        <v>500000</v>
      </c>
      <c r="M344" s="22">
        <f t="shared" si="26"/>
        <v>494000</v>
      </c>
      <c r="N344" s="23">
        <v>494000</v>
      </c>
      <c r="O344" s="23">
        <v>0</v>
      </c>
      <c r="P344" s="24">
        <f t="shared" si="27"/>
        <v>6000</v>
      </c>
      <c r="Q344" s="25">
        <v>0</v>
      </c>
      <c r="R344" s="26">
        <v>50000</v>
      </c>
      <c r="S344" s="91">
        <f t="shared" si="28"/>
        <v>0.12</v>
      </c>
      <c r="T344" s="91">
        <f t="shared" si="29"/>
        <v>0</v>
      </c>
      <c r="U344" s="27" t="s">
        <v>50</v>
      </c>
      <c r="V344" s="19" t="s">
        <v>51</v>
      </c>
      <c r="W344" s="20">
        <v>45915</v>
      </c>
      <c r="X344" s="22" t="s">
        <v>251</v>
      </c>
      <c r="Y344" s="19" t="s">
        <v>52</v>
      </c>
      <c r="Z344" s="19" t="s">
        <v>52</v>
      </c>
      <c r="AA344" s="19" t="s">
        <v>52</v>
      </c>
      <c r="AB344" s="42"/>
    </row>
    <row r="345" spans="1:28" s="29" customFormat="1" ht="15" customHeight="1" x14ac:dyDescent="0.25">
      <c r="A345" s="14">
        <v>4</v>
      </c>
      <c r="B345" s="15">
        <v>45927</v>
      </c>
      <c r="C345" s="15">
        <f t="shared" si="25"/>
        <v>45935</v>
      </c>
      <c r="D345" s="14">
        <v>13462</v>
      </c>
      <c r="E345" s="16" t="s">
        <v>806</v>
      </c>
      <c r="F345" s="40" t="s">
        <v>790</v>
      </c>
      <c r="G345" s="17" t="s">
        <v>75</v>
      </c>
      <c r="H345" s="18" t="s">
        <v>542</v>
      </c>
      <c r="I345" s="19" t="s">
        <v>49</v>
      </c>
      <c r="J345" s="20">
        <v>45890</v>
      </c>
      <c r="K345" s="20">
        <v>45929</v>
      </c>
      <c r="L345" s="21">
        <v>75000</v>
      </c>
      <c r="M345" s="22">
        <f t="shared" si="26"/>
        <v>84000</v>
      </c>
      <c r="N345" s="23">
        <v>84000</v>
      </c>
      <c r="O345" s="23">
        <v>0</v>
      </c>
      <c r="P345" s="24">
        <f t="shared" si="27"/>
        <v>-9000</v>
      </c>
      <c r="Q345" s="25">
        <v>0</v>
      </c>
      <c r="R345" s="26">
        <v>150000</v>
      </c>
      <c r="S345" s="91">
        <f t="shared" si="28"/>
        <v>0</v>
      </c>
      <c r="T345" s="91">
        <f t="shared" si="29"/>
        <v>0</v>
      </c>
      <c r="U345" s="27" t="s">
        <v>50</v>
      </c>
      <c r="V345" s="19" t="s">
        <v>51</v>
      </c>
      <c r="W345" s="20">
        <v>45926</v>
      </c>
      <c r="X345" s="22" t="s">
        <v>251</v>
      </c>
      <c r="Y345" s="19" t="s">
        <v>52</v>
      </c>
      <c r="Z345" s="19" t="s">
        <v>52</v>
      </c>
      <c r="AA345" s="19" t="s">
        <v>52</v>
      </c>
      <c r="AB345" s="28"/>
    </row>
    <row r="346" spans="1:28" s="29" customFormat="1" ht="15" customHeight="1" x14ac:dyDescent="0.25">
      <c r="A346" s="14">
        <v>6</v>
      </c>
      <c r="B346" s="15">
        <v>45930</v>
      </c>
      <c r="C346" s="15">
        <f t="shared" si="25"/>
        <v>45938</v>
      </c>
      <c r="D346" s="14">
        <v>13538</v>
      </c>
      <c r="E346" s="16" t="s">
        <v>216</v>
      </c>
      <c r="F346" s="40" t="s">
        <v>217</v>
      </c>
      <c r="G346" s="17" t="s">
        <v>75</v>
      </c>
      <c r="H346" s="18" t="s">
        <v>542</v>
      </c>
      <c r="I346" s="19" t="s">
        <v>104</v>
      </c>
      <c r="J346" s="20">
        <v>45904</v>
      </c>
      <c r="K346" s="20">
        <v>45938</v>
      </c>
      <c r="L346" s="21">
        <v>400000</v>
      </c>
      <c r="M346" s="22">
        <f t="shared" si="26"/>
        <v>486000</v>
      </c>
      <c r="N346" s="23">
        <v>486000</v>
      </c>
      <c r="O346" s="23">
        <v>0</v>
      </c>
      <c r="P346" s="24">
        <f t="shared" si="27"/>
        <v>-86000</v>
      </c>
      <c r="Q346" s="25">
        <v>0</v>
      </c>
      <c r="R346" s="26">
        <v>150000</v>
      </c>
      <c r="S346" s="91">
        <f t="shared" si="28"/>
        <v>0</v>
      </c>
      <c r="T346" s="91">
        <f t="shared" si="29"/>
        <v>0</v>
      </c>
      <c r="U346" s="27" t="s">
        <v>50</v>
      </c>
      <c r="V346" s="19" t="s">
        <v>51</v>
      </c>
      <c r="W346" s="20">
        <v>45918</v>
      </c>
      <c r="X346" s="22" t="s">
        <v>251</v>
      </c>
      <c r="Y346" s="19" t="s">
        <v>52</v>
      </c>
      <c r="Z346" s="19" t="s">
        <v>52</v>
      </c>
      <c r="AA346" s="19" t="s">
        <v>52</v>
      </c>
      <c r="AB346" s="28"/>
    </row>
    <row r="347" spans="1:28" s="29" customFormat="1" ht="15" customHeight="1" x14ac:dyDescent="0.25">
      <c r="A347" s="14">
        <v>10</v>
      </c>
      <c r="B347" s="15">
        <v>45930</v>
      </c>
      <c r="C347" s="15">
        <f t="shared" si="25"/>
        <v>45938</v>
      </c>
      <c r="D347" s="14">
        <v>13595</v>
      </c>
      <c r="E347" s="16" t="s">
        <v>808</v>
      </c>
      <c r="F347" s="40" t="s">
        <v>657</v>
      </c>
      <c r="G347" s="17" t="s">
        <v>75</v>
      </c>
      <c r="H347" s="18" t="s">
        <v>57</v>
      </c>
      <c r="I347" s="19" t="s">
        <v>94</v>
      </c>
      <c r="J347" s="20">
        <v>45911</v>
      </c>
      <c r="K347" s="20">
        <v>45952</v>
      </c>
      <c r="L347" s="21">
        <v>750000</v>
      </c>
      <c r="M347" s="22">
        <f t="shared" si="26"/>
        <v>862000</v>
      </c>
      <c r="N347" s="23">
        <v>862000</v>
      </c>
      <c r="O347" s="23">
        <v>0</v>
      </c>
      <c r="P347" s="24">
        <f t="shared" si="27"/>
        <v>-112000</v>
      </c>
      <c r="Q347" s="25">
        <v>0</v>
      </c>
      <c r="R347" s="26">
        <v>100000</v>
      </c>
      <c r="S347" s="91">
        <f t="shared" si="28"/>
        <v>0</v>
      </c>
      <c r="T347" s="91">
        <f t="shared" si="29"/>
        <v>0</v>
      </c>
      <c r="U347" s="27" t="s">
        <v>50</v>
      </c>
      <c r="V347" s="19" t="s">
        <v>51</v>
      </c>
      <c r="W347" s="20">
        <v>45910</v>
      </c>
      <c r="X347" s="22" t="s">
        <v>251</v>
      </c>
      <c r="Y347" s="19" t="s">
        <v>52</v>
      </c>
      <c r="Z347" s="19" t="s">
        <v>52</v>
      </c>
      <c r="AA347" s="19" t="s">
        <v>52</v>
      </c>
      <c r="AB347" s="28"/>
    </row>
    <row r="348" spans="1:28" s="29" customFormat="1" ht="15" customHeight="1" x14ac:dyDescent="0.25">
      <c r="A348" s="14">
        <v>3</v>
      </c>
      <c r="B348" s="15">
        <v>45930</v>
      </c>
      <c r="C348" s="15">
        <f t="shared" si="25"/>
        <v>45938</v>
      </c>
      <c r="D348" s="14">
        <v>13483</v>
      </c>
      <c r="E348" s="16" t="s">
        <v>116</v>
      </c>
      <c r="F348" s="17" t="s">
        <v>117</v>
      </c>
      <c r="G348" s="17" t="s">
        <v>102</v>
      </c>
      <c r="H348" s="18" t="s">
        <v>771</v>
      </c>
      <c r="I348" s="19" t="s">
        <v>118</v>
      </c>
      <c r="J348" s="20">
        <v>45895</v>
      </c>
      <c r="K348" s="20">
        <v>45923</v>
      </c>
      <c r="L348" s="21">
        <v>300000</v>
      </c>
      <c r="M348" s="22">
        <f t="shared" si="26"/>
        <v>350000</v>
      </c>
      <c r="N348" s="23">
        <v>350000</v>
      </c>
      <c r="O348" s="23">
        <v>0</v>
      </c>
      <c r="P348" s="24">
        <f t="shared" si="27"/>
        <v>-50000</v>
      </c>
      <c r="Q348" s="25">
        <v>0</v>
      </c>
      <c r="R348" s="26">
        <v>100000</v>
      </c>
      <c r="S348" s="91">
        <f t="shared" si="28"/>
        <v>0</v>
      </c>
      <c r="T348" s="91">
        <f t="shared" si="29"/>
        <v>0</v>
      </c>
      <c r="U348" s="27" t="s">
        <v>50</v>
      </c>
      <c r="V348" s="19" t="s">
        <v>51</v>
      </c>
      <c r="W348" s="20">
        <v>45915</v>
      </c>
      <c r="X348" s="22" t="s">
        <v>251</v>
      </c>
      <c r="Y348" s="19" t="s">
        <v>52</v>
      </c>
      <c r="Z348" s="19" t="s">
        <v>52</v>
      </c>
      <c r="AA348" s="19" t="s">
        <v>52</v>
      </c>
      <c r="AB348" s="28"/>
    </row>
    <row r="349" spans="1:28" s="29" customFormat="1" ht="15" customHeight="1" x14ac:dyDescent="0.25">
      <c r="A349" s="14">
        <v>4</v>
      </c>
      <c r="B349" s="15">
        <v>45924</v>
      </c>
      <c r="C349" s="15">
        <f t="shared" si="25"/>
        <v>45932</v>
      </c>
      <c r="D349" s="14">
        <v>13441</v>
      </c>
      <c r="E349" s="16" t="s">
        <v>287</v>
      </c>
      <c r="F349" s="17" t="s">
        <v>288</v>
      </c>
      <c r="G349" s="17" t="s">
        <v>102</v>
      </c>
      <c r="H349" s="18" t="s">
        <v>784</v>
      </c>
      <c r="I349" s="19" t="s">
        <v>63</v>
      </c>
      <c r="J349" s="20">
        <v>45887</v>
      </c>
      <c r="K349" s="20">
        <v>45930</v>
      </c>
      <c r="L349" s="21">
        <v>1000000</v>
      </c>
      <c r="M349" s="22">
        <f t="shared" si="26"/>
        <v>1124000</v>
      </c>
      <c r="N349" s="23">
        <v>1124000</v>
      </c>
      <c r="O349" s="23">
        <v>0</v>
      </c>
      <c r="P349" s="24">
        <f t="shared" si="27"/>
        <v>-124000</v>
      </c>
      <c r="Q349" s="25">
        <v>0</v>
      </c>
      <c r="R349" s="26">
        <v>84000</v>
      </c>
      <c r="S349" s="91">
        <f t="shared" si="28"/>
        <v>0</v>
      </c>
      <c r="T349" s="91">
        <f t="shared" si="29"/>
        <v>0</v>
      </c>
      <c r="U349" s="27" t="s">
        <v>50</v>
      </c>
      <c r="V349" s="19" t="s">
        <v>51</v>
      </c>
      <c r="W349" s="20">
        <v>45910</v>
      </c>
      <c r="X349" s="22" t="s">
        <v>251</v>
      </c>
      <c r="Y349" s="19" t="s">
        <v>52</v>
      </c>
      <c r="Z349" s="19" t="s">
        <v>52</v>
      </c>
      <c r="AA349" s="19" t="s">
        <v>52</v>
      </c>
      <c r="AB349" s="28"/>
    </row>
    <row r="350" spans="1:28" s="29" customFormat="1" ht="15" customHeight="1" x14ac:dyDescent="0.25">
      <c r="A350" s="14">
        <v>5</v>
      </c>
      <c r="B350" s="15">
        <v>45924</v>
      </c>
      <c r="C350" s="15">
        <f t="shared" si="25"/>
        <v>45932</v>
      </c>
      <c r="D350" s="14">
        <v>13528</v>
      </c>
      <c r="E350" s="16" t="s">
        <v>119</v>
      </c>
      <c r="F350" s="17" t="s">
        <v>120</v>
      </c>
      <c r="G350" s="17" t="s">
        <v>102</v>
      </c>
      <c r="H350" s="18" t="s">
        <v>57</v>
      </c>
      <c r="I350" s="19" t="s">
        <v>81</v>
      </c>
      <c r="J350" s="20">
        <v>45904</v>
      </c>
      <c r="K350" s="20">
        <v>45931</v>
      </c>
      <c r="L350" s="21">
        <v>100000</v>
      </c>
      <c r="M350" s="22">
        <f t="shared" si="26"/>
        <v>136000</v>
      </c>
      <c r="N350" s="23">
        <v>136000</v>
      </c>
      <c r="O350" s="23">
        <v>0</v>
      </c>
      <c r="P350" s="24">
        <f t="shared" si="27"/>
        <v>-36000</v>
      </c>
      <c r="Q350" s="25">
        <v>0</v>
      </c>
      <c r="R350" s="26">
        <v>84000</v>
      </c>
      <c r="S350" s="91">
        <f t="shared" si="28"/>
        <v>0</v>
      </c>
      <c r="T350" s="91">
        <f t="shared" si="29"/>
        <v>0</v>
      </c>
      <c r="U350" s="27" t="s">
        <v>193</v>
      </c>
      <c r="V350" s="19" t="s">
        <v>51</v>
      </c>
      <c r="W350" s="20">
        <v>45918</v>
      </c>
      <c r="X350" s="22" t="s">
        <v>251</v>
      </c>
      <c r="Y350" s="19" t="s">
        <v>52</v>
      </c>
      <c r="Z350" s="19" t="s">
        <v>52</v>
      </c>
      <c r="AA350" s="19" t="s">
        <v>52</v>
      </c>
      <c r="AB350" s="28"/>
    </row>
    <row r="351" spans="1:28" s="29" customFormat="1" ht="15" customHeight="1" x14ac:dyDescent="0.25">
      <c r="A351" s="14">
        <v>4</v>
      </c>
      <c r="B351" s="15">
        <v>45931</v>
      </c>
      <c r="C351" s="15">
        <f t="shared" si="25"/>
        <v>45939</v>
      </c>
      <c r="D351" s="14">
        <v>13291</v>
      </c>
      <c r="E351" s="16" t="s">
        <v>148</v>
      </c>
      <c r="F351" s="17" t="s">
        <v>149</v>
      </c>
      <c r="G351" s="17" t="s">
        <v>132</v>
      </c>
      <c r="H351" s="18" t="s">
        <v>54</v>
      </c>
      <c r="I351" s="19" t="s">
        <v>135</v>
      </c>
      <c r="J351" s="20">
        <v>45859</v>
      </c>
      <c r="K351" s="20">
        <v>45904</v>
      </c>
      <c r="L351" s="21">
        <v>56000</v>
      </c>
      <c r="M351" s="22">
        <f t="shared" si="26"/>
        <v>73260</v>
      </c>
      <c r="N351" s="23">
        <v>73260</v>
      </c>
      <c r="O351" s="23">
        <v>0</v>
      </c>
      <c r="P351" s="24">
        <f t="shared" si="27"/>
        <v>-17260</v>
      </c>
      <c r="Q351" s="25">
        <v>0</v>
      </c>
      <c r="R351" s="26">
        <v>57330</v>
      </c>
      <c r="S351" s="91">
        <f t="shared" si="28"/>
        <v>0</v>
      </c>
      <c r="T351" s="91">
        <f t="shared" si="29"/>
        <v>0</v>
      </c>
      <c r="U351" s="27" t="s">
        <v>56</v>
      </c>
      <c r="V351" s="19" t="s">
        <v>51</v>
      </c>
      <c r="W351" s="20">
        <v>45925</v>
      </c>
      <c r="X351" s="22" t="s">
        <v>251</v>
      </c>
      <c r="Y351" s="19" t="s">
        <v>52</v>
      </c>
      <c r="Z351" s="19" t="s">
        <v>52</v>
      </c>
      <c r="AA351" s="19" t="s">
        <v>52</v>
      </c>
      <c r="AB351" s="28"/>
    </row>
    <row r="352" spans="1:28" s="29" customFormat="1" ht="15" customHeight="1" x14ac:dyDescent="0.25">
      <c r="A352" s="14">
        <v>5</v>
      </c>
      <c r="B352" s="15">
        <v>45931</v>
      </c>
      <c r="C352" s="15">
        <f t="shared" si="25"/>
        <v>45939</v>
      </c>
      <c r="D352" s="14">
        <v>13290</v>
      </c>
      <c r="E352" s="16" t="s">
        <v>158</v>
      </c>
      <c r="F352" s="17" t="s">
        <v>159</v>
      </c>
      <c r="G352" s="17" t="s">
        <v>132</v>
      </c>
      <c r="H352" s="18" t="s">
        <v>54</v>
      </c>
      <c r="I352" s="19" t="s">
        <v>135</v>
      </c>
      <c r="J352" s="20">
        <v>45859</v>
      </c>
      <c r="K352" s="20">
        <v>45904</v>
      </c>
      <c r="L352" s="21">
        <v>290000</v>
      </c>
      <c r="M352" s="22">
        <f t="shared" si="26"/>
        <v>285710</v>
      </c>
      <c r="N352" s="23">
        <v>285710</v>
      </c>
      <c r="O352" s="23">
        <v>0</v>
      </c>
      <c r="P352" s="24">
        <f t="shared" si="27"/>
        <v>4290</v>
      </c>
      <c r="Q352" s="25">
        <v>0</v>
      </c>
      <c r="R352" s="26">
        <v>57330</v>
      </c>
      <c r="S352" s="91">
        <f t="shared" si="28"/>
        <v>7.4829931972789115E-2</v>
      </c>
      <c r="T352" s="91">
        <f t="shared" si="29"/>
        <v>0</v>
      </c>
      <c r="U352" s="27" t="s">
        <v>56</v>
      </c>
      <c r="V352" s="19" t="s">
        <v>51</v>
      </c>
      <c r="W352" s="20">
        <v>45925</v>
      </c>
      <c r="X352" s="22" t="s">
        <v>251</v>
      </c>
      <c r="Y352" s="19" t="s">
        <v>52</v>
      </c>
      <c r="Z352" s="19" t="s">
        <v>52</v>
      </c>
      <c r="AA352" s="19" t="s">
        <v>52</v>
      </c>
      <c r="AB352" s="28"/>
    </row>
    <row r="353" spans="1:28" s="29" customFormat="1" ht="15" customHeight="1" x14ac:dyDescent="0.25">
      <c r="A353" s="14">
        <v>6</v>
      </c>
      <c r="B353" s="15">
        <v>45929</v>
      </c>
      <c r="C353" s="15">
        <f t="shared" si="25"/>
        <v>45937</v>
      </c>
      <c r="D353" s="14">
        <v>13356</v>
      </c>
      <c r="E353" s="16" t="s">
        <v>355</v>
      </c>
      <c r="F353" s="17" t="s">
        <v>356</v>
      </c>
      <c r="G353" s="17" t="s">
        <v>132</v>
      </c>
      <c r="H353" s="18" t="s">
        <v>78</v>
      </c>
      <c r="I353" s="19" t="s">
        <v>79</v>
      </c>
      <c r="J353" s="20">
        <v>45870</v>
      </c>
      <c r="K353" s="20">
        <v>45904</v>
      </c>
      <c r="L353" s="21">
        <v>120000</v>
      </c>
      <c r="M353" s="22">
        <f t="shared" si="26"/>
        <v>129130</v>
      </c>
      <c r="N353" s="23">
        <v>129130</v>
      </c>
      <c r="O353" s="23">
        <v>0</v>
      </c>
      <c r="P353" s="24">
        <f t="shared" si="27"/>
        <v>-9130</v>
      </c>
      <c r="Q353" s="25">
        <v>0</v>
      </c>
      <c r="R353" s="26">
        <v>232443</v>
      </c>
      <c r="S353" s="91">
        <f t="shared" si="28"/>
        <v>0</v>
      </c>
      <c r="T353" s="91">
        <f t="shared" si="29"/>
        <v>0</v>
      </c>
      <c r="U353" s="27" t="s">
        <v>56</v>
      </c>
      <c r="V353" s="19" t="s">
        <v>51</v>
      </c>
      <c r="W353" s="20">
        <v>45889</v>
      </c>
      <c r="X353" s="22" t="s">
        <v>251</v>
      </c>
      <c r="Y353" s="19" t="s">
        <v>52</v>
      </c>
      <c r="Z353" s="19" t="s">
        <v>52</v>
      </c>
      <c r="AA353" s="19" t="s">
        <v>52</v>
      </c>
      <c r="AB353" s="28"/>
    </row>
    <row r="354" spans="1:28" s="29" customFormat="1" ht="15" customHeight="1" x14ac:dyDescent="0.25">
      <c r="A354" s="14">
        <v>11</v>
      </c>
      <c r="B354" s="15">
        <v>45931</v>
      </c>
      <c r="C354" s="15">
        <f t="shared" si="25"/>
        <v>45939</v>
      </c>
      <c r="D354" s="14">
        <v>13414</v>
      </c>
      <c r="E354" s="16" t="s">
        <v>156</v>
      </c>
      <c r="F354" s="17" t="s">
        <v>157</v>
      </c>
      <c r="G354" s="17" t="s">
        <v>132</v>
      </c>
      <c r="H354" s="18" t="s">
        <v>54</v>
      </c>
      <c r="I354" s="19" t="s">
        <v>135</v>
      </c>
      <c r="J354" s="20">
        <v>45884</v>
      </c>
      <c r="K354" s="20">
        <v>45932</v>
      </c>
      <c r="L354" s="21">
        <v>400000</v>
      </c>
      <c r="M354" s="22">
        <f t="shared" si="26"/>
        <v>387440</v>
      </c>
      <c r="N354" s="23">
        <v>387440</v>
      </c>
      <c r="O354" s="23">
        <v>0</v>
      </c>
      <c r="P354" s="24">
        <f t="shared" si="27"/>
        <v>12560</v>
      </c>
      <c r="Q354" s="25">
        <v>0</v>
      </c>
      <c r="R354" s="26">
        <v>57330</v>
      </c>
      <c r="S354" s="91">
        <f t="shared" si="28"/>
        <v>0.21908250479679051</v>
      </c>
      <c r="T354" s="91">
        <f t="shared" si="29"/>
        <v>0</v>
      </c>
      <c r="U354" s="27" t="s">
        <v>56</v>
      </c>
      <c r="V354" s="19" t="s">
        <v>51</v>
      </c>
      <c r="W354" s="20">
        <v>45925</v>
      </c>
      <c r="X354" s="22" t="s">
        <v>251</v>
      </c>
      <c r="Y354" s="19" t="s">
        <v>52</v>
      </c>
      <c r="Z354" s="19" t="s">
        <v>52</v>
      </c>
      <c r="AA354" s="19" t="s">
        <v>52</v>
      </c>
      <c r="AB354" s="28"/>
    </row>
    <row r="355" spans="1:28" s="29" customFormat="1" ht="15" customHeight="1" x14ac:dyDescent="0.25">
      <c r="A355" s="14">
        <v>12</v>
      </c>
      <c r="B355" s="15">
        <v>45931</v>
      </c>
      <c r="C355" s="15">
        <f t="shared" si="25"/>
        <v>45939</v>
      </c>
      <c r="D355" s="14">
        <v>13417</v>
      </c>
      <c r="E355" s="16" t="s">
        <v>152</v>
      </c>
      <c r="F355" s="17" t="s">
        <v>153</v>
      </c>
      <c r="G355" s="17" t="s">
        <v>132</v>
      </c>
      <c r="H355" s="18" t="s">
        <v>54</v>
      </c>
      <c r="I355" s="19" t="s">
        <v>135</v>
      </c>
      <c r="J355" s="20">
        <v>45884</v>
      </c>
      <c r="K355" s="20">
        <v>45932</v>
      </c>
      <c r="L355" s="21">
        <v>175000</v>
      </c>
      <c r="M355" s="22">
        <f t="shared" si="26"/>
        <v>229320</v>
      </c>
      <c r="N355" s="23">
        <v>229320</v>
      </c>
      <c r="O355" s="23">
        <v>0</v>
      </c>
      <c r="P355" s="24">
        <f t="shared" si="27"/>
        <v>-54320</v>
      </c>
      <c r="Q355" s="25">
        <v>0</v>
      </c>
      <c r="R355" s="26">
        <v>57330</v>
      </c>
      <c r="S355" s="91">
        <f t="shared" si="28"/>
        <v>0</v>
      </c>
      <c r="T355" s="91">
        <f t="shared" si="29"/>
        <v>0</v>
      </c>
      <c r="U355" s="27" t="s">
        <v>56</v>
      </c>
      <c r="V355" s="19" t="s">
        <v>51</v>
      </c>
      <c r="W355" s="20">
        <v>45926</v>
      </c>
      <c r="X355" s="22" t="s">
        <v>251</v>
      </c>
      <c r="Y355" s="19" t="s">
        <v>52</v>
      </c>
      <c r="Z355" s="19" t="s">
        <v>52</v>
      </c>
      <c r="AA355" s="19" t="s">
        <v>52</v>
      </c>
      <c r="AB355" s="28"/>
    </row>
    <row r="356" spans="1:28" s="29" customFormat="1" ht="15" customHeight="1" x14ac:dyDescent="0.25">
      <c r="A356" s="14">
        <v>13</v>
      </c>
      <c r="B356" s="15">
        <v>45931</v>
      </c>
      <c r="C356" s="15">
        <f t="shared" si="25"/>
        <v>45939</v>
      </c>
      <c r="D356" s="14">
        <v>13419</v>
      </c>
      <c r="E356" s="16" t="s">
        <v>147</v>
      </c>
      <c r="F356" s="17" t="s">
        <v>260</v>
      </c>
      <c r="G356" s="17" t="s">
        <v>132</v>
      </c>
      <c r="H356" s="18" t="s">
        <v>54</v>
      </c>
      <c r="I356" s="19" t="s">
        <v>135</v>
      </c>
      <c r="J356" s="20">
        <v>45884</v>
      </c>
      <c r="K356" s="20">
        <v>45932</v>
      </c>
      <c r="L356" s="21">
        <v>80000</v>
      </c>
      <c r="M356" s="22">
        <f t="shared" si="26"/>
        <v>85100</v>
      </c>
      <c r="N356" s="23">
        <v>85100</v>
      </c>
      <c r="O356" s="23">
        <v>0</v>
      </c>
      <c r="P356" s="24">
        <f t="shared" si="27"/>
        <v>-5100</v>
      </c>
      <c r="Q356" s="25">
        <v>0</v>
      </c>
      <c r="R356" s="26">
        <v>57330</v>
      </c>
      <c r="S356" s="91">
        <f t="shared" si="28"/>
        <v>0</v>
      </c>
      <c r="T356" s="91">
        <f t="shared" si="29"/>
        <v>0</v>
      </c>
      <c r="U356" s="27" t="s">
        <v>56</v>
      </c>
      <c r="V356" s="19" t="s">
        <v>51</v>
      </c>
      <c r="W356" s="20">
        <v>45926</v>
      </c>
      <c r="X356" s="22" t="s">
        <v>251</v>
      </c>
      <c r="Y356" s="19" t="s">
        <v>52</v>
      </c>
      <c r="Z356" s="19" t="s">
        <v>52</v>
      </c>
      <c r="AA356" s="19" t="s">
        <v>52</v>
      </c>
      <c r="AB356" s="28"/>
    </row>
    <row r="357" spans="1:28" s="29" customFormat="1" ht="15" customHeight="1" x14ac:dyDescent="0.25">
      <c r="A357" s="14">
        <v>3</v>
      </c>
      <c r="B357" s="15">
        <v>45934</v>
      </c>
      <c r="C357" s="15">
        <f t="shared" si="25"/>
        <v>45942</v>
      </c>
      <c r="D357" s="14">
        <v>13549</v>
      </c>
      <c r="E357" s="16" t="s">
        <v>403</v>
      </c>
      <c r="F357" s="17" t="s">
        <v>708</v>
      </c>
      <c r="G357" s="17" t="s">
        <v>47</v>
      </c>
      <c r="H357" s="18" t="s">
        <v>801</v>
      </c>
      <c r="I357" s="19" t="s">
        <v>70</v>
      </c>
      <c r="J357" s="20">
        <v>45908</v>
      </c>
      <c r="K357" s="20">
        <v>45940</v>
      </c>
      <c r="L357" s="21">
        <v>2000000</v>
      </c>
      <c r="M357" s="22">
        <f t="shared" si="26"/>
        <v>2060000</v>
      </c>
      <c r="N357" s="23">
        <v>2060000</v>
      </c>
      <c r="O357" s="23">
        <v>0</v>
      </c>
      <c r="P357" s="24">
        <f t="shared" si="27"/>
        <v>-60000</v>
      </c>
      <c r="Q357" s="25">
        <v>0</v>
      </c>
      <c r="R357" s="26">
        <v>50000</v>
      </c>
      <c r="S357" s="91">
        <f t="shared" si="28"/>
        <v>0</v>
      </c>
      <c r="T357" s="91">
        <f t="shared" si="29"/>
        <v>0</v>
      </c>
      <c r="U357" s="27" t="s">
        <v>50</v>
      </c>
      <c r="V357" s="19" t="s">
        <v>51</v>
      </c>
      <c r="W357" s="20">
        <v>45918</v>
      </c>
      <c r="X357" s="22" t="s">
        <v>251</v>
      </c>
      <c r="Y357" s="19" t="s">
        <v>52</v>
      </c>
      <c r="Z357" s="19" t="s">
        <v>52</v>
      </c>
      <c r="AA357" s="19" t="s">
        <v>52</v>
      </c>
      <c r="AB357" s="42"/>
    </row>
    <row r="358" spans="1:28" s="29" customFormat="1" ht="15" customHeight="1" x14ac:dyDescent="0.25">
      <c r="A358" s="14">
        <v>2</v>
      </c>
      <c r="B358" s="15">
        <v>45937</v>
      </c>
      <c r="C358" s="15">
        <f t="shared" ref="C358:C421" si="30">B358+8</f>
        <v>45945</v>
      </c>
      <c r="D358" s="14">
        <v>13348</v>
      </c>
      <c r="E358" s="16" t="s">
        <v>342</v>
      </c>
      <c r="F358" s="40" t="s">
        <v>343</v>
      </c>
      <c r="G358" s="17" t="s">
        <v>75</v>
      </c>
      <c r="H358" s="18" t="s">
        <v>57</v>
      </c>
      <c r="I358" s="19" t="s">
        <v>94</v>
      </c>
      <c r="J358" s="20">
        <v>45867</v>
      </c>
      <c r="K358" s="20">
        <v>45895</v>
      </c>
      <c r="L358" s="21">
        <v>300000</v>
      </c>
      <c r="M358" s="22">
        <f t="shared" ref="M358:M421" si="31">SUM(N358:O358)</f>
        <v>303000</v>
      </c>
      <c r="N358" s="23">
        <v>303000</v>
      </c>
      <c r="O358" s="23">
        <v>0</v>
      </c>
      <c r="P358" s="24">
        <f t="shared" ref="P358:P421" si="32">L358-N358</f>
        <v>-3000</v>
      </c>
      <c r="Q358" s="25">
        <v>0</v>
      </c>
      <c r="R358" s="26">
        <v>150000</v>
      </c>
      <c r="S358" s="91">
        <f t="shared" si="28"/>
        <v>0</v>
      </c>
      <c r="T358" s="91">
        <f t="shared" si="29"/>
        <v>0</v>
      </c>
      <c r="U358" s="27" t="s">
        <v>50</v>
      </c>
      <c r="V358" s="19" t="s">
        <v>51</v>
      </c>
      <c r="W358" s="20">
        <v>45896</v>
      </c>
      <c r="X358" s="22" t="s">
        <v>251</v>
      </c>
      <c r="Y358" s="19" t="s">
        <v>52</v>
      </c>
      <c r="Z358" s="19" t="s">
        <v>52</v>
      </c>
      <c r="AA358" s="19" t="s">
        <v>52</v>
      </c>
      <c r="AB358" s="28"/>
    </row>
    <row r="359" spans="1:28" s="29" customFormat="1" ht="15" customHeight="1" x14ac:dyDescent="0.25">
      <c r="A359" s="14">
        <v>3</v>
      </c>
      <c r="B359" s="15">
        <v>45937</v>
      </c>
      <c r="C359" s="15">
        <f t="shared" si="30"/>
        <v>45945</v>
      </c>
      <c r="D359" s="14">
        <v>13468</v>
      </c>
      <c r="E359" s="16" t="s">
        <v>459</v>
      </c>
      <c r="F359" s="40" t="s">
        <v>460</v>
      </c>
      <c r="G359" s="17" t="s">
        <v>75</v>
      </c>
      <c r="H359" s="18" t="s">
        <v>78</v>
      </c>
      <c r="I359" s="19" t="s">
        <v>79</v>
      </c>
      <c r="J359" s="20">
        <v>45891</v>
      </c>
      <c r="K359" s="20">
        <v>45925</v>
      </c>
      <c r="L359" s="21">
        <v>350000</v>
      </c>
      <c r="M359" s="22">
        <f t="shared" si="31"/>
        <v>393000</v>
      </c>
      <c r="N359" s="23">
        <v>393000</v>
      </c>
      <c r="O359" s="23">
        <v>0</v>
      </c>
      <c r="P359" s="24">
        <f t="shared" si="32"/>
        <v>-43000</v>
      </c>
      <c r="Q359" s="25">
        <v>0</v>
      </c>
      <c r="R359" s="26">
        <v>96000</v>
      </c>
      <c r="S359" s="91">
        <f t="shared" si="28"/>
        <v>0</v>
      </c>
      <c r="T359" s="91">
        <f t="shared" si="29"/>
        <v>0</v>
      </c>
      <c r="U359" s="27" t="s">
        <v>56</v>
      </c>
      <c r="V359" s="19" t="s">
        <v>51</v>
      </c>
      <c r="W359" s="20">
        <v>45913</v>
      </c>
      <c r="X359" s="22" t="s">
        <v>251</v>
      </c>
      <c r="Y359" s="19" t="s">
        <v>52</v>
      </c>
      <c r="Z359" s="19" t="s">
        <v>52</v>
      </c>
      <c r="AA359" s="19" t="s">
        <v>52</v>
      </c>
      <c r="AB359" s="28"/>
    </row>
    <row r="360" spans="1:28" s="29" customFormat="1" ht="15" customHeight="1" x14ac:dyDescent="0.25">
      <c r="A360" s="14">
        <v>4</v>
      </c>
      <c r="B360" s="15">
        <v>45937</v>
      </c>
      <c r="C360" s="15">
        <f t="shared" si="30"/>
        <v>45945</v>
      </c>
      <c r="D360" s="14">
        <v>13574</v>
      </c>
      <c r="E360" s="16" t="s">
        <v>206</v>
      </c>
      <c r="F360" s="40" t="s">
        <v>207</v>
      </c>
      <c r="G360" s="17" t="s">
        <v>75</v>
      </c>
      <c r="H360" s="18" t="s">
        <v>542</v>
      </c>
      <c r="I360" s="19" t="s">
        <v>49</v>
      </c>
      <c r="J360" s="20">
        <v>45910</v>
      </c>
      <c r="K360" s="20">
        <v>45933</v>
      </c>
      <c r="L360" s="21">
        <v>600000</v>
      </c>
      <c r="M360" s="22">
        <f t="shared" si="31"/>
        <v>657000</v>
      </c>
      <c r="N360" s="23">
        <v>657000</v>
      </c>
      <c r="O360" s="23">
        <v>0</v>
      </c>
      <c r="P360" s="24">
        <f t="shared" si="32"/>
        <v>-57000</v>
      </c>
      <c r="Q360" s="25">
        <v>0</v>
      </c>
      <c r="R360" s="26">
        <v>150000</v>
      </c>
      <c r="S360" s="91">
        <f t="shared" si="28"/>
        <v>0</v>
      </c>
      <c r="T360" s="91">
        <f t="shared" si="29"/>
        <v>0</v>
      </c>
      <c r="U360" s="27" t="s">
        <v>50</v>
      </c>
      <c r="V360" s="19" t="s">
        <v>51</v>
      </c>
      <c r="W360" s="20">
        <v>45926</v>
      </c>
      <c r="X360" s="22" t="s">
        <v>251</v>
      </c>
      <c r="Y360" s="19" t="s">
        <v>52</v>
      </c>
      <c r="Z360" s="19" t="s">
        <v>52</v>
      </c>
      <c r="AA360" s="19" t="s">
        <v>52</v>
      </c>
      <c r="AB360" s="28"/>
    </row>
    <row r="361" spans="1:28" s="29" customFormat="1" ht="15" customHeight="1" x14ac:dyDescent="0.25">
      <c r="A361" s="14">
        <v>14</v>
      </c>
      <c r="B361" s="15">
        <v>45927</v>
      </c>
      <c r="C361" s="15">
        <f t="shared" si="30"/>
        <v>45935</v>
      </c>
      <c r="D361" s="14">
        <v>13435</v>
      </c>
      <c r="E361" s="16" t="s">
        <v>774</v>
      </c>
      <c r="F361" s="40" t="s">
        <v>657</v>
      </c>
      <c r="G361" s="17" t="s">
        <v>75</v>
      </c>
      <c r="H361" s="18" t="s">
        <v>771</v>
      </c>
      <c r="I361" s="19" t="s">
        <v>94</v>
      </c>
      <c r="J361" s="20">
        <v>45883</v>
      </c>
      <c r="K361" s="20">
        <v>45925</v>
      </c>
      <c r="L361" s="21">
        <v>1500000</v>
      </c>
      <c r="M361" s="22">
        <f t="shared" si="31"/>
        <v>1823000</v>
      </c>
      <c r="N361" s="23">
        <v>1823000</v>
      </c>
      <c r="O361" s="23">
        <v>0</v>
      </c>
      <c r="P361" s="24">
        <f t="shared" si="32"/>
        <v>-323000</v>
      </c>
      <c r="Q361" s="25">
        <v>0</v>
      </c>
      <c r="R361" s="26">
        <v>100000</v>
      </c>
      <c r="S361" s="91">
        <f t="shared" si="28"/>
        <v>0</v>
      </c>
      <c r="T361" s="91">
        <f t="shared" si="29"/>
        <v>0</v>
      </c>
      <c r="U361" s="27" t="s">
        <v>50</v>
      </c>
      <c r="V361" s="19" t="s">
        <v>51</v>
      </c>
      <c r="W361" s="20">
        <v>45899</v>
      </c>
      <c r="X361" s="22" t="s">
        <v>251</v>
      </c>
      <c r="Y361" s="19" t="s">
        <v>52</v>
      </c>
      <c r="Z361" s="19" t="s">
        <v>52</v>
      </c>
      <c r="AA361" s="19" t="s">
        <v>52</v>
      </c>
      <c r="AB361" s="28"/>
    </row>
    <row r="362" spans="1:28" s="29" customFormat="1" ht="15" customHeight="1" x14ac:dyDescent="0.25">
      <c r="A362" s="14">
        <v>4</v>
      </c>
      <c r="B362" s="15">
        <v>45937</v>
      </c>
      <c r="C362" s="15">
        <f t="shared" si="30"/>
        <v>45945</v>
      </c>
      <c r="D362" s="14">
        <v>13461</v>
      </c>
      <c r="E362" s="16" t="s">
        <v>297</v>
      </c>
      <c r="F362" s="17" t="s">
        <v>298</v>
      </c>
      <c r="G362" s="17" t="s">
        <v>102</v>
      </c>
      <c r="H362" s="18" t="s">
        <v>57</v>
      </c>
      <c r="I362" s="19" t="s">
        <v>94</v>
      </c>
      <c r="J362" s="20">
        <v>45891</v>
      </c>
      <c r="K362" s="20">
        <v>45938</v>
      </c>
      <c r="L362" s="21">
        <v>600000</v>
      </c>
      <c r="M362" s="22">
        <f t="shared" si="31"/>
        <v>570000</v>
      </c>
      <c r="N362" s="23">
        <v>570000</v>
      </c>
      <c r="O362" s="23">
        <v>0</v>
      </c>
      <c r="P362" s="24">
        <f t="shared" si="32"/>
        <v>30000</v>
      </c>
      <c r="Q362" s="25">
        <v>0</v>
      </c>
      <c r="R362" s="26">
        <v>30000</v>
      </c>
      <c r="S362" s="91">
        <f t="shared" si="28"/>
        <v>1</v>
      </c>
      <c r="T362" s="91">
        <f t="shared" si="29"/>
        <v>0</v>
      </c>
      <c r="U362" s="27" t="s">
        <v>50</v>
      </c>
      <c r="V362" s="19" t="s">
        <v>51</v>
      </c>
      <c r="W362" s="20">
        <v>45925</v>
      </c>
      <c r="X362" s="22" t="s">
        <v>251</v>
      </c>
      <c r="Y362" s="19" t="s">
        <v>52</v>
      </c>
      <c r="Z362" s="19" t="s">
        <v>52</v>
      </c>
      <c r="AA362" s="19" t="s">
        <v>52</v>
      </c>
      <c r="AB362" s="28"/>
    </row>
    <row r="363" spans="1:28" s="29" customFormat="1" ht="15" customHeight="1" x14ac:dyDescent="0.25">
      <c r="A363" s="14">
        <v>29</v>
      </c>
      <c r="B363" s="15">
        <v>45937</v>
      </c>
      <c r="C363" s="15">
        <f t="shared" si="30"/>
        <v>45945</v>
      </c>
      <c r="D363" s="14">
        <v>13657</v>
      </c>
      <c r="E363" s="16" t="s">
        <v>674</v>
      </c>
      <c r="F363" s="17" t="s">
        <v>675</v>
      </c>
      <c r="G363" s="17" t="s">
        <v>102</v>
      </c>
      <c r="H363" s="18" t="s">
        <v>542</v>
      </c>
      <c r="I363" s="19" t="s">
        <v>104</v>
      </c>
      <c r="J363" s="20">
        <v>45923</v>
      </c>
      <c r="K363" s="20">
        <v>45957</v>
      </c>
      <c r="L363" s="21">
        <v>140000</v>
      </c>
      <c r="M363" s="22">
        <f t="shared" si="31"/>
        <v>154000</v>
      </c>
      <c r="N363" s="23">
        <v>154000</v>
      </c>
      <c r="O363" s="23">
        <v>0</v>
      </c>
      <c r="P363" s="24">
        <f t="shared" si="32"/>
        <v>-14000</v>
      </c>
      <c r="Q363" s="25">
        <v>0</v>
      </c>
      <c r="R363" s="26">
        <v>70000</v>
      </c>
      <c r="S363" s="91">
        <f t="shared" si="28"/>
        <v>0</v>
      </c>
      <c r="T363" s="91">
        <f t="shared" si="29"/>
        <v>0</v>
      </c>
      <c r="U363" s="27" t="s">
        <v>50</v>
      </c>
      <c r="V363" s="19" t="s">
        <v>51</v>
      </c>
      <c r="W363" s="20">
        <v>45930</v>
      </c>
      <c r="X363" s="22" t="s">
        <v>251</v>
      </c>
      <c r="Y363" s="19" t="s">
        <v>52</v>
      </c>
      <c r="Z363" s="19" t="s">
        <v>52</v>
      </c>
      <c r="AA363" s="19" t="s">
        <v>52</v>
      </c>
      <c r="AB363" s="28"/>
    </row>
    <row r="364" spans="1:28" s="29" customFormat="1" ht="15" customHeight="1" x14ac:dyDescent="0.25">
      <c r="A364" s="14">
        <v>30</v>
      </c>
      <c r="B364" s="15">
        <v>45937</v>
      </c>
      <c r="C364" s="15">
        <f t="shared" si="30"/>
        <v>45945</v>
      </c>
      <c r="D364" s="14">
        <v>13656</v>
      </c>
      <c r="E364" s="16" t="s">
        <v>636</v>
      </c>
      <c r="F364" s="17" t="s">
        <v>637</v>
      </c>
      <c r="G364" s="17" t="s">
        <v>102</v>
      </c>
      <c r="H364" s="18" t="s">
        <v>542</v>
      </c>
      <c r="I364" s="19" t="s">
        <v>104</v>
      </c>
      <c r="J364" s="20">
        <v>45923</v>
      </c>
      <c r="K364" s="20">
        <v>45961</v>
      </c>
      <c r="L364" s="21">
        <v>126000</v>
      </c>
      <c r="M364" s="22">
        <f t="shared" si="31"/>
        <v>133000</v>
      </c>
      <c r="N364" s="23">
        <v>133000</v>
      </c>
      <c r="O364" s="23">
        <v>0</v>
      </c>
      <c r="P364" s="24">
        <f t="shared" si="32"/>
        <v>-7000</v>
      </c>
      <c r="Q364" s="25">
        <v>0</v>
      </c>
      <c r="R364" s="26">
        <v>63000</v>
      </c>
      <c r="S364" s="91">
        <f t="shared" si="28"/>
        <v>0</v>
      </c>
      <c r="T364" s="91">
        <f t="shared" si="29"/>
        <v>0</v>
      </c>
      <c r="U364" s="27" t="s">
        <v>50</v>
      </c>
      <c r="V364" s="19" t="s">
        <v>51</v>
      </c>
      <c r="W364" s="20">
        <v>45930</v>
      </c>
      <c r="X364" s="22" t="s">
        <v>251</v>
      </c>
      <c r="Y364" s="19" t="s">
        <v>52</v>
      </c>
      <c r="Z364" s="19" t="s">
        <v>52</v>
      </c>
      <c r="AA364" s="19" t="s">
        <v>52</v>
      </c>
      <c r="AB364" s="28"/>
    </row>
    <row r="365" spans="1:28" s="29" customFormat="1" ht="15" customHeight="1" x14ac:dyDescent="0.25">
      <c r="A365" s="14">
        <v>5</v>
      </c>
      <c r="B365" s="15">
        <v>45941</v>
      </c>
      <c r="C365" s="15">
        <f t="shared" si="30"/>
        <v>45949</v>
      </c>
      <c r="D365" s="14">
        <v>13517</v>
      </c>
      <c r="E365" s="16" t="s">
        <v>291</v>
      </c>
      <c r="F365" s="17" t="s">
        <v>292</v>
      </c>
      <c r="G365" s="17" t="s">
        <v>47</v>
      </c>
      <c r="H365" s="18" t="s">
        <v>542</v>
      </c>
      <c r="I365" s="19" t="s">
        <v>104</v>
      </c>
      <c r="J365" s="20">
        <v>45898</v>
      </c>
      <c r="K365" s="20">
        <v>45945</v>
      </c>
      <c r="L365" s="21">
        <v>300000</v>
      </c>
      <c r="M365" s="22">
        <f t="shared" si="31"/>
        <v>372000</v>
      </c>
      <c r="N365" s="23">
        <v>372000</v>
      </c>
      <c r="O365" s="23"/>
      <c r="P365" s="24">
        <f t="shared" si="32"/>
        <v>-72000</v>
      </c>
      <c r="Q365" s="25">
        <v>0</v>
      </c>
      <c r="R365" s="26">
        <v>72000</v>
      </c>
      <c r="S365" s="91">
        <f t="shared" si="28"/>
        <v>0</v>
      </c>
      <c r="T365" s="91">
        <f t="shared" si="29"/>
        <v>0</v>
      </c>
      <c r="U365" s="27" t="s">
        <v>50</v>
      </c>
      <c r="V365" s="19" t="s">
        <v>51</v>
      </c>
      <c r="W365" s="20">
        <v>45929</v>
      </c>
      <c r="X365" s="22" t="s">
        <v>251</v>
      </c>
      <c r="Y365" s="19" t="s">
        <v>52</v>
      </c>
      <c r="Z365" s="19" t="s">
        <v>52</v>
      </c>
      <c r="AA365" s="19" t="s">
        <v>52</v>
      </c>
      <c r="AB365" s="42"/>
    </row>
    <row r="366" spans="1:28" s="29" customFormat="1" ht="15" customHeight="1" x14ac:dyDescent="0.25">
      <c r="A366" s="14">
        <v>4</v>
      </c>
      <c r="B366" s="15">
        <v>45943</v>
      </c>
      <c r="C366" s="15">
        <f t="shared" si="30"/>
        <v>45951</v>
      </c>
      <c r="D366" s="14">
        <v>13642</v>
      </c>
      <c r="E366" s="16" t="s">
        <v>422</v>
      </c>
      <c r="F366" s="40" t="s">
        <v>476</v>
      </c>
      <c r="G366" s="17" t="s">
        <v>75</v>
      </c>
      <c r="H366" s="18" t="s">
        <v>78</v>
      </c>
      <c r="I366" s="19" t="s">
        <v>79</v>
      </c>
      <c r="J366" s="20">
        <v>45919</v>
      </c>
      <c r="K366" s="20">
        <v>45947</v>
      </c>
      <c r="L366" s="21">
        <v>550000</v>
      </c>
      <c r="M366" s="22">
        <f t="shared" si="31"/>
        <v>600000</v>
      </c>
      <c r="N366" s="23">
        <v>600000</v>
      </c>
      <c r="O366" s="23">
        <v>0</v>
      </c>
      <c r="P366" s="24">
        <f t="shared" si="32"/>
        <v>-50000</v>
      </c>
      <c r="Q366" s="25">
        <v>0</v>
      </c>
      <c r="R366" s="26">
        <v>210000</v>
      </c>
      <c r="S366" s="91">
        <f t="shared" si="28"/>
        <v>0</v>
      </c>
      <c r="T366" s="91">
        <f t="shared" si="29"/>
        <v>0</v>
      </c>
      <c r="U366" s="27" t="s">
        <v>56</v>
      </c>
      <c r="V366" s="19" t="s">
        <v>51</v>
      </c>
      <c r="W366" s="20">
        <v>45934</v>
      </c>
      <c r="X366" s="22" t="s">
        <v>251</v>
      </c>
      <c r="Y366" s="19" t="s">
        <v>52</v>
      </c>
      <c r="Z366" s="19" t="s">
        <v>52</v>
      </c>
      <c r="AA366" s="19" t="s">
        <v>52</v>
      </c>
      <c r="AB366" s="28"/>
    </row>
    <row r="367" spans="1:28" s="29" customFormat="1" ht="15" customHeight="1" x14ac:dyDescent="0.25">
      <c r="A367" s="14">
        <v>7</v>
      </c>
      <c r="B367" s="15">
        <v>45941</v>
      </c>
      <c r="C367" s="15">
        <f t="shared" si="30"/>
        <v>45949</v>
      </c>
      <c r="D367" s="14">
        <v>13643</v>
      </c>
      <c r="E367" s="16" t="s">
        <v>436</v>
      </c>
      <c r="F367" s="40" t="s">
        <v>437</v>
      </c>
      <c r="G367" s="17" t="s">
        <v>75</v>
      </c>
      <c r="H367" s="18" t="s">
        <v>57</v>
      </c>
      <c r="I367" s="19" t="s">
        <v>94</v>
      </c>
      <c r="J367" s="20">
        <v>45919</v>
      </c>
      <c r="K367" s="20">
        <v>45961</v>
      </c>
      <c r="L367" s="21">
        <v>450000</v>
      </c>
      <c r="M367" s="22">
        <f t="shared" si="31"/>
        <v>423000</v>
      </c>
      <c r="N367" s="23">
        <v>423000</v>
      </c>
      <c r="O367" s="23">
        <v>0</v>
      </c>
      <c r="P367" s="24">
        <f t="shared" si="32"/>
        <v>27000</v>
      </c>
      <c r="Q367" s="25">
        <v>0</v>
      </c>
      <c r="R367" s="26">
        <v>150000</v>
      </c>
      <c r="S367" s="91">
        <f t="shared" si="28"/>
        <v>0.18</v>
      </c>
      <c r="T367" s="91">
        <f t="shared" si="29"/>
        <v>0</v>
      </c>
      <c r="U367" s="27" t="s">
        <v>50</v>
      </c>
      <c r="V367" s="19" t="s">
        <v>51</v>
      </c>
      <c r="W367" s="20">
        <v>45938</v>
      </c>
      <c r="X367" s="22" t="s">
        <v>251</v>
      </c>
      <c r="Y367" s="19" t="s">
        <v>52</v>
      </c>
      <c r="Z367" s="19" t="s">
        <v>52</v>
      </c>
      <c r="AA367" s="19" t="s">
        <v>52</v>
      </c>
      <c r="AB367" s="28"/>
    </row>
    <row r="368" spans="1:28" s="29" customFormat="1" ht="15" customHeight="1" x14ac:dyDescent="0.25">
      <c r="A368" s="14">
        <v>9</v>
      </c>
      <c r="B368" s="15">
        <v>45941</v>
      </c>
      <c r="C368" s="15">
        <f t="shared" si="30"/>
        <v>45949</v>
      </c>
      <c r="D368" s="14">
        <v>13653</v>
      </c>
      <c r="E368" s="16" t="s">
        <v>497</v>
      </c>
      <c r="F368" s="40" t="s">
        <v>498</v>
      </c>
      <c r="G368" s="17" t="s">
        <v>75</v>
      </c>
      <c r="H368" s="18" t="s">
        <v>133</v>
      </c>
      <c r="I368" s="19" t="s">
        <v>198</v>
      </c>
      <c r="J368" s="20">
        <v>45923</v>
      </c>
      <c r="K368" s="20">
        <v>45964</v>
      </c>
      <c r="L368" s="21">
        <v>90000</v>
      </c>
      <c r="M368" s="22">
        <f t="shared" si="31"/>
        <v>108000</v>
      </c>
      <c r="N368" s="23">
        <v>108000</v>
      </c>
      <c r="O368" s="23">
        <v>0</v>
      </c>
      <c r="P368" s="24">
        <f t="shared" si="32"/>
        <v>-18000</v>
      </c>
      <c r="Q368" s="25">
        <v>0</v>
      </c>
      <c r="R368" s="26">
        <v>60000</v>
      </c>
      <c r="S368" s="91">
        <f t="shared" si="28"/>
        <v>0</v>
      </c>
      <c r="T368" s="91">
        <f t="shared" si="29"/>
        <v>0</v>
      </c>
      <c r="U368" s="27" t="s">
        <v>56</v>
      </c>
      <c r="V368" s="19" t="s">
        <v>51</v>
      </c>
      <c r="W368" s="20">
        <v>45938</v>
      </c>
      <c r="X368" s="22" t="s">
        <v>251</v>
      </c>
      <c r="Y368" s="19" t="s">
        <v>52</v>
      </c>
      <c r="Z368" s="19" t="s">
        <v>52</v>
      </c>
      <c r="AA368" s="19" t="s">
        <v>52</v>
      </c>
      <c r="AB368" s="28"/>
    </row>
    <row r="369" spans="1:28" s="29" customFormat="1" ht="15" customHeight="1" x14ac:dyDescent="0.25">
      <c r="A369" s="14">
        <v>2</v>
      </c>
      <c r="B369" s="15">
        <v>45948</v>
      </c>
      <c r="C369" s="15">
        <f t="shared" si="30"/>
        <v>45956</v>
      </c>
      <c r="D369" s="14">
        <v>13363</v>
      </c>
      <c r="E369" s="16" t="s">
        <v>737</v>
      </c>
      <c r="F369" s="17" t="s">
        <v>478</v>
      </c>
      <c r="G369" s="17" t="s">
        <v>102</v>
      </c>
      <c r="H369" s="18" t="s">
        <v>57</v>
      </c>
      <c r="I369" s="19" t="s">
        <v>58</v>
      </c>
      <c r="J369" s="20">
        <v>45874</v>
      </c>
      <c r="K369" s="20">
        <v>45905</v>
      </c>
      <c r="L369" s="21">
        <v>1000000</v>
      </c>
      <c r="M369" s="22">
        <f t="shared" si="31"/>
        <v>832000</v>
      </c>
      <c r="N369" s="23">
        <v>832000</v>
      </c>
      <c r="O369" s="23">
        <v>0</v>
      </c>
      <c r="P369" s="24">
        <f t="shared" si="32"/>
        <v>168000</v>
      </c>
      <c r="Q369" s="25">
        <v>0</v>
      </c>
      <c r="R369" s="26">
        <v>48000</v>
      </c>
      <c r="S369" s="91">
        <f t="shared" si="28"/>
        <v>3.5</v>
      </c>
      <c r="T369" s="91">
        <f t="shared" si="29"/>
        <v>0</v>
      </c>
      <c r="U369" s="27" t="s">
        <v>50</v>
      </c>
      <c r="V369" s="19" t="s">
        <v>51</v>
      </c>
      <c r="W369" s="20">
        <v>45908</v>
      </c>
      <c r="X369" s="22" t="s">
        <v>251</v>
      </c>
      <c r="Y369" s="19" t="s">
        <v>52</v>
      </c>
      <c r="Z369" s="19" t="s">
        <v>52</v>
      </c>
      <c r="AA369" s="19" t="s">
        <v>52</v>
      </c>
      <c r="AB369" s="28"/>
    </row>
    <row r="370" spans="1:28" s="29" customFormat="1" ht="15" customHeight="1" x14ac:dyDescent="0.25">
      <c r="A370" s="14">
        <v>3</v>
      </c>
      <c r="B370" s="15">
        <v>45944</v>
      </c>
      <c r="C370" s="15">
        <f t="shared" si="30"/>
        <v>45952</v>
      </c>
      <c r="D370" s="14">
        <v>13545</v>
      </c>
      <c r="E370" s="16" t="s">
        <v>799</v>
      </c>
      <c r="F370" s="17" t="s">
        <v>800</v>
      </c>
      <c r="G370" s="17" t="s">
        <v>102</v>
      </c>
      <c r="H370" s="18" t="s">
        <v>62</v>
      </c>
      <c r="I370" s="19" t="s">
        <v>63</v>
      </c>
      <c r="J370" s="20">
        <v>45905</v>
      </c>
      <c r="K370" s="20">
        <v>45933</v>
      </c>
      <c r="L370" s="21">
        <v>50000</v>
      </c>
      <c r="M370" s="22">
        <f t="shared" si="31"/>
        <v>52500</v>
      </c>
      <c r="N370" s="23">
        <v>52500</v>
      </c>
      <c r="O370" s="23">
        <v>0</v>
      </c>
      <c r="P370" s="24">
        <f t="shared" si="32"/>
        <v>-2500</v>
      </c>
      <c r="Q370" s="25">
        <v>0</v>
      </c>
      <c r="R370" s="26">
        <v>18000</v>
      </c>
      <c r="S370" s="91">
        <f t="shared" si="28"/>
        <v>0</v>
      </c>
      <c r="T370" s="91">
        <f t="shared" si="29"/>
        <v>0</v>
      </c>
      <c r="U370" s="27" t="s">
        <v>50</v>
      </c>
      <c r="V370" s="19" t="s">
        <v>59</v>
      </c>
      <c r="W370" s="20">
        <v>45938</v>
      </c>
      <c r="X370" s="22" t="s">
        <v>251</v>
      </c>
      <c r="Y370" s="19" t="s">
        <v>52</v>
      </c>
      <c r="Z370" s="19" t="s">
        <v>52</v>
      </c>
      <c r="AA370" s="19" t="s">
        <v>52</v>
      </c>
      <c r="AB370" s="28"/>
    </row>
    <row r="371" spans="1:28" s="29" customFormat="1" ht="15" customHeight="1" x14ac:dyDescent="0.25">
      <c r="A371" s="14">
        <v>4</v>
      </c>
      <c r="B371" s="15">
        <v>45941</v>
      </c>
      <c r="C371" s="15">
        <f t="shared" si="30"/>
        <v>45949</v>
      </c>
      <c r="D371" s="14">
        <v>13532</v>
      </c>
      <c r="E371" s="16" t="s">
        <v>680</v>
      </c>
      <c r="F371" s="17" t="s">
        <v>681</v>
      </c>
      <c r="G371" s="17" t="s">
        <v>102</v>
      </c>
      <c r="H371" s="18" t="s">
        <v>542</v>
      </c>
      <c r="I371" s="19" t="s">
        <v>104</v>
      </c>
      <c r="J371" s="20">
        <v>45908</v>
      </c>
      <c r="K371" s="20">
        <v>45938</v>
      </c>
      <c r="L371" s="21">
        <v>1000000</v>
      </c>
      <c r="M371" s="22">
        <f t="shared" si="31"/>
        <v>1071000</v>
      </c>
      <c r="N371" s="23">
        <v>1071000</v>
      </c>
      <c r="O371" s="23">
        <v>0</v>
      </c>
      <c r="P371" s="24">
        <f t="shared" si="32"/>
        <v>-71000</v>
      </c>
      <c r="Q371" s="25">
        <v>0</v>
      </c>
      <c r="R371" s="26">
        <v>63000</v>
      </c>
      <c r="S371" s="91">
        <f t="shared" si="28"/>
        <v>0</v>
      </c>
      <c r="T371" s="91">
        <f t="shared" si="29"/>
        <v>0</v>
      </c>
      <c r="U371" s="27" t="s">
        <v>50</v>
      </c>
      <c r="V371" s="19" t="s">
        <v>51</v>
      </c>
      <c r="W371" s="20">
        <v>45925</v>
      </c>
      <c r="X371" s="22" t="s">
        <v>251</v>
      </c>
      <c r="Y371" s="19" t="s">
        <v>52</v>
      </c>
      <c r="Z371" s="19" t="s">
        <v>52</v>
      </c>
      <c r="AA371" s="19" t="s">
        <v>52</v>
      </c>
      <c r="AB371" s="28"/>
    </row>
    <row r="372" spans="1:28" s="29" customFormat="1" ht="15" customHeight="1" x14ac:dyDescent="0.25">
      <c r="A372" s="14">
        <v>27</v>
      </c>
      <c r="B372" s="15">
        <v>45944</v>
      </c>
      <c r="C372" s="15">
        <f t="shared" si="30"/>
        <v>45952</v>
      </c>
      <c r="D372" s="14">
        <v>13680</v>
      </c>
      <c r="E372" s="16" t="s">
        <v>204</v>
      </c>
      <c r="F372" s="17" t="s">
        <v>205</v>
      </c>
      <c r="G372" s="17" t="s">
        <v>102</v>
      </c>
      <c r="H372" s="18" t="s">
        <v>784</v>
      </c>
      <c r="I372" s="19" t="s">
        <v>63</v>
      </c>
      <c r="J372" s="20">
        <v>45929</v>
      </c>
      <c r="K372" s="20">
        <v>45954</v>
      </c>
      <c r="L372" s="21">
        <v>600000</v>
      </c>
      <c r="M372" s="22">
        <f t="shared" si="31"/>
        <v>670000</v>
      </c>
      <c r="N372" s="23">
        <v>670000</v>
      </c>
      <c r="O372" s="23">
        <v>0</v>
      </c>
      <c r="P372" s="24">
        <f t="shared" si="32"/>
        <v>-70000</v>
      </c>
      <c r="Q372" s="25">
        <v>0</v>
      </c>
      <c r="R372" s="26">
        <v>84000</v>
      </c>
      <c r="S372" s="91">
        <f t="shared" si="28"/>
        <v>0</v>
      </c>
      <c r="T372" s="91">
        <f t="shared" si="29"/>
        <v>0</v>
      </c>
      <c r="U372" s="27" t="s">
        <v>50</v>
      </c>
      <c r="V372" s="19" t="s">
        <v>51</v>
      </c>
      <c r="W372" s="20">
        <v>45936</v>
      </c>
      <c r="X372" s="22" t="s">
        <v>251</v>
      </c>
      <c r="Y372" s="19" t="s">
        <v>52</v>
      </c>
      <c r="Z372" s="19" t="s">
        <v>52</v>
      </c>
      <c r="AA372" s="19" t="s">
        <v>52</v>
      </c>
      <c r="AB372" s="28"/>
    </row>
    <row r="373" spans="1:28" s="29" customFormat="1" ht="15" customHeight="1" x14ac:dyDescent="0.25">
      <c r="A373" s="14">
        <v>4</v>
      </c>
      <c r="B373" s="15">
        <v>45944</v>
      </c>
      <c r="C373" s="15">
        <f t="shared" si="30"/>
        <v>45952</v>
      </c>
      <c r="D373" s="14">
        <v>13425</v>
      </c>
      <c r="E373" s="16" t="s">
        <v>769</v>
      </c>
      <c r="F373" s="17" t="s">
        <v>770</v>
      </c>
      <c r="G373" s="17" t="s">
        <v>132</v>
      </c>
      <c r="H373" s="18" t="s">
        <v>78</v>
      </c>
      <c r="I373" s="19" t="s">
        <v>79</v>
      </c>
      <c r="J373" s="20">
        <v>45882</v>
      </c>
      <c r="K373" s="20">
        <v>45910</v>
      </c>
      <c r="L373" s="21">
        <v>80000</v>
      </c>
      <c r="M373" s="22">
        <f t="shared" si="31"/>
        <v>98604</v>
      </c>
      <c r="N373" s="23">
        <v>98604</v>
      </c>
      <c r="O373" s="23">
        <v>0</v>
      </c>
      <c r="P373" s="24">
        <f t="shared" si="32"/>
        <v>-18604</v>
      </c>
      <c r="Q373" s="25">
        <v>0</v>
      </c>
      <c r="R373" s="26">
        <v>232443</v>
      </c>
      <c r="S373" s="91">
        <f t="shared" si="28"/>
        <v>0</v>
      </c>
      <c r="T373" s="91">
        <f t="shared" si="29"/>
        <v>0</v>
      </c>
      <c r="U373" s="27" t="s">
        <v>56</v>
      </c>
      <c r="V373" s="19" t="s">
        <v>51</v>
      </c>
      <c r="W373" s="20">
        <v>45917</v>
      </c>
      <c r="X373" s="22" t="s">
        <v>251</v>
      </c>
      <c r="Y373" s="19" t="s">
        <v>52</v>
      </c>
      <c r="Z373" s="19" t="s">
        <v>52</v>
      </c>
      <c r="AA373" s="19" t="s">
        <v>52</v>
      </c>
      <c r="AB373" s="28"/>
    </row>
    <row r="374" spans="1:28" s="29" customFormat="1" ht="15" customHeight="1" x14ac:dyDescent="0.25">
      <c r="A374" s="14">
        <v>8</v>
      </c>
      <c r="B374" s="15">
        <v>45941</v>
      </c>
      <c r="C374" s="15">
        <f t="shared" si="30"/>
        <v>45949</v>
      </c>
      <c r="D374" s="14">
        <v>13432</v>
      </c>
      <c r="E374" s="16" t="s">
        <v>324</v>
      </c>
      <c r="F374" s="17" t="s">
        <v>325</v>
      </c>
      <c r="G374" s="17" t="s">
        <v>132</v>
      </c>
      <c r="H374" s="18" t="s">
        <v>162</v>
      </c>
      <c r="I374" s="19" t="s">
        <v>198</v>
      </c>
      <c r="J374" s="20">
        <v>45883</v>
      </c>
      <c r="K374" s="20">
        <v>45937</v>
      </c>
      <c r="L374" s="21">
        <v>1000000</v>
      </c>
      <c r="M374" s="22">
        <f t="shared" si="31"/>
        <v>1224000</v>
      </c>
      <c r="N374" s="23">
        <v>1224000</v>
      </c>
      <c r="O374" s="23">
        <v>0</v>
      </c>
      <c r="P374" s="24">
        <f t="shared" si="32"/>
        <v>-224000</v>
      </c>
      <c r="Q374" s="25">
        <v>0</v>
      </c>
      <c r="R374" s="26">
        <v>324000</v>
      </c>
      <c r="S374" s="91">
        <f t="shared" si="28"/>
        <v>0</v>
      </c>
      <c r="T374" s="91">
        <f t="shared" si="29"/>
        <v>0</v>
      </c>
      <c r="U374" s="27" t="s">
        <v>56</v>
      </c>
      <c r="V374" s="19" t="s">
        <v>51</v>
      </c>
      <c r="W374" s="20">
        <v>45938</v>
      </c>
      <c r="X374" s="22" t="s">
        <v>251</v>
      </c>
      <c r="Y374" s="19" t="s">
        <v>52</v>
      </c>
      <c r="Z374" s="19" t="s">
        <v>52</v>
      </c>
      <c r="AA374" s="19" t="s">
        <v>52</v>
      </c>
      <c r="AB374" s="28"/>
    </row>
    <row r="375" spans="1:28" s="29" customFormat="1" ht="15" customHeight="1" x14ac:dyDescent="0.25">
      <c r="A375" s="14">
        <v>9</v>
      </c>
      <c r="B375" s="15">
        <v>45941</v>
      </c>
      <c r="C375" s="15">
        <f t="shared" si="30"/>
        <v>45949</v>
      </c>
      <c r="D375" s="14">
        <v>13488</v>
      </c>
      <c r="E375" s="16" t="s">
        <v>141</v>
      </c>
      <c r="F375" s="17" t="s">
        <v>142</v>
      </c>
      <c r="G375" s="17" t="s">
        <v>132</v>
      </c>
      <c r="H375" s="18" t="s">
        <v>54</v>
      </c>
      <c r="I375" s="19" t="s">
        <v>135</v>
      </c>
      <c r="J375" s="20">
        <v>45896</v>
      </c>
      <c r="K375" s="20">
        <v>45943</v>
      </c>
      <c r="L375" s="21">
        <v>465000</v>
      </c>
      <c r="M375" s="22">
        <f t="shared" si="31"/>
        <v>559000</v>
      </c>
      <c r="N375" s="23">
        <v>559000</v>
      </c>
      <c r="O375" s="23">
        <v>0</v>
      </c>
      <c r="P375" s="24">
        <f t="shared" si="32"/>
        <v>-94000</v>
      </c>
      <c r="Q375" s="25">
        <v>0</v>
      </c>
      <c r="R375" s="26">
        <v>175500</v>
      </c>
      <c r="S375" s="91">
        <f t="shared" si="28"/>
        <v>0</v>
      </c>
      <c r="T375" s="91">
        <f t="shared" si="29"/>
        <v>0</v>
      </c>
      <c r="U375" s="27" t="s">
        <v>56</v>
      </c>
      <c r="V375" s="19" t="s">
        <v>51</v>
      </c>
      <c r="W375" s="20">
        <v>45938</v>
      </c>
      <c r="X375" s="22" t="s">
        <v>251</v>
      </c>
      <c r="Y375" s="19" t="s">
        <v>52</v>
      </c>
      <c r="Z375" s="19" t="s">
        <v>52</v>
      </c>
      <c r="AA375" s="19" t="s">
        <v>52</v>
      </c>
      <c r="AB375" s="28"/>
    </row>
    <row r="376" spans="1:28" s="29" customFormat="1" ht="15" customHeight="1" x14ac:dyDescent="0.25">
      <c r="A376" s="14">
        <v>15</v>
      </c>
      <c r="B376" s="15">
        <v>45941</v>
      </c>
      <c r="C376" s="15">
        <f t="shared" si="30"/>
        <v>45949</v>
      </c>
      <c r="D376" s="14">
        <v>13588</v>
      </c>
      <c r="E376" s="16" t="s">
        <v>226</v>
      </c>
      <c r="F376" s="17" t="s">
        <v>227</v>
      </c>
      <c r="G376" s="17" t="s">
        <v>132</v>
      </c>
      <c r="H376" s="18" t="s">
        <v>775</v>
      </c>
      <c r="I376" s="19" t="s">
        <v>135</v>
      </c>
      <c r="J376" s="20">
        <v>45911</v>
      </c>
      <c r="K376" s="20">
        <v>45959</v>
      </c>
      <c r="L376" s="21">
        <v>50000</v>
      </c>
      <c r="M376" s="22">
        <f t="shared" si="31"/>
        <v>61740</v>
      </c>
      <c r="N376" s="23">
        <v>61740</v>
      </c>
      <c r="O376" s="23">
        <v>0</v>
      </c>
      <c r="P376" s="24">
        <f t="shared" si="32"/>
        <v>-11740</v>
      </c>
      <c r="Q376" s="25">
        <v>0</v>
      </c>
      <c r="R376" s="26">
        <v>57330</v>
      </c>
      <c r="S376" s="91">
        <f t="shared" si="28"/>
        <v>0</v>
      </c>
      <c r="T376" s="91">
        <f t="shared" si="29"/>
        <v>0</v>
      </c>
      <c r="U376" s="27" t="s">
        <v>56</v>
      </c>
      <c r="V376" s="19" t="s">
        <v>51</v>
      </c>
      <c r="W376" s="20">
        <v>45938</v>
      </c>
      <c r="X376" s="22" t="s">
        <v>251</v>
      </c>
      <c r="Y376" s="19" t="s">
        <v>52</v>
      </c>
      <c r="Z376" s="19" t="s">
        <v>52</v>
      </c>
      <c r="AA376" s="19" t="s">
        <v>52</v>
      </c>
      <c r="AB376" s="28"/>
    </row>
    <row r="377" spans="1:28" s="29" customFormat="1" ht="15" customHeight="1" x14ac:dyDescent="0.25">
      <c r="A377" s="14">
        <v>2</v>
      </c>
      <c r="B377" s="15">
        <v>45946</v>
      </c>
      <c r="C377" s="15">
        <f t="shared" si="30"/>
        <v>45954</v>
      </c>
      <c r="D377" s="14">
        <v>13606</v>
      </c>
      <c r="E377" s="16" t="s">
        <v>394</v>
      </c>
      <c r="F377" s="17" t="s">
        <v>638</v>
      </c>
      <c r="G377" s="17" t="s">
        <v>47</v>
      </c>
      <c r="H377" s="18" t="s">
        <v>639</v>
      </c>
      <c r="I377" s="19" t="s">
        <v>395</v>
      </c>
      <c r="J377" s="20">
        <v>45915</v>
      </c>
      <c r="K377" s="20">
        <v>45938</v>
      </c>
      <c r="L377" s="21">
        <v>100000</v>
      </c>
      <c r="M377" s="22">
        <f t="shared" si="31"/>
        <v>111000</v>
      </c>
      <c r="N377" s="23">
        <v>111000</v>
      </c>
      <c r="O377" s="23">
        <v>0</v>
      </c>
      <c r="P377" s="24">
        <f t="shared" si="32"/>
        <v>-11000</v>
      </c>
      <c r="Q377" s="25">
        <v>0</v>
      </c>
      <c r="R377" s="26">
        <v>50000</v>
      </c>
      <c r="S377" s="91">
        <f t="shared" si="28"/>
        <v>0</v>
      </c>
      <c r="T377" s="91">
        <f t="shared" si="29"/>
        <v>0</v>
      </c>
      <c r="U377" s="27" t="s">
        <v>193</v>
      </c>
      <c r="V377" s="19" t="s">
        <v>51</v>
      </c>
      <c r="W377" s="20">
        <v>45929</v>
      </c>
      <c r="X377" s="22" t="s">
        <v>251</v>
      </c>
      <c r="Y377" s="19" t="s">
        <v>52</v>
      </c>
      <c r="Z377" s="19" t="s">
        <v>52</v>
      </c>
      <c r="AA377" s="19" t="s">
        <v>52</v>
      </c>
      <c r="AB377" s="42"/>
    </row>
    <row r="378" spans="1:28" s="29" customFormat="1" ht="15" customHeight="1" x14ac:dyDescent="0.25">
      <c r="A378" s="14">
        <v>5</v>
      </c>
      <c r="B378" s="15">
        <v>45946</v>
      </c>
      <c r="C378" s="15">
        <f t="shared" si="30"/>
        <v>45954</v>
      </c>
      <c r="D378" s="14">
        <v>13601</v>
      </c>
      <c r="E378" s="16" t="s">
        <v>756</v>
      </c>
      <c r="F378" s="17" t="s">
        <v>813</v>
      </c>
      <c r="G378" s="17" t="s">
        <v>47</v>
      </c>
      <c r="H378" s="18" t="s">
        <v>57</v>
      </c>
      <c r="I378" s="19" t="s">
        <v>58</v>
      </c>
      <c r="J378" s="20">
        <v>45916</v>
      </c>
      <c r="K378" s="20">
        <v>45947</v>
      </c>
      <c r="L378" s="21">
        <v>2000000</v>
      </c>
      <c r="M378" s="22">
        <f t="shared" si="31"/>
        <v>2067000</v>
      </c>
      <c r="N378" s="23">
        <v>2067000</v>
      </c>
      <c r="O378" s="23">
        <v>0</v>
      </c>
      <c r="P378" s="24">
        <f t="shared" si="32"/>
        <v>-67000</v>
      </c>
      <c r="Q378" s="25">
        <v>0</v>
      </c>
      <c r="R378" s="26">
        <v>50000</v>
      </c>
      <c r="S378" s="91">
        <f t="shared" si="28"/>
        <v>0</v>
      </c>
      <c r="T378" s="91">
        <f t="shared" si="29"/>
        <v>0</v>
      </c>
      <c r="U378" s="27" t="s">
        <v>50</v>
      </c>
      <c r="V378" s="19" t="s">
        <v>51</v>
      </c>
      <c r="W378" s="20">
        <v>45926</v>
      </c>
      <c r="X378" s="22" t="s">
        <v>251</v>
      </c>
      <c r="Y378" s="19" t="s">
        <v>52</v>
      </c>
      <c r="Z378" s="19" t="s">
        <v>52</v>
      </c>
      <c r="AA378" s="19" t="s">
        <v>52</v>
      </c>
      <c r="AB378" s="42"/>
    </row>
    <row r="379" spans="1:28" s="29" customFormat="1" ht="15" customHeight="1" x14ac:dyDescent="0.25">
      <c r="A379" s="14">
        <v>6</v>
      </c>
      <c r="B379" s="15">
        <v>45946</v>
      </c>
      <c r="C379" s="15">
        <f t="shared" si="30"/>
        <v>45954</v>
      </c>
      <c r="D379" s="14">
        <v>13599</v>
      </c>
      <c r="E379" s="16" t="s">
        <v>728</v>
      </c>
      <c r="F379" s="17" t="s">
        <v>469</v>
      </c>
      <c r="G379" s="17" t="s">
        <v>47</v>
      </c>
      <c r="H379" s="18" t="s">
        <v>57</v>
      </c>
      <c r="I379" s="19" t="s">
        <v>58</v>
      </c>
      <c r="J379" s="20">
        <v>45926</v>
      </c>
      <c r="K379" s="20">
        <v>45947</v>
      </c>
      <c r="L379" s="21">
        <v>2000000</v>
      </c>
      <c r="M379" s="22">
        <f t="shared" si="31"/>
        <v>2086000</v>
      </c>
      <c r="N379" s="23">
        <v>2086000</v>
      </c>
      <c r="O379" s="23">
        <v>0</v>
      </c>
      <c r="P379" s="24">
        <f t="shared" si="32"/>
        <v>-86000</v>
      </c>
      <c r="Q379" s="25">
        <v>0</v>
      </c>
      <c r="R379" s="26">
        <v>96000</v>
      </c>
      <c r="S379" s="91">
        <f t="shared" ref="S379:S442" si="33">IF(P379&gt;0,P379/$R379,0)</f>
        <v>0</v>
      </c>
      <c r="T379" s="91">
        <f t="shared" ref="T379:T442" si="34">IF(Q379&gt;0,Q379/$R379,0)</f>
        <v>0</v>
      </c>
      <c r="U379" s="27" t="s">
        <v>50</v>
      </c>
      <c r="V379" s="19" t="s">
        <v>51</v>
      </c>
      <c r="W379" s="20">
        <v>45936</v>
      </c>
      <c r="X379" s="22" t="s">
        <v>251</v>
      </c>
      <c r="Y379" s="19" t="s">
        <v>52</v>
      </c>
      <c r="Z379" s="19" t="s">
        <v>52</v>
      </c>
      <c r="AA379" s="19" t="s">
        <v>52</v>
      </c>
      <c r="AB379" s="42"/>
    </row>
    <row r="380" spans="1:28" s="29" customFormat="1" ht="15" customHeight="1" x14ac:dyDescent="0.25">
      <c r="A380" s="14">
        <v>2</v>
      </c>
      <c r="B380" s="15">
        <v>45946</v>
      </c>
      <c r="C380" s="15">
        <f t="shared" si="30"/>
        <v>45954</v>
      </c>
      <c r="D380" s="14">
        <v>13546</v>
      </c>
      <c r="E380" s="16" t="s">
        <v>472</v>
      </c>
      <c r="F380" s="40" t="s">
        <v>473</v>
      </c>
      <c r="G380" s="17" t="s">
        <v>75</v>
      </c>
      <c r="H380" s="18" t="s">
        <v>78</v>
      </c>
      <c r="I380" s="19" t="s">
        <v>79</v>
      </c>
      <c r="J380" s="20">
        <v>45905</v>
      </c>
      <c r="K380" s="20">
        <v>45940</v>
      </c>
      <c r="L380" s="21">
        <v>40000</v>
      </c>
      <c r="M380" s="22">
        <f t="shared" si="31"/>
        <v>48000</v>
      </c>
      <c r="N380" s="23">
        <v>48000</v>
      </c>
      <c r="O380" s="23">
        <v>0</v>
      </c>
      <c r="P380" s="24">
        <f t="shared" si="32"/>
        <v>-8000</v>
      </c>
      <c r="Q380" s="25">
        <v>0</v>
      </c>
      <c r="R380" s="26">
        <v>84000</v>
      </c>
      <c r="S380" s="91">
        <f t="shared" si="33"/>
        <v>0</v>
      </c>
      <c r="T380" s="91">
        <f t="shared" si="34"/>
        <v>0</v>
      </c>
      <c r="U380" s="27" t="s">
        <v>56</v>
      </c>
      <c r="V380" s="19" t="s">
        <v>51</v>
      </c>
      <c r="W380" s="20">
        <v>45926</v>
      </c>
      <c r="X380" s="22" t="s">
        <v>251</v>
      </c>
      <c r="Y380" s="19" t="s">
        <v>52</v>
      </c>
      <c r="Z380" s="19" t="s">
        <v>52</v>
      </c>
      <c r="AA380" s="19" t="s">
        <v>52</v>
      </c>
      <c r="AB380" s="28"/>
    </row>
    <row r="381" spans="1:28" s="29" customFormat="1" ht="15" customHeight="1" x14ac:dyDescent="0.25">
      <c r="A381" s="14">
        <v>3</v>
      </c>
      <c r="B381" s="15">
        <v>45946</v>
      </c>
      <c r="C381" s="15">
        <f t="shared" si="30"/>
        <v>45954</v>
      </c>
      <c r="D381" s="14">
        <v>13526</v>
      </c>
      <c r="E381" s="16" t="s">
        <v>552</v>
      </c>
      <c r="F381" s="40" t="s">
        <v>553</v>
      </c>
      <c r="G381" s="17" t="s">
        <v>75</v>
      </c>
      <c r="H381" s="18" t="s">
        <v>78</v>
      </c>
      <c r="I381" s="19" t="s">
        <v>79</v>
      </c>
      <c r="J381" s="20">
        <v>45903</v>
      </c>
      <c r="K381" s="20">
        <v>45945</v>
      </c>
      <c r="L381" s="21">
        <v>160000</v>
      </c>
      <c r="M381" s="22">
        <f t="shared" si="31"/>
        <v>198000</v>
      </c>
      <c r="N381" s="23">
        <v>198000</v>
      </c>
      <c r="O381" s="23">
        <v>0</v>
      </c>
      <c r="P381" s="24">
        <f t="shared" si="32"/>
        <v>-38000</v>
      </c>
      <c r="Q381" s="25">
        <v>0</v>
      </c>
      <c r="R381" s="26">
        <v>96000</v>
      </c>
      <c r="S381" s="91">
        <f t="shared" si="33"/>
        <v>0</v>
      </c>
      <c r="T381" s="91">
        <f t="shared" si="34"/>
        <v>0</v>
      </c>
      <c r="U381" s="27" t="s">
        <v>56</v>
      </c>
      <c r="V381" s="19" t="s">
        <v>51</v>
      </c>
      <c r="W381" s="20">
        <v>45926</v>
      </c>
      <c r="X381" s="22" t="s">
        <v>251</v>
      </c>
      <c r="Y381" s="19" t="s">
        <v>52</v>
      </c>
      <c r="Z381" s="19" t="s">
        <v>52</v>
      </c>
      <c r="AA381" s="19" t="s">
        <v>52</v>
      </c>
      <c r="AB381" s="28"/>
    </row>
    <row r="382" spans="1:28" s="29" customFormat="1" ht="15" customHeight="1" x14ac:dyDescent="0.25">
      <c r="A382" s="14">
        <v>8</v>
      </c>
      <c r="B382" s="15">
        <v>45948</v>
      </c>
      <c r="C382" s="15">
        <f t="shared" si="30"/>
        <v>45956</v>
      </c>
      <c r="D382" s="14">
        <v>13685</v>
      </c>
      <c r="E382" s="16" t="s">
        <v>252</v>
      </c>
      <c r="F382" s="40" t="s">
        <v>253</v>
      </c>
      <c r="G382" s="17" t="s">
        <v>75</v>
      </c>
      <c r="H382" s="18" t="s">
        <v>54</v>
      </c>
      <c r="I382" s="19" t="s">
        <v>86</v>
      </c>
      <c r="J382" s="20">
        <v>45930</v>
      </c>
      <c r="K382" s="20">
        <v>45968</v>
      </c>
      <c r="L382" s="21">
        <v>250000</v>
      </c>
      <c r="M382" s="22">
        <f t="shared" si="31"/>
        <v>274500</v>
      </c>
      <c r="N382" s="23">
        <v>274500</v>
      </c>
      <c r="O382" s="23">
        <v>0</v>
      </c>
      <c r="P382" s="24">
        <f t="shared" si="32"/>
        <v>-24500</v>
      </c>
      <c r="Q382" s="25">
        <v>0</v>
      </c>
      <c r="R382" s="26">
        <v>63000</v>
      </c>
      <c r="S382" s="91">
        <f t="shared" si="33"/>
        <v>0</v>
      </c>
      <c r="T382" s="91">
        <f t="shared" si="34"/>
        <v>0</v>
      </c>
      <c r="U382" s="27" t="s">
        <v>56</v>
      </c>
      <c r="V382" s="19" t="s">
        <v>51</v>
      </c>
      <c r="W382" s="20">
        <v>45947</v>
      </c>
      <c r="X382" s="22" t="s">
        <v>251</v>
      </c>
      <c r="Y382" s="19" t="s">
        <v>52</v>
      </c>
      <c r="Z382" s="19" t="s">
        <v>52</v>
      </c>
      <c r="AA382" s="19" t="s">
        <v>52</v>
      </c>
      <c r="AB382" s="28"/>
    </row>
    <row r="383" spans="1:28" s="29" customFormat="1" ht="15" customHeight="1" x14ac:dyDescent="0.25">
      <c r="A383" s="14">
        <v>1</v>
      </c>
      <c r="B383" s="15">
        <v>45946</v>
      </c>
      <c r="C383" s="15">
        <f t="shared" si="30"/>
        <v>45954</v>
      </c>
      <c r="D383" s="14">
        <v>12719</v>
      </c>
      <c r="E383" s="16" t="s">
        <v>548</v>
      </c>
      <c r="F383" s="17" t="s">
        <v>549</v>
      </c>
      <c r="G383" s="17" t="s">
        <v>132</v>
      </c>
      <c r="H383" s="18" t="s">
        <v>78</v>
      </c>
      <c r="I383" s="19" t="s">
        <v>79</v>
      </c>
      <c r="J383" s="20">
        <v>45737</v>
      </c>
      <c r="K383" s="20">
        <v>45778</v>
      </c>
      <c r="L383" s="21">
        <v>270000</v>
      </c>
      <c r="M383" s="22">
        <f t="shared" si="31"/>
        <v>360000</v>
      </c>
      <c r="N383" s="23">
        <v>360000</v>
      </c>
      <c r="O383" s="23">
        <v>0</v>
      </c>
      <c r="P383" s="24">
        <f t="shared" si="32"/>
        <v>-90000</v>
      </c>
      <c r="Q383" s="25">
        <v>0</v>
      </c>
      <c r="R383" s="26">
        <v>270000</v>
      </c>
      <c r="S383" s="91">
        <f t="shared" si="33"/>
        <v>0</v>
      </c>
      <c r="T383" s="91">
        <f t="shared" si="34"/>
        <v>0</v>
      </c>
      <c r="U383" s="27" t="s">
        <v>56</v>
      </c>
      <c r="V383" s="19" t="s">
        <v>51</v>
      </c>
      <c r="W383" s="20">
        <v>45809</v>
      </c>
      <c r="X383" s="22" t="s">
        <v>251</v>
      </c>
      <c r="Y383" s="19" t="s">
        <v>52</v>
      </c>
      <c r="Z383" s="19" t="s">
        <v>52</v>
      </c>
      <c r="AA383" s="19" t="s">
        <v>52</v>
      </c>
      <c r="AB383" s="28"/>
    </row>
    <row r="384" spans="1:28" s="29" customFormat="1" ht="15" customHeight="1" x14ac:dyDescent="0.25">
      <c r="A384" s="14">
        <v>3</v>
      </c>
      <c r="B384" s="15">
        <v>45948</v>
      </c>
      <c r="C384" s="15">
        <f t="shared" si="30"/>
        <v>45956</v>
      </c>
      <c r="D384" s="14">
        <v>13333</v>
      </c>
      <c r="E384" s="16" t="s">
        <v>740</v>
      </c>
      <c r="F384" s="17" t="s">
        <v>317</v>
      </c>
      <c r="G384" s="17" t="s">
        <v>132</v>
      </c>
      <c r="H384" s="18" t="s">
        <v>133</v>
      </c>
      <c r="I384" s="19" t="s">
        <v>198</v>
      </c>
      <c r="J384" s="20">
        <v>45866</v>
      </c>
      <c r="K384" s="20">
        <v>45884</v>
      </c>
      <c r="L384" s="21">
        <v>2000000</v>
      </c>
      <c r="M384" s="22">
        <f t="shared" si="31"/>
        <v>1984000</v>
      </c>
      <c r="N384" s="23">
        <v>1984000</v>
      </c>
      <c r="O384" s="23">
        <v>0</v>
      </c>
      <c r="P384" s="24">
        <f t="shared" si="32"/>
        <v>16000</v>
      </c>
      <c r="Q384" s="25">
        <v>0</v>
      </c>
      <c r="R384" s="26">
        <v>128000</v>
      </c>
      <c r="S384" s="91">
        <f t="shared" si="33"/>
        <v>0.125</v>
      </c>
      <c r="T384" s="91">
        <f t="shared" si="34"/>
        <v>0</v>
      </c>
      <c r="U384" s="27" t="s">
        <v>56</v>
      </c>
      <c r="V384" s="19" t="s">
        <v>51</v>
      </c>
      <c r="W384" s="20">
        <v>45903</v>
      </c>
      <c r="X384" s="22" t="s">
        <v>251</v>
      </c>
      <c r="Y384" s="19" t="s">
        <v>52</v>
      </c>
      <c r="Z384" s="19" t="s">
        <v>52</v>
      </c>
      <c r="AA384" s="19" t="s">
        <v>52</v>
      </c>
      <c r="AB384" s="28"/>
    </row>
    <row r="385" spans="1:28" s="29" customFormat="1" ht="15" customHeight="1" x14ac:dyDescent="0.25">
      <c r="A385" s="14">
        <v>4</v>
      </c>
      <c r="B385" s="15">
        <v>45946</v>
      </c>
      <c r="C385" s="15">
        <f t="shared" si="30"/>
        <v>45954</v>
      </c>
      <c r="D385" s="14">
        <v>13406</v>
      </c>
      <c r="E385" s="16" t="s">
        <v>324</v>
      </c>
      <c r="F385" s="17" t="s">
        <v>325</v>
      </c>
      <c r="G385" s="17" t="s">
        <v>132</v>
      </c>
      <c r="H385" s="18" t="s">
        <v>162</v>
      </c>
      <c r="I385" s="19" t="s">
        <v>198</v>
      </c>
      <c r="J385" s="20">
        <v>45884</v>
      </c>
      <c r="K385" s="20" t="s">
        <v>65</v>
      </c>
      <c r="L385" s="21">
        <v>200000</v>
      </c>
      <c r="M385" s="22">
        <f t="shared" si="31"/>
        <v>207000</v>
      </c>
      <c r="N385" s="23">
        <v>207000</v>
      </c>
      <c r="O385" s="23">
        <v>0</v>
      </c>
      <c r="P385" s="24">
        <f t="shared" si="32"/>
        <v>-7000</v>
      </c>
      <c r="Q385" s="25">
        <v>0</v>
      </c>
      <c r="R385" s="26">
        <v>216000</v>
      </c>
      <c r="S385" s="91">
        <f t="shared" si="33"/>
        <v>0</v>
      </c>
      <c r="T385" s="91">
        <f t="shared" si="34"/>
        <v>0</v>
      </c>
      <c r="U385" s="27" t="s">
        <v>56</v>
      </c>
      <c r="V385" s="19" t="s">
        <v>51</v>
      </c>
      <c r="W385" s="20">
        <v>45938</v>
      </c>
      <c r="X385" s="22" t="s">
        <v>251</v>
      </c>
      <c r="Y385" s="19" t="s">
        <v>52</v>
      </c>
      <c r="Z385" s="19" t="s">
        <v>52</v>
      </c>
      <c r="AA385" s="19" t="s">
        <v>52</v>
      </c>
      <c r="AB385" s="28"/>
    </row>
    <row r="386" spans="1:28" s="29" customFormat="1" ht="15" customHeight="1" x14ac:dyDescent="0.25">
      <c r="A386" s="14">
        <v>5</v>
      </c>
      <c r="B386" s="15">
        <v>45948</v>
      </c>
      <c r="C386" s="15">
        <f t="shared" si="30"/>
        <v>45956</v>
      </c>
      <c r="D386" s="14">
        <v>13466</v>
      </c>
      <c r="E386" s="16" t="s">
        <v>355</v>
      </c>
      <c r="F386" s="17" t="s">
        <v>356</v>
      </c>
      <c r="G386" s="17" t="s">
        <v>132</v>
      </c>
      <c r="H386" s="18" t="s">
        <v>78</v>
      </c>
      <c r="I386" s="19" t="s">
        <v>79</v>
      </c>
      <c r="J386" s="20">
        <v>45891</v>
      </c>
      <c r="K386" s="20">
        <v>45925</v>
      </c>
      <c r="L386" s="21">
        <v>200000</v>
      </c>
      <c r="M386" s="22">
        <f t="shared" si="31"/>
        <v>223830</v>
      </c>
      <c r="N386" s="23">
        <v>223830</v>
      </c>
      <c r="O386" s="23">
        <v>0</v>
      </c>
      <c r="P386" s="24">
        <f t="shared" si="32"/>
        <v>-23830</v>
      </c>
      <c r="Q386" s="25">
        <v>0</v>
      </c>
      <c r="R386" s="26">
        <v>232443</v>
      </c>
      <c r="S386" s="91">
        <f t="shared" si="33"/>
        <v>0</v>
      </c>
      <c r="T386" s="91">
        <f t="shared" si="34"/>
        <v>0</v>
      </c>
      <c r="U386" s="27" t="s">
        <v>56</v>
      </c>
      <c r="V386" s="19" t="s">
        <v>51</v>
      </c>
      <c r="W386" s="20">
        <v>45945</v>
      </c>
      <c r="X386" s="22" t="s">
        <v>251</v>
      </c>
      <c r="Y386" s="19" t="s">
        <v>52</v>
      </c>
      <c r="Z386" s="19" t="s">
        <v>52</v>
      </c>
      <c r="AA386" s="19" t="s">
        <v>52</v>
      </c>
      <c r="AB386" s="28"/>
    </row>
    <row r="387" spans="1:28" s="29" customFormat="1" ht="15" customHeight="1" x14ac:dyDescent="0.25">
      <c r="A387" s="14">
        <v>7</v>
      </c>
      <c r="B387" s="15">
        <v>45948</v>
      </c>
      <c r="C387" s="15">
        <f t="shared" si="30"/>
        <v>45956</v>
      </c>
      <c r="D387" s="14">
        <v>13489</v>
      </c>
      <c r="E387" s="16" t="s">
        <v>134</v>
      </c>
      <c r="F387" s="17" t="s">
        <v>318</v>
      </c>
      <c r="G387" s="17" t="s">
        <v>132</v>
      </c>
      <c r="H387" s="18" t="s">
        <v>54</v>
      </c>
      <c r="I387" s="19" t="s">
        <v>135</v>
      </c>
      <c r="J387" s="20">
        <v>45896</v>
      </c>
      <c r="K387" s="20">
        <v>45943</v>
      </c>
      <c r="L387" s="21">
        <v>120000</v>
      </c>
      <c r="M387" s="22">
        <f t="shared" si="31"/>
        <v>110160</v>
      </c>
      <c r="N387" s="23">
        <v>110160</v>
      </c>
      <c r="O387" s="23">
        <v>0</v>
      </c>
      <c r="P387" s="24">
        <f t="shared" si="32"/>
        <v>9840</v>
      </c>
      <c r="Q387" s="25">
        <v>0</v>
      </c>
      <c r="R387" s="26">
        <v>69948</v>
      </c>
      <c r="S387" s="91">
        <f t="shared" si="33"/>
        <v>0.14067593069137074</v>
      </c>
      <c r="T387" s="91">
        <f t="shared" si="34"/>
        <v>0</v>
      </c>
      <c r="U387" s="27" t="s">
        <v>56</v>
      </c>
      <c r="V387" s="19" t="s">
        <v>51</v>
      </c>
      <c r="W387" s="20">
        <v>45945</v>
      </c>
      <c r="X387" s="22" t="s">
        <v>251</v>
      </c>
      <c r="Y387" s="19" t="s">
        <v>52</v>
      </c>
      <c r="Z387" s="19" t="s">
        <v>52</v>
      </c>
      <c r="AA387" s="19" t="s">
        <v>52</v>
      </c>
      <c r="AB387" s="28"/>
    </row>
    <row r="388" spans="1:28" s="29" customFormat="1" ht="15" customHeight="1" x14ac:dyDescent="0.25">
      <c r="A388" s="14">
        <v>8</v>
      </c>
      <c r="B388" s="15">
        <v>45948</v>
      </c>
      <c r="C388" s="15">
        <f t="shared" si="30"/>
        <v>45956</v>
      </c>
      <c r="D388" s="14">
        <v>13487</v>
      </c>
      <c r="E388" s="16" t="s">
        <v>327</v>
      </c>
      <c r="F388" s="17" t="s">
        <v>328</v>
      </c>
      <c r="G388" s="17" t="s">
        <v>132</v>
      </c>
      <c r="H388" s="18" t="s">
        <v>54</v>
      </c>
      <c r="I388" s="19" t="s">
        <v>135</v>
      </c>
      <c r="J388" s="20">
        <v>45896</v>
      </c>
      <c r="K388" s="20">
        <v>45943</v>
      </c>
      <c r="L388" s="21">
        <v>25000</v>
      </c>
      <c r="M388" s="22">
        <f t="shared" si="31"/>
        <v>30050</v>
      </c>
      <c r="N388" s="23">
        <v>30050</v>
      </c>
      <c r="O388" s="23">
        <v>0</v>
      </c>
      <c r="P388" s="24">
        <f t="shared" si="32"/>
        <v>-5050</v>
      </c>
      <c r="Q388" s="25">
        <v>0</v>
      </c>
      <c r="R388" s="26">
        <v>75078</v>
      </c>
      <c r="S388" s="91">
        <f t="shared" si="33"/>
        <v>0</v>
      </c>
      <c r="T388" s="91">
        <f t="shared" si="34"/>
        <v>0</v>
      </c>
      <c r="U388" s="27" t="s">
        <v>56</v>
      </c>
      <c r="V388" s="19" t="s">
        <v>51</v>
      </c>
      <c r="W388" s="20">
        <v>45945</v>
      </c>
      <c r="X388" s="22" t="s">
        <v>251</v>
      </c>
      <c r="Y388" s="19" t="s">
        <v>52</v>
      </c>
      <c r="Z388" s="19" t="s">
        <v>52</v>
      </c>
      <c r="AA388" s="19" t="s">
        <v>52</v>
      </c>
      <c r="AB388" s="28"/>
    </row>
    <row r="389" spans="1:28" s="29" customFormat="1" ht="15" customHeight="1" x14ac:dyDescent="0.25">
      <c r="A389" s="14">
        <v>12</v>
      </c>
      <c r="B389" s="15">
        <v>45948</v>
      </c>
      <c r="C389" s="15">
        <f t="shared" si="30"/>
        <v>45956</v>
      </c>
      <c r="D389" s="14">
        <v>13587</v>
      </c>
      <c r="E389" s="16" t="s">
        <v>220</v>
      </c>
      <c r="F389" s="17" t="s">
        <v>809</v>
      </c>
      <c r="G389" s="17" t="s">
        <v>132</v>
      </c>
      <c r="H389" s="18" t="s">
        <v>775</v>
      </c>
      <c r="I389" s="19" t="s">
        <v>135</v>
      </c>
      <c r="J389" s="20">
        <v>45911</v>
      </c>
      <c r="K389" s="20">
        <v>45959</v>
      </c>
      <c r="L389" s="21">
        <v>205000</v>
      </c>
      <c r="M389" s="22">
        <f t="shared" si="31"/>
        <v>247000</v>
      </c>
      <c r="N389" s="23">
        <v>247000</v>
      </c>
      <c r="O389" s="23">
        <v>0</v>
      </c>
      <c r="P389" s="24">
        <f t="shared" si="32"/>
        <v>-42000</v>
      </c>
      <c r="Q389" s="25">
        <v>0</v>
      </c>
      <c r="R389" s="26">
        <v>117000</v>
      </c>
      <c r="S389" s="91">
        <f t="shared" si="33"/>
        <v>0</v>
      </c>
      <c r="T389" s="91">
        <f t="shared" si="34"/>
        <v>0</v>
      </c>
      <c r="U389" s="27" t="s">
        <v>56</v>
      </c>
      <c r="V389" s="19" t="s">
        <v>51</v>
      </c>
      <c r="W389" s="20">
        <v>45948</v>
      </c>
      <c r="X389" s="22" t="s">
        <v>251</v>
      </c>
      <c r="Y389" s="19" t="s">
        <v>52</v>
      </c>
      <c r="Z389" s="19" t="s">
        <v>52</v>
      </c>
      <c r="AA389" s="19" t="s">
        <v>52</v>
      </c>
      <c r="AB389" s="28"/>
    </row>
    <row r="390" spans="1:28" s="29" customFormat="1" ht="15" customHeight="1" x14ac:dyDescent="0.25">
      <c r="A390" s="14">
        <v>14</v>
      </c>
      <c r="B390" s="15">
        <v>45948</v>
      </c>
      <c r="C390" s="15">
        <f t="shared" si="30"/>
        <v>45956</v>
      </c>
      <c r="D390" s="14">
        <v>13590</v>
      </c>
      <c r="E390" s="16" t="s">
        <v>245</v>
      </c>
      <c r="F390" s="17" t="s">
        <v>246</v>
      </c>
      <c r="G390" s="17" t="s">
        <v>132</v>
      </c>
      <c r="H390" s="18" t="s">
        <v>775</v>
      </c>
      <c r="I390" s="19" t="s">
        <v>135</v>
      </c>
      <c r="J390" s="20">
        <v>45911</v>
      </c>
      <c r="K390" s="20">
        <v>45959</v>
      </c>
      <c r="L390" s="21">
        <v>30000</v>
      </c>
      <c r="M390" s="22">
        <f t="shared" si="31"/>
        <v>28586</v>
      </c>
      <c r="N390" s="23">
        <v>28586</v>
      </c>
      <c r="O390" s="23">
        <v>0</v>
      </c>
      <c r="P390" s="24">
        <f t="shared" si="32"/>
        <v>1414</v>
      </c>
      <c r="Q390" s="25">
        <v>0</v>
      </c>
      <c r="R390" s="26">
        <v>53442</v>
      </c>
      <c r="S390" s="91">
        <f t="shared" si="33"/>
        <v>2.6458590621608474E-2</v>
      </c>
      <c r="T390" s="91">
        <f t="shared" si="34"/>
        <v>0</v>
      </c>
      <c r="U390" s="27" t="s">
        <v>56</v>
      </c>
      <c r="V390" s="19" t="s">
        <v>51</v>
      </c>
      <c r="W390" s="20">
        <v>45948</v>
      </c>
      <c r="X390" s="22" t="s">
        <v>251</v>
      </c>
      <c r="Y390" s="19" t="s">
        <v>52</v>
      </c>
      <c r="Z390" s="19" t="s">
        <v>52</v>
      </c>
      <c r="AA390" s="19" t="s">
        <v>52</v>
      </c>
      <c r="AB390" s="28"/>
    </row>
    <row r="391" spans="1:28" s="29" customFormat="1" ht="15" customHeight="1" x14ac:dyDescent="0.25">
      <c r="A391" s="14">
        <v>17</v>
      </c>
      <c r="B391" s="15">
        <v>45948</v>
      </c>
      <c r="C391" s="15">
        <f t="shared" si="30"/>
        <v>45956</v>
      </c>
      <c r="D391" s="14">
        <v>13593</v>
      </c>
      <c r="E391" s="16" t="s">
        <v>272</v>
      </c>
      <c r="F391" s="17" t="s">
        <v>273</v>
      </c>
      <c r="G391" s="17" t="s">
        <v>132</v>
      </c>
      <c r="H391" s="18" t="s">
        <v>775</v>
      </c>
      <c r="I391" s="19" t="s">
        <v>135</v>
      </c>
      <c r="J391" s="20">
        <v>45911</v>
      </c>
      <c r="K391" s="20">
        <v>45959</v>
      </c>
      <c r="L391" s="21">
        <v>30000</v>
      </c>
      <c r="M391" s="22">
        <f t="shared" si="31"/>
        <v>35346</v>
      </c>
      <c r="N391" s="23">
        <v>35346</v>
      </c>
      <c r="O391" s="23">
        <v>0</v>
      </c>
      <c r="P391" s="24">
        <f t="shared" si="32"/>
        <v>-5346</v>
      </c>
      <c r="Q391" s="25">
        <v>0</v>
      </c>
      <c r="R391" s="26">
        <v>175500</v>
      </c>
      <c r="S391" s="91">
        <f t="shared" si="33"/>
        <v>0</v>
      </c>
      <c r="T391" s="91">
        <f t="shared" si="34"/>
        <v>0</v>
      </c>
      <c r="U391" s="27" t="s">
        <v>56</v>
      </c>
      <c r="V391" s="19" t="s">
        <v>51</v>
      </c>
      <c r="W391" s="20">
        <v>45948</v>
      </c>
      <c r="X391" s="22" t="s">
        <v>251</v>
      </c>
      <c r="Y391" s="19" t="s">
        <v>52</v>
      </c>
      <c r="Z391" s="19" t="s">
        <v>52</v>
      </c>
      <c r="AA391" s="19" t="s">
        <v>52</v>
      </c>
      <c r="AB391" s="28"/>
    </row>
    <row r="392" spans="1:28" s="29" customFormat="1" ht="15" customHeight="1" x14ac:dyDescent="0.25">
      <c r="A392" s="14">
        <v>18</v>
      </c>
      <c r="B392" s="15">
        <v>45948</v>
      </c>
      <c r="C392" s="15">
        <f t="shared" si="30"/>
        <v>45956</v>
      </c>
      <c r="D392" s="14">
        <v>13594</v>
      </c>
      <c r="E392" s="16" t="s">
        <v>143</v>
      </c>
      <c r="F392" s="17" t="s">
        <v>144</v>
      </c>
      <c r="G392" s="17" t="s">
        <v>132</v>
      </c>
      <c r="H392" s="18" t="s">
        <v>775</v>
      </c>
      <c r="I392" s="19" t="s">
        <v>135</v>
      </c>
      <c r="J392" s="20">
        <v>45911</v>
      </c>
      <c r="K392" s="20">
        <v>45959</v>
      </c>
      <c r="L392" s="21">
        <v>100000</v>
      </c>
      <c r="M392" s="22">
        <f t="shared" si="31"/>
        <v>110010</v>
      </c>
      <c r="N392" s="23">
        <v>110010</v>
      </c>
      <c r="O392" s="23">
        <v>0</v>
      </c>
      <c r="P392" s="24">
        <f t="shared" si="32"/>
        <v>-10010</v>
      </c>
      <c r="Q392" s="25">
        <v>0</v>
      </c>
      <c r="R392" s="26">
        <v>175500</v>
      </c>
      <c r="S392" s="91">
        <f t="shared" si="33"/>
        <v>0</v>
      </c>
      <c r="T392" s="91">
        <f t="shared" si="34"/>
        <v>0</v>
      </c>
      <c r="U392" s="27" t="s">
        <v>56</v>
      </c>
      <c r="V392" s="19" t="s">
        <v>51</v>
      </c>
      <c r="W392" s="20">
        <v>45948</v>
      </c>
      <c r="X392" s="22" t="s">
        <v>251</v>
      </c>
      <c r="Y392" s="19" t="s">
        <v>52</v>
      </c>
      <c r="Z392" s="19" t="s">
        <v>52</v>
      </c>
      <c r="AA392" s="19" t="s">
        <v>52</v>
      </c>
      <c r="AB392" s="28"/>
    </row>
    <row r="393" spans="1:28" s="29" customFormat="1" ht="15" customHeight="1" x14ac:dyDescent="0.25">
      <c r="A393" s="14">
        <v>2</v>
      </c>
      <c r="B393" s="15">
        <v>45954</v>
      </c>
      <c r="C393" s="15">
        <f t="shared" si="30"/>
        <v>45962</v>
      </c>
      <c r="D393" s="14">
        <v>13651</v>
      </c>
      <c r="E393" s="16" t="s">
        <v>663</v>
      </c>
      <c r="F393" s="40" t="s">
        <v>664</v>
      </c>
      <c r="G393" s="17" t="s">
        <v>75</v>
      </c>
      <c r="H393" s="18" t="s">
        <v>133</v>
      </c>
      <c r="I393" s="19" t="s">
        <v>198</v>
      </c>
      <c r="J393" s="20">
        <v>45925</v>
      </c>
      <c r="K393" s="20">
        <v>45957</v>
      </c>
      <c r="L393" s="21">
        <v>130000</v>
      </c>
      <c r="M393" s="22">
        <f t="shared" si="31"/>
        <v>132000</v>
      </c>
      <c r="N393" s="23">
        <v>132000</v>
      </c>
      <c r="O393" s="23">
        <v>0</v>
      </c>
      <c r="P393" s="24">
        <f t="shared" si="32"/>
        <v>-2000</v>
      </c>
      <c r="Q393" s="25">
        <v>0</v>
      </c>
      <c r="R393" s="26">
        <v>150000</v>
      </c>
      <c r="S393" s="91">
        <f t="shared" si="33"/>
        <v>0</v>
      </c>
      <c r="T393" s="91">
        <f t="shared" si="34"/>
        <v>0</v>
      </c>
      <c r="U393" s="27" t="s">
        <v>56</v>
      </c>
      <c r="V393" s="19" t="s">
        <v>51</v>
      </c>
      <c r="W393" s="20">
        <v>45945</v>
      </c>
      <c r="X393" s="22" t="s">
        <v>251</v>
      </c>
      <c r="Y393" s="19" t="s">
        <v>52</v>
      </c>
      <c r="Z393" s="19" t="s">
        <v>52</v>
      </c>
      <c r="AA393" s="19" t="s">
        <v>52</v>
      </c>
      <c r="AB393" s="28"/>
    </row>
    <row r="394" spans="1:28" s="29" customFormat="1" ht="15" customHeight="1" x14ac:dyDescent="0.25">
      <c r="A394" s="14">
        <v>3</v>
      </c>
      <c r="B394" s="15">
        <v>45958</v>
      </c>
      <c r="C394" s="15">
        <f t="shared" si="30"/>
        <v>45966</v>
      </c>
      <c r="D394" s="14">
        <v>13700</v>
      </c>
      <c r="E394" s="16" t="s">
        <v>808</v>
      </c>
      <c r="F394" s="40" t="s">
        <v>657</v>
      </c>
      <c r="G394" s="17" t="s">
        <v>75</v>
      </c>
      <c r="H394" s="18" t="s">
        <v>57</v>
      </c>
      <c r="I394" s="19" t="s">
        <v>94</v>
      </c>
      <c r="J394" s="20">
        <v>45933</v>
      </c>
      <c r="K394" s="20">
        <v>45960</v>
      </c>
      <c r="L394" s="21">
        <v>1000000</v>
      </c>
      <c r="M394" s="22">
        <f t="shared" si="31"/>
        <v>1145000</v>
      </c>
      <c r="N394" s="23">
        <v>1145000</v>
      </c>
      <c r="O394" s="23">
        <v>0</v>
      </c>
      <c r="P394" s="24">
        <f t="shared" si="32"/>
        <v>-145000</v>
      </c>
      <c r="Q394" s="25">
        <v>0</v>
      </c>
      <c r="R394" s="26">
        <v>100000</v>
      </c>
      <c r="S394" s="91">
        <f t="shared" si="33"/>
        <v>0</v>
      </c>
      <c r="T394" s="91">
        <f t="shared" si="34"/>
        <v>0</v>
      </c>
      <c r="U394" s="27" t="s">
        <v>50</v>
      </c>
      <c r="V394" s="19" t="s">
        <v>51</v>
      </c>
      <c r="W394" s="20">
        <v>45947</v>
      </c>
      <c r="X394" s="22" t="s">
        <v>251</v>
      </c>
      <c r="Y394" s="19" t="s">
        <v>52</v>
      </c>
      <c r="Z394" s="19" t="s">
        <v>52</v>
      </c>
      <c r="AA394" s="19" t="s">
        <v>52</v>
      </c>
      <c r="AB394" s="28"/>
    </row>
    <row r="395" spans="1:28" s="29" customFormat="1" ht="15" customHeight="1" x14ac:dyDescent="0.25">
      <c r="A395" s="14">
        <v>24</v>
      </c>
      <c r="B395" s="15">
        <v>45958</v>
      </c>
      <c r="C395" s="15">
        <f t="shared" si="30"/>
        <v>45966</v>
      </c>
      <c r="D395" s="14">
        <v>13694</v>
      </c>
      <c r="E395" s="16" t="s">
        <v>892</v>
      </c>
      <c r="F395" s="17" t="s">
        <v>893</v>
      </c>
      <c r="G395" s="17" t="s">
        <v>102</v>
      </c>
      <c r="H395" s="18" t="s">
        <v>57</v>
      </c>
      <c r="I395" s="19" t="s">
        <v>64</v>
      </c>
      <c r="J395" s="20">
        <v>45933</v>
      </c>
      <c r="K395" s="20">
        <v>45964</v>
      </c>
      <c r="L395" s="21">
        <v>1000000</v>
      </c>
      <c r="M395" s="22">
        <f t="shared" si="31"/>
        <v>1036000</v>
      </c>
      <c r="N395" s="23">
        <v>1036000</v>
      </c>
      <c r="O395" s="23">
        <v>0</v>
      </c>
      <c r="P395" s="24">
        <f t="shared" si="32"/>
        <v>-36000</v>
      </c>
      <c r="Q395" s="25">
        <v>0</v>
      </c>
      <c r="R395" s="26">
        <v>50000</v>
      </c>
      <c r="S395" s="91">
        <f t="shared" si="33"/>
        <v>0</v>
      </c>
      <c r="T395" s="91">
        <f t="shared" si="34"/>
        <v>0</v>
      </c>
      <c r="U395" s="27" t="s">
        <v>50</v>
      </c>
      <c r="V395" s="19" t="s">
        <v>51</v>
      </c>
      <c r="W395" s="20">
        <v>45945</v>
      </c>
      <c r="X395" s="22" t="s">
        <v>251</v>
      </c>
      <c r="Y395" s="19" t="s">
        <v>52</v>
      </c>
      <c r="Z395" s="19" t="s">
        <v>52</v>
      </c>
      <c r="AA395" s="19" t="s">
        <v>52</v>
      </c>
      <c r="AB395" s="28"/>
    </row>
    <row r="396" spans="1:28" s="29" customFormat="1" ht="15" customHeight="1" x14ac:dyDescent="0.25">
      <c r="A396" s="14">
        <v>25</v>
      </c>
      <c r="B396" s="15">
        <v>45953</v>
      </c>
      <c r="C396" s="15">
        <f t="shared" si="30"/>
        <v>45961</v>
      </c>
      <c r="D396" s="14">
        <v>13691</v>
      </c>
      <c r="E396" s="16" t="s">
        <v>891</v>
      </c>
      <c r="F396" s="17" t="s">
        <v>285</v>
      </c>
      <c r="G396" s="17" t="s">
        <v>102</v>
      </c>
      <c r="H396" s="18" t="s">
        <v>542</v>
      </c>
      <c r="I396" s="19" t="s">
        <v>319</v>
      </c>
      <c r="J396" s="20">
        <v>45932</v>
      </c>
      <c r="K396" s="20">
        <v>45961</v>
      </c>
      <c r="L396" s="21">
        <v>150000</v>
      </c>
      <c r="M396" s="22">
        <f t="shared" si="31"/>
        <v>162000</v>
      </c>
      <c r="N396" s="23">
        <v>162000</v>
      </c>
      <c r="O396" s="23">
        <v>0</v>
      </c>
      <c r="P396" s="24">
        <f t="shared" si="32"/>
        <v>-12000</v>
      </c>
      <c r="Q396" s="25">
        <v>0</v>
      </c>
      <c r="R396" s="26">
        <v>50000</v>
      </c>
      <c r="S396" s="91">
        <f t="shared" si="33"/>
        <v>0</v>
      </c>
      <c r="T396" s="91">
        <f t="shared" si="34"/>
        <v>0</v>
      </c>
      <c r="U396" s="27" t="s">
        <v>50</v>
      </c>
      <c r="V396" s="19" t="s">
        <v>51</v>
      </c>
      <c r="W396" s="20">
        <v>45945</v>
      </c>
      <c r="X396" s="22" t="s">
        <v>251</v>
      </c>
      <c r="Y396" s="19" t="s">
        <v>52</v>
      </c>
      <c r="Z396" s="19" t="s">
        <v>52</v>
      </c>
      <c r="AA396" s="19" t="s">
        <v>52</v>
      </c>
      <c r="AB396" s="28"/>
    </row>
    <row r="397" spans="1:28" s="29" customFormat="1" ht="15" customHeight="1" x14ac:dyDescent="0.25">
      <c r="A397" s="14">
        <v>26</v>
      </c>
      <c r="B397" s="15">
        <v>45958</v>
      </c>
      <c r="C397" s="15">
        <f t="shared" si="30"/>
        <v>45966</v>
      </c>
      <c r="D397" s="14">
        <v>13703</v>
      </c>
      <c r="E397" s="16" t="s">
        <v>218</v>
      </c>
      <c r="F397" s="17" t="s">
        <v>219</v>
      </c>
      <c r="G397" s="17" t="s">
        <v>102</v>
      </c>
      <c r="H397" s="18" t="s">
        <v>542</v>
      </c>
      <c r="I397" s="19" t="s">
        <v>104</v>
      </c>
      <c r="J397" s="20">
        <v>45933</v>
      </c>
      <c r="K397" s="20">
        <v>45964</v>
      </c>
      <c r="L397" s="21">
        <v>200000</v>
      </c>
      <c r="M397" s="22">
        <f t="shared" si="31"/>
        <v>171000</v>
      </c>
      <c r="N397" s="23">
        <v>171000</v>
      </c>
      <c r="O397" s="23">
        <v>0</v>
      </c>
      <c r="P397" s="24">
        <f t="shared" si="32"/>
        <v>29000</v>
      </c>
      <c r="Q397" s="25">
        <v>0</v>
      </c>
      <c r="R397" s="26">
        <v>50000</v>
      </c>
      <c r="S397" s="91">
        <f t="shared" si="33"/>
        <v>0.57999999999999996</v>
      </c>
      <c r="T397" s="91">
        <f t="shared" si="34"/>
        <v>0</v>
      </c>
      <c r="U397" s="27" t="s">
        <v>50</v>
      </c>
      <c r="V397" s="19" t="s">
        <v>51</v>
      </c>
      <c r="W397" s="20">
        <v>45945</v>
      </c>
      <c r="X397" s="22" t="s">
        <v>251</v>
      </c>
      <c r="Y397" s="19" t="s">
        <v>52</v>
      </c>
      <c r="Z397" s="19" t="s">
        <v>52</v>
      </c>
      <c r="AA397" s="19" t="s">
        <v>52</v>
      </c>
      <c r="AB397" s="28"/>
    </row>
    <row r="398" spans="1:28" s="29" customFormat="1" ht="15" customHeight="1" x14ac:dyDescent="0.25">
      <c r="A398" s="14">
        <v>27</v>
      </c>
      <c r="B398" s="15">
        <v>45958</v>
      </c>
      <c r="C398" s="15">
        <f t="shared" si="30"/>
        <v>45966</v>
      </c>
      <c r="D398" s="14">
        <v>13692</v>
      </c>
      <c r="E398" s="16" t="s">
        <v>244</v>
      </c>
      <c r="F398" s="17" t="s">
        <v>243</v>
      </c>
      <c r="G398" s="17" t="s">
        <v>102</v>
      </c>
      <c r="H398" s="18" t="s">
        <v>784</v>
      </c>
      <c r="I398" s="19" t="s">
        <v>63</v>
      </c>
      <c r="J398" s="20">
        <v>45932</v>
      </c>
      <c r="K398" s="20">
        <v>45967</v>
      </c>
      <c r="L398" s="21">
        <v>484000</v>
      </c>
      <c r="M398" s="22">
        <f t="shared" si="31"/>
        <v>514000</v>
      </c>
      <c r="N398" s="23">
        <v>514000</v>
      </c>
      <c r="O398" s="23">
        <v>0</v>
      </c>
      <c r="P398" s="24">
        <f t="shared" si="32"/>
        <v>-30000</v>
      </c>
      <c r="Q398" s="25">
        <v>0</v>
      </c>
      <c r="R398" s="26">
        <v>84000</v>
      </c>
      <c r="S398" s="91">
        <f t="shared" si="33"/>
        <v>0</v>
      </c>
      <c r="T398" s="91">
        <f t="shared" si="34"/>
        <v>0</v>
      </c>
      <c r="U398" s="27" t="s">
        <v>50</v>
      </c>
      <c r="V398" s="19" t="s">
        <v>51</v>
      </c>
      <c r="W398" s="20">
        <v>45945</v>
      </c>
      <c r="X398" s="22" t="s">
        <v>251</v>
      </c>
      <c r="Y398" s="19" t="s">
        <v>52</v>
      </c>
      <c r="Z398" s="19" t="s">
        <v>52</v>
      </c>
      <c r="AA398" s="19" t="s">
        <v>52</v>
      </c>
      <c r="AB398" s="28"/>
    </row>
    <row r="399" spans="1:28" s="29" customFormat="1" ht="15" customHeight="1" x14ac:dyDescent="0.25">
      <c r="A399" s="14">
        <v>41</v>
      </c>
      <c r="B399" s="15">
        <v>45953</v>
      </c>
      <c r="C399" s="15">
        <f t="shared" si="30"/>
        <v>45961</v>
      </c>
      <c r="D399" s="14">
        <v>13673</v>
      </c>
      <c r="E399" s="16" t="s">
        <v>109</v>
      </c>
      <c r="F399" s="17" t="s">
        <v>110</v>
      </c>
      <c r="G399" s="17" t="s">
        <v>102</v>
      </c>
      <c r="H399" s="18" t="s">
        <v>57</v>
      </c>
      <c r="I399" s="19" t="s">
        <v>94</v>
      </c>
      <c r="J399" s="20">
        <v>45925</v>
      </c>
      <c r="K399" s="20">
        <v>45980</v>
      </c>
      <c r="L399" s="21">
        <v>500000</v>
      </c>
      <c r="M399" s="22">
        <f t="shared" si="31"/>
        <v>550000</v>
      </c>
      <c r="N399" s="23">
        <v>550000</v>
      </c>
      <c r="O399" s="23">
        <v>0</v>
      </c>
      <c r="P399" s="24">
        <f t="shared" si="32"/>
        <v>-50000</v>
      </c>
      <c r="Q399" s="25">
        <v>0</v>
      </c>
      <c r="R399" s="26">
        <v>50000</v>
      </c>
      <c r="S399" s="91">
        <f t="shared" si="33"/>
        <v>0</v>
      </c>
      <c r="T399" s="91">
        <f t="shared" si="34"/>
        <v>0</v>
      </c>
      <c r="U399" s="27" t="s">
        <v>50</v>
      </c>
      <c r="V399" s="19" t="s">
        <v>51</v>
      </c>
      <c r="W399" s="20">
        <v>45947</v>
      </c>
      <c r="X399" s="22" t="s">
        <v>251</v>
      </c>
      <c r="Y399" s="19" t="s">
        <v>52</v>
      </c>
      <c r="Z399" s="19" t="s">
        <v>52</v>
      </c>
      <c r="AA399" s="19" t="s">
        <v>52</v>
      </c>
      <c r="AB399" s="28"/>
    </row>
    <row r="400" spans="1:28" s="29" customFormat="1" ht="15" customHeight="1" x14ac:dyDescent="0.25">
      <c r="A400" s="14">
        <v>3</v>
      </c>
      <c r="B400" s="15">
        <v>45954</v>
      </c>
      <c r="C400" s="15">
        <f t="shared" si="30"/>
        <v>45962</v>
      </c>
      <c r="D400" s="14">
        <v>13512</v>
      </c>
      <c r="E400" s="16" t="s">
        <v>145</v>
      </c>
      <c r="F400" s="17" t="s">
        <v>146</v>
      </c>
      <c r="G400" s="17" t="s">
        <v>132</v>
      </c>
      <c r="H400" s="18" t="s">
        <v>54</v>
      </c>
      <c r="I400" s="19" t="s">
        <v>135</v>
      </c>
      <c r="J400" s="20">
        <v>45898</v>
      </c>
      <c r="K400" s="20">
        <v>45943</v>
      </c>
      <c r="L400" s="21">
        <v>100000</v>
      </c>
      <c r="M400" s="22">
        <f t="shared" si="31"/>
        <v>103850</v>
      </c>
      <c r="N400" s="23">
        <v>103850</v>
      </c>
      <c r="O400" s="23">
        <v>0</v>
      </c>
      <c r="P400" s="24">
        <f t="shared" si="32"/>
        <v>-3850</v>
      </c>
      <c r="Q400" s="25">
        <v>0</v>
      </c>
      <c r="R400" s="26">
        <v>50868</v>
      </c>
      <c r="S400" s="91">
        <f t="shared" si="33"/>
        <v>0</v>
      </c>
      <c r="T400" s="91">
        <f t="shared" si="34"/>
        <v>0</v>
      </c>
      <c r="U400" s="27" t="s">
        <v>56</v>
      </c>
      <c r="V400" s="19" t="s">
        <v>51</v>
      </c>
      <c r="W400" s="20">
        <v>45945</v>
      </c>
      <c r="X400" s="22" t="s">
        <v>251</v>
      </c>
      <c r="Y400" s="19" t="s">
        <v>52</v>
      </c>
      <c r="Z400" s="19" t="s">
        <v>52</v>
      </c>
      <c r="AA400" s="19" t="s">
        <v>52</v>
      </c>
      <c r="AB400" s="28"/>
    </row>
    <row r="401" spans="1:28" s="29" customFormat="1" ht="15" customHeight="1" x14ac:dyDescent="0.25">
      <c r="A401" s="14">
        <v>6</v>
      </c>
      <c r="B401" s="15">
        <v>45954</v>
      </c>
      <c r="C401" s="15">
        <f t="shared" si="30"/>
        <v>45962</v>
      </c>
      <c r="D401" s="14">
        <v>13589</v>
      </c>
      <c r="E401" s="16" t="s">
        <v>810</v>
      </c>
      <c r="F401" s="17" t="s">
        <v>811</v>
      </c>
      <c r="G401" s="17" t="s">
        <v>132</v>
      </c>
      <c r="H401" s="18" t="s">
        <v>775</v>
      </c>
      <c r="I401" s="19" t="s">
        <v>135</v>
      </c>
      <c r="J401" s="20">
        <v>45911</v>
      </c>
      <c r="K401" s="20">
        <v>45959</v>
      </c>
      <c r="L401" s="21">
        <v>30000</v>
      </c>
      <c r="M401" s="22">
        <f t="shared" si="31"/>
        <v>28660</v>
      </c>
      <c r="N401" s="23">
        <v>28660</v>
      </c>
      <c r="O401" s="23">
        <v>0</v>
      </c>
      <c r="P401" s="24">
        <f t="shared" si="32"/>
        <v>1340</v>
      </c>
      <c r="Q401" s="25">
        <v>0</v>
      </c>
      <c r="R401" s="26">
        <v>57330</v>
      </c>
      <c r="S401" s="91">
        <f t="shared" si="33"/>
        <v>2.3373451944880518E-2</v>
      </c>
      <c r="T401" s="91">
        <f t="shared" si="34"/>
        <v>0</v>
      </c>
      <c r="U401" s="27" t="s">
        <v>56</v>
      </c>
      <c r="V401" s="19" t="s">
        <v>51</v>
      </c>
      <c r="W401" s="20">
        <v>45948</v>
      </c>
      <c r="X401" s="22" t="s">
        <v>251</v>
      </c>
      <c r="Y401" s="19" t="s">
        <v>52</v>
      </c>
      <c r="Z401" s="19" t="s">
        <v>52</v>
      </c>
      <c r="AA401" s="19" t="s">
        <v>52</v>
      </c>
      <c r="AB401" s="28"/>
    </row>
    <row r="402" spans="1:28" s="29" customFormat="1" ht="15" customHeight="1" x14ac:dyDescent="0.25">
      <c r="A402" s="14">
        <v>7</v>
      </c>
      <c r="B402" s="15">
        <v>45954</v>
      </c>
      <c r="C402" s="15">
        <f t="shared" si="30"/>
        <v>45962</v>
      </c>
      <c r="D402" s="14">
        <v>13591</v>
      </c>
      <c r="E402" s="16" t="s">
        <v>136</v>
      </c>
      <c r="F402" s="17" t="s">
        <v>479</v>
      </c>
      <c r="G402" s="17" t="s">
        <v>132</v>
      </c>
      <c r="H402" s="18" t="s">
        <v>775</v>
      </c>
      <c r="I402" s="19" t="s">
        <v>135</v>
      </c>
      <c r="J402" s="20">
        <v>45911</v>
      </c>
      <c r="K402" s="20">
        <v>45959</v>
      </c>
      <c r="L402" s="21">
        <v>105000</v>
      </c>
      <c r="M402" s="22">
        <f t="shared" si="31"/>
        <v>112694</v>
      </c>
      <c r="N402" s="23">
        <v>112694</v>
      </c>
      <c r="O402" s="23">
        <v>0</v>
      </c>
      <c r="P402" s="24">
        <f t="shared" si="32"/>
        <v>-7694</v>
      </c>
      <c r="Q402" s="25">
        <v>0</v>
      </c>
      <c r="R402" s="26">
        <v>69948</v>
      </c>
      <c r="S402" s="91">
        <f t="shared" si="33"/>
        <v>0</v>
      </c>
      <c r="T402" s="91">
        <f t="shared" si="34"/>
        <v>0</v>
      </c>
      <c r="U402" s="27" t="s">
        <v>56</v>
      </c>
      <c r="V402" s="19" t="s">
        <v>51</v>
      </c>
      <c r="W402" s="20">
        <v>45948</v>
      </c>
      <c r="X402" s="22" t="s">
        <v>251</v>
      </c>
      <c r="Y402" s="19" t="s">
        <v>52</v>
      </c>
      <c r="Z402" s="19" t="s">
        <v>52</v>
      </c>
      <c r="AA402" s="19" t="s">
        <v>52</v>
      </c>
      <c r="AB402" s="28"/>
    </row>
    <row r="403" spans="1:28" s="29" customFormat="1" ht="15" customHeight="1" x14ac:dyDescent="0.25">
      <c r="A403" s="14">
        <v>3</v>
      </c>
      <c r="B403" s="15">
        <v>45954</v>
      </c>
      <c r="C403" s="15">
        <f t="shared" si="30"/>
        <v>45962</v>
      </c>
      <c r="D403" s="14">
        <v>13652</v>
      </c>
      <c r="E403" s="16" t="s">
        <v>214</v>
      </c>
      <c r="F403" s="17" t="s">
        <v>215</v>
      </c>
      <c r="G403" s="17" t="s">
        <v>47</v>
      </c>
      <c r="H403" s="18" t="s">
        <v>542</v>
      </c>
      <c r="I403" s="19" t="s">
        <v>104</v>
      </c>
      <c r="J403" s="20">
        <v>45923</v>
      </c>
      <c r="K403" s="20">
        <v>45964</v>
      </c>
      <c r="L403" s="21">
        <v>50000</v>
      </c>
      <c r="M403" s="22">
        <f t="shared" si="31"/>
        <v>56000</v>
      </c>
      <c r="N403" s="23">
        <v>56000</v>
      </c>
      <c r="O403" s="23">
        <v>0</v>
      </c>
      <c r="P403" s="24">
        <f t="shared" si="32"/>
        <v>-6000</v>
      </c>
      <c r="Q403" s="25">
        <v>0</v>
      </c>
      <c r="R403" s="26">
        <v>50000</v>
      </c>
      <c r="S403" s="91">
        <f t="shared" si="33"/>
        <v>0</v>
      </c>
      <c r="T403" s="91">
        <f t="shared" si="34"/>
        <v>0</v>
      </c>
      <c r="U403" s="27" t="s">
        <v>50</v>
      </c>
      <c r="V403" s="19" t="s">
        <v>51</v>
      </c>
      <c r="W403" s="20">
        <v>45945</v>
      </c>
      <c r="X403" s="22" t="s">
        <v>251</v>
      </c>
      <c r="Y403" s="19" t="s">
        <v>52</v>
      </c>
      <c r="Z403" s="19" t="s">
        <v>52</v>
      </c>
      <c r="AA403" s="19" t="s">
        <v>52</v>
      </c>
      <c r="AB403" s="42"/>
    </row>
    <row r="404" spans="1:28" s="29" customFormat="1" ht="15" customHeight="1" x14ac:dyDescent="0.25">
      <c r="A404" s="14">
        <v>4</v>
      </c>
      <c r="B404" s="15">
        <v>45966</v>
      </c>
      <c r="C404" s="15">
        <f t="shared" si="30"/>
        <v>45974</v>
      </c>
      <c r="D404" s="14">
        <v>13775</v>
      </c>
      <c r="E404" s="16" t="s">
        <v>919</v>
      </c>
      <c r="F404" s="17" t="s">
        <v>405</v>
      </c>
      <c r="G404" s="17" t="s">
        <v>47</v>
      </c>
      <c r="H404" s="18" t="s">
        <v>57</v>
      </c>
      <c r="I404" s="19" t="s">
        <v>58</v>
      </c>
      <c r="J404" s="20">
        <v>45945</v>
      </c>
      <c r="K404" s="20">
        <v>45973</v>
      </c>
      <c r="L404" s="21">
        <v>300000</v>
      </c>
      <c r="M404" s="22">
        <f t="shared" si="31"/>
        <v>332000</v>
      </c>
      <c r="N404" s="23">
        <v>332000</v>
      </c>
      <c r="O404" s="23">
        <v>0</v>
      </c>
      <c r="P404" s="24">
        <f t="shared" si="32"/>
        <v>-32000</v>
      </c>
      <c r="Q404" s="25">
        <v>0</v>
      </c>
      <c r="R404" s="26">
        <v>100000</v>
      </c>
      <c r="S404" s="91">
        <f t="shared" si="33"/>
        <v>0</v>
      </c>
      <c r="T404" s="91">
        <f t="shared" si="34"/>
        <v>0</v>
      </c>
      <c r="U404" s="27" t="s">
        <v>50</v>
      </c>
      <c r="V404" s="19" t="s">
        <v>51</v>
      </c>
      <c r="W404" s="20">
        <v>45959</v>
      </c>
      <c r="X404" s="22" t="s">
        <v>251</v>
      </c>
      <c r="Y404" s="19" t="s">
        <v>52</v>
      </c>
      <c r="Z404" s="19" t="s">
        <v>52</v>
      </c>
      <c r="AA404" s="19" t="s">
        <v>52</v>
      </c>
      <c r="AB404" s="42"/>
    </row>
    <row r="405" spans="1:28" s="29" customFormat="1" ht="15" customHeight="1" x14ac:dyDescent="0.25">
      <c r="A405" s="14">
        <v>7</v>
      </c>
      <c r="B405" s="15">
        <v>45960</v>
      </c>
      <c r="C405" s="15">
        <f t="shared" si="30"/>
        <v>45968</v>
      </c>
      <c r="D405" s="14">
        <v>12249</v>
      </c>
      <c r="E405" s="16" t="s">
        <v>428</v>
      </c>
      <c r="F405" s="17" t="s">
        <v>429</v>
      </c>
      <c r="G405" s="17" t="s">
        <v>47</v>
      </c>
      <c r="H405" s="18" t="s">
        <v>542</v>
      </c>
      <c r="I405" s="19" t="s">
        <v>70</v>
      </c>
      <c r="J405" s="20">
        <v>45642</v>
      </c>
      <c r="K405" s="20">
        <v>45670</v>
      </c>
      <c r="L405" s="21">
        <v>1000000</v>
      </c>
      <c r="M405" s="22">
        <f t="shared" si="31"/>
        <v>705000</v>
      </c>
      <c r="N405" s="23">
        <v>705000</v>
      </c>
      <c r="O405" s="23">
        <v>0</v>
      </c>
      <c r="P405" s="24">
        <f t="shared" si="32"/>
        <v>295000</v>
      </c>
      <c r="Q405" s="25">
        <v>0</v>
      </c>
      <c r="R405" s="26">
        <v>50000</v>
      </c>
      <c r="S405" s="91">
        <f t="shared" si="33"/>
        <v>5.9</v>
      </c>
      <c r="T405" s="91">
        <f t="shared" si="34"/>
        <v>0</v>
      </c>
      <c r="U405" s="27" t="s">
        <v>50</v>
      </c>
      <c r="V405" s="19" t="s">
        <v>51</v>
      </c>
      <c r="W405" s="20">
        <v>45690</v>
      </c>
      <c r="X405" s="22" t="s">
        <v>251</v>
      </c>
      <c r="Y405" s="19" t="s">
        <v>52</v>
      </c>
      <c r="Z405" s="19" t="s">
        <v>52</v>
      </c>
      <c r="AA405" s="19" t="s">
        <v>52</v>
      </c>
      <c r="AB405" s="42"/>
    </row>
    <row r="406" spans="1:28" s="29" customFormat="1" ht="15" customHeight="1" x14ac:dyDescent="0.25">
      <c r="A406" s="14">
        <v>2</v>
      </c>
      <c r="B406" s="15">
        <v>45967</v>
      </c>
      <c r="C406" s="15">
        <f t="shared" si="30"/>
        <v>45975</v>
      </c>
      <c r="D406" s="14">
        <v>13679</v>
      </c>
      <c r="E406" s="16" t="s">
        <v>462</v>
      </c>
      <c r="F406" s="40" t="s">
        <v>463</v>
      </c>
      <c r="G406" s="17" t="s">
        <v>75</v>
      </c>
      <c r="H406" s="18" t="s">
        <v>542</v>
      </c>
      <c r="I406" s="19" t="s">
        <v>49</v>
      </c>
      <c r="J406" s="20">
        <v>45929</v>
      </c>
      <c r="K406" s="20">
        <v>45967</v>
      </c>
      <c r="L406" s="21">
        <v>150000</v>
      </c>
      <c r="M406" s="22">
        <f t="shared" si="31"/>
        <v>150000</v>
      </c>
      <c r="N406" s="23">
        <v>150000</v>
      </c>
      <c r="O406" s="23">
        <v>0</v>
      </c>
      <c r="P406" s="24">
        <f t="shared" si="32"/>
        <v>0</v>
      </c>
      <c r="Q406" s="25">
        <v>0</v>
      </c>
      <c r="R406" s="26">
        <v>150000</v>
      </c>
      <c r="S406" s="91">
        <f t="shared" si="33"/>
        <v>0</v>
      </c>
      <c r="T406" s="91">
        <f t="shared" si="34"/>
        <v>0</v>
      </c>
      <c r="U406" s="27" t="s">
        <v>50</v>
      </c>
      <c r="V406" s="19" t="s">
        <v>59</v>
      </c>
      <c r="W406" s="20">
        <v>45959</v>
      </c>
      <c r="X406" s="22" t="s">
        <v>251</v>
      </c>
      <c r="Y406" s="19" t="s">
        <v>52</v>
      </c>
      <c r="Z406" s="19" t="s">
        <v>52</v>
      </c>
      <c r="AA406" s="19" t="s">
        <v>52</v>
      </c>
      <c r="AB406" s="28"/>
    </row>
    <row r="407" spans="1:28" s="29" customFormat="1" ht="15" customHeight="1" x14ac:dyDescent="0.25">
      <c r="A407" s="14">
        <v>3</v>
      </c>
      <c r="B407" s="15">
        <v>45961</v>
      </c>
      <c r="C407" s="15">
        <f t="shared" si="30"/>
        <v>45969</v>
      </c>
      <c r="D407" s="14">
        <v>13446</v>
      </c>
      <c r="E407" s="16" t="s">
        <v>387</v>
      </c>
      <c r="F407" s="40" t="s">
        <v>388</v>
      </c>
      <c r="G407" s="17" t="s">
        <v>75</v>
      </c>
      <c r="H407" s="18" t="s">
        <v>542</v>
      </c>
      <c r="I407" s="19" t="s">
        <v>70</v>
      </c>
      <c r="J407" s="20">
        <v>45887</v>
      </c>
      <c r="K407" s="20">
        <v>45968</v>
      </c>
      <c r="L407" s="21">
        <v>750000</v>
      </c>
      <c r="M407" s="22">
        <f t="shared" si="31"/>
        <v>684000</v>
      </c>
      <c r="N407" s="23">
        <v>684000</v>
      </c>
      <c r="O407" s="23">
        <v>0</v>
      </c>
      <c r="P407" s="24">
        <f t="shared" si="32"/>
        <v>66000</v>
      </c>
      <c r="Q407" s="25">
        <v>0</v>
      </c>
      <c r="R407" s="26">
        <v>150000</v>
      </c>
      <c r="S407" s="91">
        <f t="shared" si="33"/>
        <v>0.44</v>
      </c>
      <c r="T407" s="91">
        <f t="shared" si="34"/>
        <v>0</v>
      </c>
      <c r="U407" s="27" t="s">
        <v>50</v>
      </c>
      <c r="V407" s="19" t="s">
        <v>51</v>
      </c>
      <c r="W407" s="20">
        <v>45953</v>
      </c>
      <c r="X407" s="22" t="s">
        <v>251</v>
      </c>
      <c r="Y407" s="19" t="s">
        <v>52</v>
      </c>
      <c r="Z407" s="19" t="s">
        <v>52</v>
      </c>
      <c r="AA407" s="19" t="s">
        <v>52</v>
      </c>
      <c r="AB407" s="28"/>
    </row>
    <row r="408" spans="1:28" s="29" customFormat="1" ht="15" customHeight="1" x14ac:dyDescent="0.25">
      <c r="A408" s="14">
        <v>5</v>
      </c>
      <c r="B408" s="15">
        <v>45966</v>
      </c>
      <c r="C408" s="15">
        <f t="shared" si="30"/>
        <v>45974</v>
      </c>
      <c r="D408" s="14">
        <v>13765</v>
      </c>
      <c r="E408" s="16" t="s">
        <v>341</v>
      </c>
      <c r="F408" s="40" t="s">
        <v>348</v>
      </c>
      <c r="G408" s="17" t="s">
        <v>75</v>
      </c>
      <c r="H408" s="18" t="s">
        <v>542</v>
      </c>
      <c r="I408" s="19" t="s">
        <v>70</v>
      </c>
      <c r="J408" s="20">
        <v>45944</v>
      </c>
      <c r="K408" s="20">
        <v>45972</v>
      </c>
      <c r="L408" s="21">
        <v>1500000</v>
      </c>
      <c r="M408" s="22">
        <f t="shared" si="31"/>
        <v>1569000</v>
      </c>
      <c r="N408" s="23">
        <v>1569000</v>
      </c>
      <c r="O408" s="23">
        <v>0</v>
      </c>
      <c r="P408" s="24">
        <f t="shared" si="32"/>
        <v>-69000</v>
      </c>
      <c r="Q408" s="25">
        <v>0</v>
      </c>
      <c r="R408" s="26">
        <v>150000</v>
      </c>
      <c r="S408" s="91">
        <f t="shared" si="33"/>
        <v>0</v>
      </c>
      <c r="T408" s="91">
        <f t="shared" si="34"/>
        <v>0</v>
      </c>
      <c r="U408" s="27" t="s">
        <v>50</v>
      </c>
      <c r="V408" s="19" t="s">
        <v>51</v>
      </c>
      <c r="W408" s="20">
        <v>45953</v>
      </c>
      <c r="X408" s="22" t="s">
        <v>251</v>
      </c>
      <c r="Y408" s="19" t="s">
        <v>52</v>
      </c>
      <c r="Z408" s="19" t="s">
        <v>52</v>
      </c>
      <c r="AA408" s="19" t="s">
        <v>52</v>
      </c>
      <c r="AB408" s="28"/>
    </row>
    <row r="409" spans="1:28" s="29" customFormat="1" ht="15" customHeight="1" x14ac:dyDescent="0.25">
      <c r="A409" s="14">
        <v>11</v>
      </c>
      <c r="B409" s="15">
        <v>45960</v>
      </c>
      <c r="C409" s="15">
        <f t="shared" si="30"/>
        <v>45968</v>
      </c>
      <c r="D409" s="14">
        <v>13747</v>
      </c>
      <c r="E409" s="16" t="s">
        <v>445</v>
      </c>
      <c r="F409" s="40" t="s">
        <v>446</v>
      </c>
      <c r="G409" s="17" t="s">
        <v>75</v>
      </c>
      <c r="H409" s="18" t="s">
        <v>78</v>
      </c>
      <c r="I409" s="19" t="s">
        <v>79</v>
      </c>
      <c r="J409" s="20">
        <v>45940</v>
      </c>
      <c r="K409" s="20">
        <v>45982</v>
      </c>
      <c r="L409" s="21">
        <v>100000</v>
      </c>
      <c r="M409" s="22">
        <f t="shared" si="31"/>
        <v>114000</v>
      </c>
      <c r="N409" s="23">
        <v>114000</v>
      </c>
      <c r="O409" s="23">
        <v>0</v>
      </c>
      <c r="P409" s="24">
        <f t="shared" si="32"/>
        <v>-14000</v>
      </c>
      <c r="Q409" s="25">
        <v>0</v>
      </c>
      <c r="R409" s="26">
        <v>126000</v>
      </c>
      <c r="S409" s="91">
        <f t="shared" si="33"/>
        <v>0</v>
      </c>
      <c r="T409" s="91">
        <f t="shared" si="34"/>
        <v>0</v>
      </c>
      <c r="U409" s="27" t="s">
        <v>56</v>
      </c>
      <c r="V409" s="19" t="s">
        <v>51</v>
      </c>
      <c r="W409" s="20">
        <v>45955</v>
      </c>
      <c r="X409" s="22" t="s">
        <v>251</v>
      </c>
      <c r="Y409" s="19" t="s">
        <v>52</v>
      </c>
      <c r="Z409" s="19" t="s">
        <v>52</v>
      </c>
      <c r="AA409" s="19" t="s">
        <v>52</v>
      </c>
      <c r="AB409" s="28"/>
    </row>
    <row r="410" spans="1:28" s="29" customFormat="1" ht="15" customHeight="1" x14ac:dyDescent="0.25">
      <c r="A410" s="14">
        <v>6</v>
      </c>
      <c r="B410" s="15">
        <v>45960</v>
      </c>
      <c r="C410" s="15">
        <f t="shared" si="30"/>
        <v>45968</v>
      </c>
      <c r="D410" s="14">
        <v>13720</v>
      </c>
      <c r="E410" s="16" t="s">
        <v>255</v>
      </c>
      <c r="F410" s="17" t="s">
        <v>256</v>
      </c>
      <c r="G410" s="17" t="s">
        <v>132</v>
      </c>
      <c r="H410" s="18" t="s">
        <v>775</v>
      </c>
      <c r="I410" s="19" t="s">
        <v>135</v>
      </c>
      <c r="J410" s="20">
        <v>45938</v>
      </c>
      <c r="K410" s="20">
        <v>45980</v>
      </c>
      <c r="L410" s="21">
        <v>30000</v>
      </c>
      <c r="M410" s="22">
        <f t="shared" si="31"/>
        <v>41070</v>
      </c>
      <c r="N410" s="23">
        <v>41070</v>
      </c>
      <c r="O410" s="23">
        <v>0</v>
      </c>
      <c r="P410" s="24">
        <f t="shared" si="32"/>
        <v>-11070</v>
      </c>
      <c r="Q410" s="25">
        <v>0</v>
      </c>
      <c r="R410" s="26">
        <v>57330</v>
      </c>
      <c r="S410" s="91">
        <f t="shared" si="33"/>
        <v>0</v>
      </c>
      <c r="T410" s="91">
        <f t="shared" si="34"/>
        <v>0</v>
      </c>
      <c r="U410" s="27" t="s">
        <v>56</v>
      </c>
      <c r="V410" s="19" t="s">
        <v>51</v>
      </c>
      <c r="W410" s="20">
        <v>45961</v>
      </c>
      <c r="X410" s="22" t="s">
        <v>251</v>
      </c>
      <c r="Y410" s="19" t="s">
        <v>52</v>
      </c>
      <c r="Z410" s="19" t="s">
        <v>52</v>
      </c>
      <c r="AA410" s="19" t="s">
        <v>52</v>
      </c>
      <c r="AB410" s="28"/>
    </row>
    <row r="411" spans="1:28" s="29" customFormat="1" ht="15" customHeight="1" x14ac:dyDescent="0.25">
      <c r="A411" s="14">
        <v>1</v>
      </c>
      <c r="B411" s="15">
        <v>45969</v>
      </c>
      <c r="C411" s="15">
        <f t="shared" si="30"/>
        <v>45977</v>
      </c>
      <c r="D411" s="14">
        <v>13527</v>
      </c>
      <c r="E411" s="16" t="s">
        <v>45</v>
      </c>
      <c r="F411" s="17" t="s">
        <v>46</v>
      </c>
      <c r="G411" s="17" t="s">
        <v>47</v>
      </c>
      <c r="H411" s="18" t="s">
        <v>542</v>
      </c>
      <c r="I411" s="19" t="s">
        <v>49</v>
      </c>
      <c r="J411" s="20">
        <v>45903</v>
      </c>
      <c r="K411" s="20">
        <v>45943</v>
      </c>
      <c r="L411" s="21">
        <v>180000</v>
      </c>
      <c r="M411" s="22">
        <f t="shared" si="31"/>
        <v>202000</v>
      </c>
      <c r="N411" s="23">
        <v>202000</v>
      </c>
      <c r="O411" s="23">
        <v>0</v>
      </c>
      <c r="P411" s="24">
        <f t="shared" si="32"/>
        <v>-22000</v>
      </c>
      <c r="Q411" s="25">
        <v>0</v>
      </c>
      <c r="R411" s="26">
        <v>60000</v>
      </c>
      <c r="S411" s="91">
        <f t="shared" si="33"/>
        <v>0</v>
      </c>
      <c r="T411" s="91">
        <f t="shared" si="34"/>
        <v>0</v>
      </c>
      <c r="U411" s="27" t="s">
        <v>50</v>
      </c>
      <c r="V411" s="19" t="s">
        <v>51</v>
      </c>
      <c r="W411" s="20">
        <v>45959</v>
      </c>
      <c r="X411" s="22" t="s">
        <v>251</v>
      </c>
      <c r="Y411" s="19" t="s">
        <v>52</v>
      </c>
      <c r="Z411" s="19" t="s">
        <v>52</v>
      </c>
      <c r="AA411" s="19" t="s">
        <v>52</v>
      </c>
      <c r="AB411" s="42"/>
    </row>
    <row r="412" spans="1:28" s="29" customFormat="1" ht="15" customHeight="1" x14ac:dyDescent="0.25">
      <c r="A412" s="14">
        <v>5</v>
      </c>
      <c r="B412" s="15">
        <v>45969</v>
      </c>
      <c r="C412" s="15">
        <f t="shared" si="30"/>
        <v>45977</v>
      </c>
      <c r="D412" s="14">
        <v>13840</v>
      </c>
      <c r="E412" s="16" t="s">
        <v>60</v>
      </c>
      <c r="F412" s="17" t="s">
        <v>61</v>
      </c>
      <c r="G412" s="17" t="s">
        <v>47</v>
      </c>
      <c r="H412" s="18" t="s">
        <v>784</v>
      </c>
      <c r="I412" s="19" t="s">
        <v>63</v>
      </c>
      <c r="J412" s="20">
        <v>45954</v>
      </c>
      <c r="K412" s="20">
        <v>45994</v>
      </c>
      <c r="L412" s="21">
        <v>100000</v>
      </c>
      <c r="M412" s="22">
        <f t="shared" si="31"/>
        <v>116000</v>
      </c>
      <c r="N412" s="23">
        <v>116000</v>
      </c>
      <c r="O412" s="23">
        <v>0</v>
      </c>
      <c r="P412" s="24">
        <f t="shared" si="32"/>
        <v>-16000</v>
      </c>
      <c r="Q412" s="25">
        <v>0</v>
      </c>
      <c r="R412" s="26">
        <v>40000</v>
      </c>
      <c r="S412" s="91">
        <f t="shared" si="33"/>
        <v>0</v>
      </c>
      <c r="T412" s="91">
        <f t="shared" si="34"/>
        <v>0</v>
      </c>
      <c r="U412" s="27" t="s">
        <v>50</v>
      </c>
      <c r="V412" s="19" t="s">
        <v>51</v>
      </c>
      <c r="W412" s="20">
        <v>45968</v>
      </c>
      <c r="X412" s="22" t="s">
        <v>251</v>
      </c>
      <c r="Y412" s="19" t="s">
        <v>52</v>
      </c>
      <c r="Z412" s="19" t="s">
        <v>52</v>
      </c>
      <c r="AA412" s="19" t="s">
        <v>52</v>
      </c>
      <c r="AB412" s="42"/>
    </row>
    <row r="413" spans="1:28" s="29" customFormat="1" ht="15" customHeight="1" x14ac:dyDescent="0.25">
      <c r="A413" s="14">
        <v>6</v>
      </c>
      <c r="B413" s="15">
        <v>45969</v>
      </c>
      <c r="C413" s="15">
        <f t="shared" si="30"/>
        <v>45977</v>
      </c>
      <c r="D413" s="14">
        <v>13366</v>
      </c>
      <c r="E413" s="16" t="s">
        <v>757</v>
      </c>
      <c r="F413" s="17" t="s">
        <v>672</v>
      </c>
      <c r="G413" s="17" t="s">
        <v>47</v>
      </c>
      <c r="H413" s="18" t="s">
        <v>57</v>
      </c>
      <c r="I413" s="19" t="s">
        <v>58</v>
      </c>
      <c r="J413" s="20">
        <v>45873</v>
      </c>
      <c r="K413" s="20">
        <v>45933</v>
      </c>
      <c r="L413" s="21">
        <v>300000</v>
      </c>
      <c r="M413" s="22">
        <f t="shared" si="31"/>
        <v>593000</v>
      </c>
      <c r="N413" s="23">
        <v>593000</v>
      </c>
      <c r="O413" s="23">
        <v>0</v>
      </c>
      <c r="P413" s="24">
        <f t="shared" si="32"/>
        <v>-293000</v>
      </c>
      <c r="Q413" s="25">
        <v>0</v>
      </c>
      <c r="R413" s="26">
        <v>42000</v>
      </c>
      <c r="S413" s="91">
        <f t="shared" si="33"/>
        <v>0</v>
      </c>
      <c r="T413" s="91">
        <f t="shared" si="34"/>
        <v>0</v>
      </c>
      <c r="U413" s="27" t="s">
        <v>50</v>
      </c>
      <c r="V413" s="19" t="s">
        <v>51</v>
      </c>
      <c r="W413" s="20">
        <v>45910</v>
      </c>
      <c r="X413" s="22" t="s">
        <v>251</v>
      </c>
      <c r="Y413" s="19" t="s">
        <v>52</v>
      </c>
      <c r="Z413" s="19" t="s">
        <v>52</v>
      </c>
      <c r="AA413" s="19" t="s">
        <v>52</v>
      </c>
      <c r="AB413" s="42"/>
    </row>
    <row r="414" spans="1:28" s="29" customFormat="1" ht="15" customHeight="1" x14ac:dyDescent="0.25">
      <c r="A414" s="14">
        <v>4</v>
      </c>
      <c r="B414" s="15">
        <v>45969</v>
      </c>
      <c r="C414" s="15">
        <f t="shared" si="30"/>
        <v>45977</v>
      </c>
      <c r="D414" s="14">
        <v>13758</v>
      </c>
      <c r="E414" s="16" t="s">
        <v>89</v>
      </c>
      <c r="F414" s="40" t="s">
        <v>915</v>
      </c>
      <c r="G414" s="17" t="s">
        <v>75</v>
      </c>
      <c r="H414" s="18" t="s">
        <v>542</v>
      </c>
      <c r="I414" s="19" t="s">
        <v>70</v>
      </c>
      <c r="J414" s="20">
        <v>45944</v>
      </c>
      <c r="K414" s="20">
        <v>45972</v>
      </c>
      <c r="L414" s="21">
        <v>1000000</v>
      </c>
      <c r="M414" s="22">
        <f t="shared" si="31"/>
        <v>1083000</v>
      </c>
      <c r="N414" s="23">
        <v>1083000</v>
      </c>
      <c r="O414" s="23">
        <v>0</v>
      </c>
      <c r="P414" s="24">
        <f t="shared" si="32"/>
        <v>-83000</v>
      </c>
      <c r="Q414" s="25">
        <v>0</v>
      </c>
      <c r="R414" s="26">
        <v>150000</v>
      </c>
      <c r="S414" s="91">
        <f t="shared" si="33"/>
        <v>0</v>
      </c>
      <c r="T414" s="91">
        <f t="shared" si="34"/>
        <v>0</v>
      </c>
      <c r="U414" s="27" t="s">
        <v>50</v>
      </c>
      <c r="V414" s="19" t="s">
        <v>51</v>
      </c>
      <c r="W414" s="20">
        <v>45955</v>
      </c>
      <c r="X414" s="22" t="s">
        <v>251</v>
      </c>
      <c r="Y414" s="19" t="s">
        <v>52</v>
      </c>
      <c r="Z414" s="19" t="s">
        <v>52</v>
      </c>
      <c r="AA414" s="19" t="s">
        <v>52</v>
      </c>
      <c r="AB414" s="28"/>
    </row>
    <row r="415" spans="1:28" s="29" customFormat="1" ht="15" customHeight="1" x14ac:dyDescent="0.25">
      <c r="A415" s="14">
        <v>11</v>
      </c>
      <c r="B415" s="15">
        <v>45969</v>
      </c>
      <c r="C415" s="15">
        <f t="shared" si="30"/>
        <v>45977</v>
      </c>
      <c r="D415" s="14">
        <v>13820</v>
      </c>
      <c r="E415" s="16" t="s">
        <v>295</v>
      </c>
      <c r="F415" s="40" t="s">
        <v>296</v>
      </c>
      <c r="G415" s="17" t="s">
        <v>75</v>
      </c>
      <c r="H415" s="18" t="s">
        <v>542</v>
      </c>
      <c r="I415" s="19" t="s">
        <v>49</v>
      </c>
      <c r="J415" s="20">
        <v>45953</v>
      </c>
      <c r="K415" s="20">
        <v>45992</v>
      </c>
      <c r="L415" s="21">
        <v>150000</v>
      </c>
      <c r="M415" s="22">
        <f t="shared" si="31"/>
        <v>156000</v>
      </c>
      <c r="N415" s="23">
        <v>156000</v>
      </c>
      <c r="O415" s="23">
        <v>0</v>
      </c>
      <c r="P415" s="24">
        <f t="shared" si="32"/>
        <v>-6000</v>
      </c>
      <c r="Q415" s="25">
        <v>0</v>
      </c>
      <c r="R415" s="26">
        <v>150000</v>
      </c>
      <c r="S415" s="91">
        <f t="shared" si="33"/>
        <v>0</v>
      </c>
      <c r="T415" s="91">
        <f t="shared" si="34"/>
        <v>0</v>
      </c>
      <c r="U415" s="27" t="s">
        <v>50</v>
      </c>
      <c r="V415" s="19" t="s">
        <v>51</v>
      </c>
      <c r="W415" s="20">
        <v>45968</v>
      </c>
      <c r="X415" s="22" t="s">
        <v>251</v>
      </c>
      <c r="Y415" s="19" t="s">
        <v>52</v>
      </c>
      <c r="Z415" s="19" t="s">
        <v>52</v>
      </c>
      <c r="AA415" s="19" t="s">
        <v>52</v>
      </c>
      <c r="AB415" s="28"/>
    </row>
    <row r="416" spans="1:28" s="29" customFormat="1" ht="15" customHeight="1" x14ac:dyDescent="0.25">
      <c r="A416" s="14">
        <v>34</v>
      </c>
      <c r="B416" s="15">
        <v>45969</v>
      </c>
      <c r="C416" s="15">
        <f t="shared" si="30"/>
        <v>45977</v>
      </c>
      <c r="D416" s="14">
        <v>13759</v>
      </c>
      <c r="E416" s="16" t="s">
        <v>287</v>
      </c>
      <c r="F416" s="17" t="s">
        <v>288</v>
      </c>
      <c r="G416" s="17" t="s">
        <v>102</v>
      </c>
      <c r="H416" s="18" t="s">
        <v>784</v>
      </c>
      <c r="I416" s="19" t="s">
        <v>63</v>
      </c>
      <c r="J416" s="20">
        <v>45944</v>
      </c>
      <c r="K416" s="20">
        <v>45971</v>
      </c>
      <c r="L416" s="21">
        <v>1000000</v>
      </c>
      <c r="M416" s="22">
        <f t="shared" si="31"/>
        <v>1028000</v>
      </c>
      <c r="N416" s="23">
        <v>1028000</v>
      </c>
      <c r="O416" s="23">
        <v>0</v>
      </c>
      <c r="P416" s="24">
        <f t="shared" si="32"/>
        <v>-28000</v>
      </c>
      <c r="Q416" s="25">
        <v>0</v>
      </c>
      <c r="R416" s="26">
        <v>84000</v>
      </c>
      <c r="S416" s="91">
        <f t="shared" si="33"/>
        <v>0</v>
      </c>
      <c r="T416" s="91">
        <f t="shared" si="34"/>
        <v>0</v>
      </c>
      <c r="U416" s="27" t="s">
        <v>50</v>
      </c>
      <c r="V416" s="19" t="s">
        <v>51</v>
      </c>
      <c r="W416" s="20">
        <v>45957</v>
      </c>
      <c r="X416" s="22" t="s">
        <v>251</v>
      </c>
      <c r="Y416" s="19" t="s">
        <v>52</v>
      </c>
      <c r="Z416" s="19" t="s">
        <v>52</v>
      </c>
      <c r="AA416" s="19" t="s">
        <v>52</v>
      </c>
      <c r="AB416" s="28"/>
    </row>
    <row r="417" spans="1:28" s="29" customFormat="1" ht="15" customHeight="1" x14ac:dyDescent="0.25">
      <c r="A417" s="14">
        <v>44</v>
      </c>
      <c r="B417" s="15">
        <v>45969</v>
      </c>
      <c r="C417" s="15">
        <f t="shared" si="30"/>
        <v>45977</v>
      </c>
      <c r="D417" s="14">
        <v>13849</v>
      </c>
      <c r="E417" s="16" t="s">
        <v>360</v>
      </c>
      <c r="F417" s="17" t="s">
        <v>361</v>
      </c>
      <c r="G417" s="17" t="s">
        <v>102</v>
      </c>
      <c r="H417" s="18" t="s">
        <v>113</v>
      </c>
      <c r="I417" s="19" t="s">
        <v>698</v>
      </c>
      <c r="J417" s="20">
        <v>45957</v>
      </c>
      <c r="K417" s="20">
        <v>45982</v>
      </c>
      <c r="L417" s="21">
        <v>150000</v>
      </c>
      <c r="M417" s="22">
        <f t="shared" si="31"/>
        <v>144000</v>
      </c>
      <c r="N417" s="23">
        <v>144000</v>
      </c>
      <c r="O417" s="23">
        <v>0</v>
      </c>
      <c r="P417" s="24">
        <f t="shared" si="32"/>
        <v>6000</v>
      </c>
      <c r="Q417" s="25">
        <v>0</v>
      </c>
      <c r="R417" s="26">
        <v>100000</v>
      </c>
      <c r="S417" s="91">
        <f t="shared" si="33"/>
        <v>0.06</v>
      </c>
      <c r="T417" s="91">
        <f t="shared" si="34"/>
        <v>0</v>
      </c>
      <c r="U417" s="27" t="s">
        <v>50</v>
      </c>
      <c r="V417" s="19" t="s">
        <v>51</v>
      </c>
      <c r="W417" s="20">
        <v>45957</v>
      </c>
      <c r="X417" s="22" t="s">
        <v>251</v>
      </c>
      <c r="Y417" s="19" t="s">
        <v>52</v>
      </c>
      <c r="Z417" s="19" t="s">
        <v>52</v>
      </c>
      <c r="AA417" s="19" t="s">
        <v>52</v>
      </c>
      <c r="AB417" s="28"/>
    </row>
    <row r="418" spans="1:28" s="29" customFormat="1" ht="15" customHeight="1" x14ac:dyDescent="0.25">
      <c r="A418" s="14">
        <v>4</v>
      </c>
      <c r="B418" s="15">
        <v>45969</v>
      </c>
      <c r="C418" s="15">
        <f t="shared" si="30"/>
        <v>45977</v>
      </c>
      <c r="D418" s="14">
        <v>13592</v>
      </c>
      <c r="E418" s="16" t="s">
        <v>137</v>
      </c>
      <c r="F418" s="17" t="s">
        <v>138</v>
      </c>
      <c r="G418" s="17" t="s">
        <v>132</v>
      </c>
      <c r="H418" s="18" t="s">
        <v>775</v>
      </c>
      <c r="I418" s="19" t="s">
        <v>135</v>
      </c>
      <c r="J418" s="20">
        <v>45911</v>
      </c>
      <c r="K418" s="20">
        <v>45959</v>
      </c>
      <c r="L418" s="21">
        <v>30000</v>
      </c>
      <c r="M418" s="22">
        <f t="shared" si="31"/>
        <v>20640</v>
      </c>
      <c r="N418" s="23">
        <v>20640</v>
      </c>
      <c r="O418" s="23">
        <v>0</v>
      </c>
      <c r="P418" s="24">
        <f t="shared" si="32"/>
        <v>9360</v>
      </c>
      <c r="Q418" s="25">
        <v>0</v>
      </c>
      <c r="R418" s="26">
        <v>69948</v>
      </c>
      <c r="S418" s="91">
        <f t="shared" si="33"/>
        <v>0.13381369016984046</v>
      </c>
      <c r="T418" s="91">
        <f t="shared" si="34"/>
        <v>0</v>
      </c>
      <c r="U418" s="27" t="s">
        <v>56</v>
      </c>
      <c r="V418" s="19" t="s">
        <v>51</v>
      </c>
      <c r="W418" s="20">
        <v>45959</v>
      </c>
      <c r="X418" s="22" t="s">
        <v>251</v>
      </c>
      <c r="Y418" s="19" t="s">
        <v>52</v>
      </c>
      <c r="Z418" s="19" t="s">
        <v>52</v>
      </c>
      <c r="AA418" s="19" t="s">
        <v>52</v>
      </c>
      <c r="AB418" s="28"/>
    </row>
    <row r="419" spans="1:28" s="29" customFormat="1" ht="15" customHeight="1" x14ac:dyDescent="0.25">
      <c r="A419" s="14">
        <v>5</v>
      </c>
      <c r="B419" s="15">
        <v>45969</v>
      </c>
      <c r="C419" s="15">
        <f t="shared" si="30"/>
        <v>45977</v>
      </c>
      <c r="D419" s="14">
        <v>13690</v>
      </c>
      <c r="E419" s="16" t="s">
        <v>299</v>
      </c>
      <c r="F419" s="17" t="s">
        <v>300</v>
      </c>
      <c r="G419" s="17" t="s">
        <v>132</v>
      </c>
      <c r="H419" s="18" t="s">
        <v>133</v>
      </c>
      <c r="I419" s="19" t="s">
        <v>198</v>
      </c>
      <c r="J419" s="20">
        <v>45930</v>
      </c>
      <c r="K419" s="20">
        <v>45978</v>
      </c>
      <c r="L419" s="21">
        <v>200000</v>
      </c>
      <c r="M419" s="22">
        <f t="shared" si="31"/>
        <v>176000</v>
      </c>
      <c r="N419" s="23">
        <v>176000</v>
      </c>
      <c r="O419" s="23">
        <v>0</v>
      </c>
      <c r="P419" s="24">
        <f t="shared" si="32"/>
        <v>24000</v>
      </c>
      <c r="Q419" s="25">
        <v>0</v>
      </c>
      <c r="R419" s="26">
        <v>128000</v>
      </c>
      <c r="S419" s="91">
        <f t="shared" si="33"/>
        <v>0.1875</v>
      </c>
      <c r="T419" s="91">
        <f t="shared" si="34"/>
        <v>0</v>
      </c>
      <c r="U419" s="27" t="s">
        <v>56</v>
      </c>
      <c r="V419" s="19" t="s">
        <v>51</v>
      </c>
      <c r="W419" s="20">
        <v>45967</v>
      </c>
      <c r="X419" s="22" t="s">
        <v>251</v>
      </c>
      <c r="Y419" s="19" t="s">
        <v>52</v>
      </c>
      <c r="Z419" s="19" t="s">
        <v>52</v>
      </c>
      <c r="AA419" s="19" t="s">
        <v>52</v>
      </c>
      <c r="AB419" s="28"/>
    </row>
    <row r="420" spans="1:28" s="29" customFormat="1" ht="15" customHeight="1" x14ac:dyDescent="0.25">
      <c r="A420" s="14">
        <v>6</v>
      </c>
      <c r="B420" s="15">
        <v>45969</v>
      </c>
      <c r="C420" s="15">
        <f t="shared" si="30"/>
        <v>45977</v>
      </c>
      <c r="D420" s="14">
        <v>13721</v>
      </c>
      <c r="E420" s="16" t="s">
        <v>147</v>
      </c>
      <c r="F420" s="17" t="s">
        <v>260</v>
      </c>
      <c r="G420" s="17" t="s">
        <v>132</v>
      </c>
      <c r="H420" s="18" t="s">
        <v>775</v>
      </c>
      <c r="I420" s="19" t="s">
        <v>135</v>
      </c>
      <c r="J420" s="20">
        <v>45938</v>
      </c>
      <c r="K420" s="20">
        <v>45980</v>
      </c>
      <c r="L420" s="21">
        <v>75000</v>
      </c>
      <c r="M420" s="22">
        <f t="shared" si="31"/>
        <v>88390</v>
      </c>
      <c r="N420" s="23">
        <v>88390</v>
      </c>
      <c r="O420" s="23">
        <v>0</v>
      </c>
      <c r="P420" s="24">
        <f t="shared" si="32"/>
        <v>-13390</v>
      </c>
      <c r="Q420" s="25">
        <v>0</v>
      </c>
      <c r="R420" s="26">
        <v>57330</v>
      </c>
      <c r="S420" s="91">
        <f t="shared" si="33"/>
        <v>0</v>
      </c>
      <c r="T420" s="91">
        <f t="shared" si="34"/>
        <v>0</v>
      </c>
      <c r="U420" s="27" t="s">
        <v>56</v>
      </c>
      <c r="V420" s="19" t="s">
        <v>51</v>
      </c>
      <c r="W420" s="20">
        <v>45961</v>
      </c>
      <c r="X420" s="22" t="s">
        <v>251</v>
      </c>
      <c r="Y420" s="19" t="s">
        <v>52</v>
      </c>
      <c r="Z420" s="19" t="s">
        <v>52</v>
      </c>
      <c r="AA420" s="19" t="s">
        <v>52</v>
      </c>
      <c r="AB420" s="28"/>
    </row>
    <row r="421" spans="1:28" s="29" customFormat="1" ht="15" customHeight="1" x14ac:dyDescent="0.25">
      <c r="A421" s="14">
        <v>8</v>
      </c>
      <c r="B421" s="15">
        <v>45969</v>
      </c>
      <c r="C421" s="15">
        <f t="shared" si="30"/>
        <v>45977</v>
      </c>
      <c r="D421" s="14">
        <v>13723</v>
      </c>
      <c r="E421" s="16" t="s">
        <v>248</v>
      </c>
      <c r="F421" s="17" t="s">
        <v>249</v>
      </c>
      <c r="G421" s="17" t="s">
        <v>132</v>
      </c>
      <c r="H421" s="18" t="s">
        <v>775</v>
      </c>
      <c r="I421" s="19" t="s">
        <v>135</v>
      </c>
      <c r="J421" s="20">
        <v>45938</v>
      </c>
      <c r="K421" s="20">
        <v>45980</v>
      </c>
      <c r="L421" s="21">
        <v>120000</v>
      </c>
      <c r="M421" s="22">
        <f t="shared" si="31"/>
        <v>137490</v>
      </c>
      <c r="N421" s="23">
        <v>137490</v>
      </c>
      <c r="O421" s="23">
        <v>0</v>
      </c>
      <c r="P421" s="24">
        <f t="shared" si="32"/>
        <v>-17490</v>
      </c>
      <c r="Q421" s="25">
        <v>0</v>
      </c>
      <c r="R421" s="26">
        <v>57330</v>
      </c>
      <c r="S421" s="91">
        <f t="shared" si="33"/>
        <v>0</v>
      </c>
      <c r="T421" s="91">
        <f t="shared" si="34"/>
        <v>0</v>
      </c>
      <c r="U421" s="27" t="s">
        <v>56</v>
      </c>
      <c r="V421" s="19" t="s">
        <v>59</v>
      </c>
      <c r="W421" s="20">
        <v>45967</v>
      </c>
      <c r="X421" s="22" t="s">
        <v>251</v>
      </c>
      <c r="Y421" s="19" t="s">
        <v>52</v>
      </c>
      <c r="Z421" s="19" t="s">
        <v>52</v>
      </c>
      <c r="AA421" s="19" t="s">
        <v>52</v>
      </c>
      <c r="AB421" s="28"/>
    </row>
    <row r="422" spans="1:28" s="29" customFormat="1" ht="15" customHeight="1" x14ac:dyDescent="0.25">
      <c r="A422" s="14">
        <v>10</v>
      </c>
      <c r="B422" s="15">
        <v>45969</v>
      </c>
      <c r="C422" s="15">
        <f t="shared" ref="C422:C453" si="35">B422+8</f>
        <v>45977</v>
      </c>
      <c r="D422" s="14">
        <v>13725</v>
      </c>
      <c r="E422" s="16" t="s">
        <v>148</v>
      </c>
      <c r="F422" s="17" t="s">
        <v>149</v>
      </c>
      <c r="G422" s="17" t="s">
        <v>132</v>
      </c>
      <c r="H422" s="18" t="s">
        <v>775</v>
      </c>
      <c r="I422" s="19" t="s">
        <v>135</v>
      </c>
      <c r="J422" s="20">
        <v>45938</v>
      </c>
      <c r="K422" s="20">
        <v>45980</v>
      </c>
      <c r="L422" s="21">
        <v>80000</v>
      </c>
      <c r="M422" s="22">
        <f t="shared" ref="M422:M485" si="36">SUM(N422:O422)</f>
        <v>71860</v>
      </c>
      <c r="N422" s="23">
        <v>71860</v>
      </c>
      <c r="O422" s="23">
        <v>0</v>
      </c>
      <c r="P422" s="24">
        <f t="shared" ref="P422:P485" si="37">L422-N422</f>
        <v>8140</v>
      </c>
      <c r="Q422" s="25">
        <v>0</v>
      </c>
      <c r="R422" s="26">
        <v>57330</v>
      </c>
      <c r="S422" s="91">
        <f t="shared" si="33"/>
        <v>0.14198499912785628</v>
      </c>
      <c r="T422" s="91">
        <f t="shared" si="34"/>
        <v>0</v>
      </c>
      <c r="U422" s="27" t="s">
        <v>56</v>
      </c>
      <c r="V422" s="19" t="s">
        <v>59</v>
      </c>
      <c r="W422" s="20">
        <v>45967</v>
      </c>
      <c r="X422" s="22" t="s">
        <v>251</v>
      </c>
      <c r="Y422" s="19" t="s">
        <v>52</v>
      </c>
      <c r="Z422" s="19" t="s">
        <v>52</v>
      </c>
      <c r="AA422" s="19" t="s">
        <v>52</v>
      </c>
      <c r="AB422" s="28"/>
    </row>
    <row r="423" spans="1:28" s="29" customFormat="1" ht="15" customHeight="1" x14ac:dyDescent="0.25">
      <c r="A423" s="14">
        <v>14</v>
      </c>
      <c r="B423" s="15">
        <v>45969</v>
      </c>
      <c r="C423" s="15">
        <f t="shared" si="35"/>
        <v>45977</v>
      </c>
      <c r="D423" s="14">
        <v>13740</v>
      </c>
      <c r="E423" s="16" t="s">
        <v>160</v>
      </c>
      <c r="F423" s="17" t="s">
        <v>161</v>
      </c>
      <c r="G423" s="17" t="s">
        <v>132</v>
      </c>
      <c r="H423" s="18" t="s">
        <v>775</v>
      </c>
      <c r="I423" s="19" t="s">
        <v>135</v>
      </c>
      <c r="J423" s="20">
        <v>45938</v>
      </c>
      <c r="K423" s="20">
        <v>45982</v>
      </c>
      <c r="L423" s="21">
        <v>170000</v>
      </c>
      <c r="M423" s="22">
        <f t="shared" si="36"/>
        <v>204000</v>
      </c>
      <c r="N423" s="23">
        <v>204000</v>
      </c>
      <c r="O423" s="23">
        <v>0</v>
      </c>
      <c r="P423" s="24">
        <f t="shared" si="37"/>
        <v>-34000</v>
      </c>
      <c r="Q423" s="25">
        <v>0</v>
      </c>
      <c r="R423" s="26">
        <v>175500</v>
      </c>
      <c r="S423" s="91">
        <f t="shared" si="33"/>
        <v>0</v>
      </c>
      <c r="T423" s="91">
        <f t="shared" si="34"/>
        <v>0</v>
      </c>
      <c r="U423" s="27" t="s">
        <v>56</v>
      </c>
      <c r="V423" s="19" t="s">
        <v>59</v>
      </c>
      <c r="W423" s="20">
        <v>45969</v>
      </c>
      <c r="X423" s="22" t="s">
        <v>251</v>
      </c>
      <c r="Y423" s="19" t="s">
        <v>52</v>
      </c>
      <c r="Z423" s="19" t="s">
        <v>52</v>
      </c>
      <c r="AA423" s="19" t="s">
        <v>52</v>
      </c>
      <c r="AB423" s="28"/>
    </row>
    <row r="424" spans="1:28" s="29" customFormat="1" ht="15" customHeight="1" x14ac:dyDescent="0.25">
      <c r="A424" s="14">
        <v>2</v>
      </c>
      <c r="B424" s="15">
        <v>45976</v>
      </c>
      <c r="C424" s="15">
        <f t="shared" si="35"/>
        <v>45984</v>
      </c>
      <c r="D424" s="14">
        <v>13801</v>
      </c>
      <c r="E424" s="16" t="s">
        <v>808</v>
      </c>
      <c r="F424" s="40" t="s">
        <v>657</v>
      </c>
      <c r="G424" s="17" t="s">
        <v>75</v>
      </c>
      <c r="H424" s="18" t="s">
        <v>57</v>
      </c>
      <c r="I424" s="19" t="s">
        <v>94</v>
      </c>
      <c r="J424" s="20">
        <v>45947</v>
      </c>
      <c r="K424" s="20">
        <v>45968</v>
      </c>
      <c r="L424" s="21">
        <v>1500000</v>
      </c>
      <c r="M424" s="22">
        <f t="shared" si="36"/>
        <v>1609000</v>
      </c>
      <c r="N424" s="23">
        <v>1609000</v>
      </c>
      <c r="O424" s="23">
        <v>0</v>
      </c>
      <c r="P424" s="24">
        <f t="shared" si="37"/>
        <v>-109000</v>
      </c>
      <c r="Q424" s="25">
        <v>0</v>
      </c>
      <c r="R424" s="26">
        <v>100000</v>
      </c>
      <c r="S424" s="91">
        <f t="shared" si="33"/>
        <v>0</v>
      </c>
      <c r="T424" s="91">
        <f t="shared" si="34"/>
        <v>0</v>
      </c>
      <c r="U424" s="27" t="s">
        <v>50</v>
      </c>
      <c r="V424" s="19" t="s">
        <v>51</v>
      </c>
      <c r="W424" s="20">
        <v>45953</v>
      </c>
      <c r="X424" s="22" t="s">
        <v>251</v>
      </c>
      <c r="Y424" s="19" t="s">
        <v>52</v>
      </c>
      <c r="Z424" s="19" t="s">
        <v>52</v>
      </c>
      <c r="AA424" s="19" t="s">
        <v>52</v>
      </c>
      <c r="AB424" s="28"/>
    </row>
    <row r="425" spans="1:28" s="29" customFormat="1" ht="15" customHeight="1" x14ac:dyDescent="0.25">
      <c r="A425" s="14">
        <v>3</v>
      </c>
      <c r="B425" s="15">
        <v>45976</v>
      </c>
      <c r="C425" s="15">
        <f t="shared" si="35"/>
        <v>45984</v>
      </c>
      <c r="D425" s="14">
        <v>13776</v>
      </c>
      <c r="E425" s="16" t="s">
        <v>918</v>
      </c>
      <c r="F425" s="40" t="s">
        <v>474</v>
      </c>
      <c r="G425" s="17" t="s">
        <v>75</v>
      </c>
      <c r="H425" s="18" t="s">
        <v>57</v>
      </c>
      <c r="I425" s="19" t="s">
        <v>58</v>
      </c>
      <c r="J425" s="20">
        <v>45945</v>
      </c>
      <c r="K425" s="20">
        <v>45973</v>
      </c>
      <c r="L425" s="21">
        <v>100000</v>
      </c>
      <c r="M425" s="22">
        <f t="shared" si="36"/>
        <v>123000</v>
      </c>
      <c r="N425" s="23">
        <v>123000</v>
      </c>
      <c r="O425" s="23">
        <v>0</v>
      </c>
      <c r="P425" s="24">
        <f t="shared" si="37"/>
        <v>-23000</v>
      </c>
      <c r="Q425" s="25">
        <v>0</v>
      </c>
      <c r="R425" s="26">
        <v>150000</v>
      </c>
      <c r="S425" s="91">
        <f t="shared" si="33"/>
        <v>0</v>
      </c>
      <c r="T425" s="91">
        <f t="shared" si="34"/>
        <v>0</v>
      </c>
      <c r="U425" s="27" t="s">
        <v>50</v>
      </c>
      <c r="V425" s="19" t="s">
        <v>51</v>
      </c>
      <c r="W425" s="20">
        <v>45966</v>
      </c>
      <c r="X425" s="22" t="s">
        <v>251</v>
      </c>
      <c r="Y425" s="19" t="s">
        <v>52</v>
      </c>
      <c r="Z425" s="19" t="s">
        <v>52</v>
      </c>
      <c r="AA425" s="19" t="s">
        <v>52</v>
      </c>
      <c r="AB425" s="28"/>
    </row>
    <row r="426" spans="1:28" s="29" customFormat="1" ht="15" customHeight="1" x14ac:dyDescent="0.25">
      <c r="A426" s="14">
        <v>6</v>
      </c>
      <c r="B426" s="15">
        <v>45976</v>
      </c>
      <c r="C426" s="15">
        <f t="shared" si="35"/>
        <v>45984</v>
      </c>
      <c r="D426" s="14">
        <v>13762</v>
      </c>
      <c r="E426" s="16" t="s">
        <v>385</v>
      </c>
      <c r="F426" s="40" t="s">
        <v>386</v>
      </c>
      <c r="G426" s="17" t="s">
        <v>75</v>
      </c>
      <c r="H426" s="18" t="s">
        <v>542</v>
      </c>
      <c r="I426" s="19" t="s">
        <v>70</v>
      </c>
      <c r="J426" s="20">
        <v>45944</v>
      </c>
      <c r="K426" s="20">
        <v>45972</v>
      </c>
      <c r="L426" s="21">
        <v>1000000</v>
      </c>
      <c r="M426" s="22">
        <f t="shared" si="36"/>
        <v>1044000</v>
      </c>
      <c r="N426" s="23">
        <v>1044000</v>
      </c>
      <c r="O426" s="23">
        <v>0</v>
      </c>
      <c r="P426" s="24">
        <f t="shared" si="37"/>
        <v>-44000</v>
      </c>
      <c r="Q426" s="25">
        <v>0</v>
      </c>
      <c r="R426" s="26">
        <v>150000</v>
      </c>
      <c r="S426" s="91">
        <f t="shared" si="33"/>
        <v>0</v>
      </c>
      <c r="T426" s="91">
        <f t="shared" si="34"/>
        <v>0</v>
      </c>
      <c r="U426" s="27" t="s">
        <v>50</v>
      </c>
      <c r="V426" s="19" t="s">
        <v>51</v>
      </c>
      <c r="W426" s="20">
        <v>45959</v>
      </c>
      <c r="X426" s="22" t="s">
        <v>251</v>
      </c>
      <c r="Y426" s="19" t="s">
        <v>52</v>
      </c>
      <c r="Z426" s="19" t="s">
        <v>52</v>
      </c>
      <c r="AA426" s="19" t="s">
        <v>52</v>
      </c>
      <c r="AB426" s="28"/>
    </row>
    <row r="427" spans="1:28" s="29" customFormat="1" ht="15" customHeight="1" x14ac:dyDescent="0.25">
      <c r="A427" s="14">
        <v>10</v>
      </c>
      <c r="B427" s="15">
        <v>45976</v>
      </c>
      <c r="C427" s="15">
        <f t="shared" si="35"/>
        <v>45984</v>
      </c>
      <c r="D427" s="14">
        <v>13803</v>
      </c>
      <c r="E427" s="16" t="s">
        <v>92</v>
      </c>
      <c r="F427" s="40" t="s">
        <v>93</v>
      </c>
      <c r="G427" s="17" t="s">
        <v>75</v>
      </c>
      <c r="H427" s="18" t="s">
        <v>57</v>
      </c>
      <c r="I427" s="19" t="s">
        <v>94</v>
      </c>
      <c r="J427" s="20">
        <v>45947</v>
      </c>
      <c r="K427" s="20">
        <v>45989</v>
      </c>
      <c r="L427" s="21">
        <v>800000</v>
      </c>
      <c r="M427" s="22">
        <f t="shared" si="36"/>
        <v>834000</v>
      </c>
      <c r="N427" s="23">
        <v>834000</v>
      </c>
      <c r="O427" s="23">
        <v>0</v>
      </c>
      <c r="P427" s="24">
        <f t="shared" si="37"/>
        <v>-34000</v>
      </c>
      <c r="Q427" s="25">
        <v>0</v>
      </c>
      <c r="R427" s="26">
        <v>150000</v>
      </c>
      <c r="S427" s="91">
        <f t="shared" si="33"/>
        <v>0</v>
      </c>
      <c r="T427" s="91">
        <f t="shared" si="34"/>
        <v>0</v>
      </c>
      <c r="U427" s="27" t="s">
        <v>50</v>
      </c>
      <c r="V427" s="19" t="s">
        <v>51</v>
      </c>
      <c r="W427" s="20">
        <v>45964</v>
      </c>
      <c r="X427" s="22" t="s">
        <v>251</v>
      </c>
      <c r="Y427" s="19" t="s">
        <v>52</v>
      </c>
      <c r="Z427" s="19" t="s">
        <v>52</v>
      </c>
      <c r="AA427" s="19" t="s">
        <v>52</v>
      </c>
      <c r="AB427" s="28"/>
    </row>
    <row r="428" spans="1:28" s="29" customFormat="1" ht="15" customHeight="1" x14ac:dyDescent="0.25">
      <c r="A428" s="14">
        <v>12</v>
      </c>
      <c r="B428" s="15">
        <v>45969</v>
      </c>
      <c r="C428" s="15">
        <f t="shared" si="35"/>
        <v>45977</v>
      </c>
      <c r="D428" s="14">
        <v>13825</v>
      </c>
      <c r="E428" s="16" t="s">
        <v>232</v>
      </c>
      <c r="F428" s="40" t="s">
        <v>233</v>
      </c>
      <c r="G428" s="17" t="s">
        <v>75</v>
      </c>
      <c r="H428" s="18" t="s">
        <v>542</v>
      </c>
      <c r="I428" s="19" t="s">
        <v>104</v>
      </c>
      <c r="J428" s="20">
        <v>45953</v>
      </c>
      <c r="K428" s="20">
        <v>45992</v>
      </c>
      <c r="L428" s="21">
        <v>150000</v>
      </c>
      <c r="M428" s="22">
        <f t="shared" si="36"/>
        <v>174000</v>
      </c>
      <c r="N428" s="23">
        <v>174000</v>
      </c>
      <c r="O428" s="23">
        <v>0</v>
      </c>
      <c r="P428" s="24">
        <f t="shared" si="37"/>
        <v>-24000</v>
      </c>
      <c r="Q428" s="25">
        <v>0</v>
      </c>
      <c r="R428" s="26">
        <v>150000</v>
      </c>
      <c r="S428" s="91">
        <f t="shared" si="33"/>
        <v>0</v>
      </c>
      <c r="T428" s="91">
        <f t="shared" si="34"/>
        <v>0</v>
      </c>
      <c r="U428" s="27" t="s">
        <v>50</v>
      </c>
      <c r="V428" s="19" t="s">
        <v>51</v>
      </c>
      <c r="W428" s="20">
        <v>45966</v>
      </c>
      <c r="X428" s="22" t="s">
        <v>251</v>
      </c>
      <c r="Y428" s="19" t="s">
        <v>52</v>
      </c>
      <c r="Z428" s="19" t="s">
        <v>52</v>
      </c>
      <c r="AA428" s="19" t="s">
        <v>52</v>
      </c>
      <c r="AB428" s="28"/>
    </row>
    <row r="429" spans="1:28" s="29" customFormat="1" ht="15" customHeight="1" x14ac:dyDescent="0.25">
      <c r="A429" s="14">
        <v>18</v>
      </c>
      <c r="B429" s="15">
        <v>45976</v>
      </c>
      <c r="C429" s="15">
        <f t="shared" si="35"/>
        <v>45984</v>
      </c>
      <c r="D429" s="14">
        <v>13856</v>
      </c>
      <c r="E429" s="16" t="s">
        <v>459</v>
      </c>
      <c r="F429" s="40" t="s">
        <v>460</v>
      </c>
      <c r="G429" s="17" t="s">
        <v>75</v>
      </c>
      <c r="H429" s="18" t="s">
        <v>78</v>
      </c>
      <c r="I429" s="19" t="s">
        <v>79</v>
      </c>
      <c r="J429" s="20">
        <v>45959</v>
      </c>
      <c r="K429" s="20">
        <v>46001</v>
      </c>
      <c r="L429" s="21">
        <v>650000</v>
      </c>
      <c r="M429" s="22">
        <f t="shared" si="36"/>
        <v>672000</v>
      </c>
      <c r="N429" s="23">
        <v>672000</v>
      </c>
      <c r="O429" s="23">
        <v>0</v>
      </c>
      <c r="P429" s="24">
        <f t="shared" si="37"/>
        <v>-22000</v>
      </c>
      <c r="Q429" s="25">
        <v>0</v>
      </c>
      <c r="R429" s="26">
        <v>96000</v>
      </c>
      <c r="S429" s="91">
        <f t="shared" si="33"/>
        <v>0</v>
      </c>
      <c r="T429" s="91">
        <f t="shared" si="34"/>
        <v>0</v>
      </c>
      <c r="U429" s="27" t="s">
        <v>56</v>
      </c>
      <c r="V429" s="19" t="s">
        <v>51</v>
      </c>
      <c r="W429" s="20">
        <v>45968</v>
      </c>
      <c r="X429" s="22" t="s">
        <v>251</v>
      </c>
      <c r="Y429" s="19" t="s">
        <v>52</v>
      </c>
      <c r="Z429" s="19" t="s">
        <v>52</v>
      </c>
      <c r="AA429" s="19" t="s">
        <v>52</v>
      </c>
      <c r="AB429" s="28"/>
    </row>
    <row r="430" spans="1:28" s="29" customFormat="1" ht="15" customHeight="1" x14ac:dyDescent="0.25">
      <c r="A430" s="14">
        <v>3</v>
      </c>
      <c r="B430" s="15">
        <v>45976</v>
      </c>
      <c r="C430" s="15">
        <f t="shared" si="35"/>
        <v>45984</v>
      </c>
      <c r="D430" s="14">
        <v>13485</v>
      </c>
      <c r="E430" s="16" t="s">
        <v>163</v>
      </c>
      <c r="F430" s="17" t="s">
        <v>164</v>
      </c>
      <c r="G430" s="17" t="s">
        <v>132</v>
      </c>
      <c r="H430" s="18" t="s">
        <v>54</v>
      </c>
      <c r="I430" s="19" t="s">
        <v>135</v>
      </c>
      <c r="J430" s="20">
        <v>45896</v>
      </c>
      <c r="K430" s="20">
        <v>45931</v>
      </c>
      <c r="L430" s="21">
        <v>35000</v>
      </c>
      <c r="M430" s="22">
        <f t="shared" si="36"/>
        <v>38422</v>
      </c>
      <c r="N430" s="23">
        <v>38422</v>
      </c>
      <c r="O430" s="23">
        <v>0</v>
      </c>
      <c r="P430" s="24">
        <f t="shared" si="37"/>
        <v>-3422</v>
      </c>
      <c r="Q430" s="25">
        <v>0</v>
      </c>
      <c r="R430" s="26">
        <v>69948</v>
      </c>
      <c r="S430" s="91">
        <f t="shared" si="33"/>
        <v>0</v>
      </c>
      <c r="T430" s="91">
        <f t="shared" si="34"/>
        <v>0</v>
      </c>
      <c r="U430" s="27" t="s">
        <v>56</v>
      </c>
      <c r="V430" s="19" t="s">
        <v>51</v>
      </c>
      <c r="W430" s="20">
        <v>45953</v>
      </c>
      <c r="X430" s="22" t="s">
        <v>251</v>
      </c>
      <c r="Y430" s="19" t="s">
        <v>52</v>
      </c>
      <c r="Z430" s="19" t="s">
        <v>52</v>
      </c>
      <c r="AA430" s="19" t="s">
        <v>52</v>
      </c>
      <c r="AB430" s="28"/>
    </row>
    <row r="431" spans="1:28" s="29" customFormat="1" ht="15" customHeight="1" x14ac:dyDescent="0.25">
      <c r="A431" s="14">
        <v>6</v>
      </c>
      <c r="B431" s="15">
        <v>45976</v>
      </c>
      <c r="C431" s="15">
        <f t="shared" si="35"/>
        <v>45984</v>
      </c>
      <c r="D431" s="14">
        <v>13722</v>
      </c>
      <c r="E431" s="16" t="s">
        <v>154</v>
      </c>
      <c r="F431" s="17" t="s">
        <v>155</v>
      </c>
      <c r="G431" s="17" t="s">
        <v>132</v>
      </c>
      <c r="H431" s="18" t="s">
        <v>775</v>
      </c>
      <c r="I431" s="19" t="s">
        <v>135</v>
      </c>
      <c r="J431" s="20">
        <v>45938</v>
      </c>
      <c r="K431" s="20">
        <v>45980</v>
      </c>
      <c r="L431" s="21">
        <v>110000</v>
      </c>
      <c r="M431" s="22">
        <f t="shared" si="36"/>
        <v>112720</v>
      </c>
      <c r="N431" s="23">
        <v>112720</v>
      </c>
      <c r="O431" s="23">
        <v>0</v>
      </c>
      <c r="P431" s="24">
        <f t="shared" si="37"/>
        <v>-2720</v>
      </c>
      <c r="Q431" s="25">
        <v>0</v>
      </c>
      <c r="R431" s="26">
        <v>57330</v>
      </c>
      <c r="S431" s="91">
        <f t="shared" si="33"/>
        <v>0</v>
      </c>
      <c r="T431" s="91">
        <f t="shared" si="34"/>
        <v>0</v>
      </c>
      <c r="U431" s="27" t="s">
        <v>56</v>
      </c>
      <c r="V431" s="19" t="s">
        <v>51</v>
      </c>
      <c r="W431" s="20">
        <v>45961</v>
      </c>
      <c r="X431" s="22" t="s">
        <v>251</v>
      </c>
      <c r="Y431" s="19" t="s">
        <v>52</v>
      </c>
      <c r="Z431" s="19" t="s">
        <v>52</v>
      </c>
      <c r="AA431" s="19" t="s">
        <v>52</v>
      </c>
      <c r="AB431" s="28"/>
    </row>
    <row r="432" spans="1:28" s="29" customFormat="1" ht="15" customHeight="1" x14ac:dyDescent="0.25">
      <c r="A432" s="14">
        <v>7</v>
      </c>
      <c r="B432" s="15">
        <v>45976</v>
      </c>
      <c r="C432" s="15">
        <f t="shared" si="35"/>
        <v>45984</v>
      </c>
      <c r="D432" s="14">
        <v>13728</v>
      </c>
      <c r="E432" s="16" t="s">
        <v>268</v>
      </c>
      <c r="F432" s="17" t="s">
        <v>899</v>
      </c>
      <c r="G432" s="17" t="s">
        <v>132</v>
      </c>
      <c r="H432" s="18" t="s">
        <v>775</v>
      </c>
      <c r="I432" s="19" t="s">
        <v>135</v>
      </c>
      <c r="J432" s="20">
        <v>45938</v>
      </c>
      <c r="K432" s="20">
        <v>45980</v>
      </c>
      <c r="L432" s="21">
        <v>50000</v>
      </c>
      <c r="M432" s="22">
        <f t="shared" si="36"/>
        <v>62560</v>
      </c>
      <c r="N432" s="23">
        <v>62560</v>
      </c>
      <c r="O432" s="23">
        <v>0</v>
      </c>
      <c r="P432" s="24">
        <f t="shared" si="37"/>
        <v>-12560</v>
      </c>
      <c r="Q432" s="25">
        <v>0</v>
      </c>
      <c r="R432" s="26">
        <v>57330</v>
      </c>
      <c r="S432" s="91">
        <f t="shared" si="33"/>
        <v>0</v>
      </c>
      <c r="T432" s="91">
        <f t="shared" si="34"/>
        <v>0</v>
      </c>
      <c r="U432" s="27" t="s">
        <v>56</v>
      </c>
      <c r="V432" s="19" t="s">
        <v>51</v>
      </c>
      <c r="W432" s="20">
        <v>45967</v>
      </c>
      <c r="X432" s="22" t="s">
        <v>251</v>
      </c>
      <c r="Y432" s="19" t="s">
        <v>52</v>
      </c>
      <c r="Z432" s="19" t="s">
        <v>52</v>
      </c>
      <c r="AA432" s="19" t="s">
        <v>52</v>
      </c>
      <c r="AB432" s="28"/>
    </row>
    <row r="433" spans="1:28" s="29" customFormat="1" ht="15" customHeight="1" x14ac:dyDescent="0.25">
      <c r="A433" s="14">
        <v>1</v>
      </c>
      <c r="B433" s="15">
        <v>45981</v>
      </c>
      <c r="C433" s="15">
        <f t="shared" si="35"/>
        <v>45989</v>
      </c>
      <c r="D433" s="14">
        <v>13846</v>
      </c>
      <c r="E433" s="16" t="s">
        <v>702</v>
      </c>
      <c r="F433" s="17" t="s">
        <v>703</v>
      </c>
      <c r="G433" s="17" t="s">
        <v>47</v>
      </c>
      <c r="H433" s="18" t="s">
        <v>542</v>
      </c>
      <c r="I433" s="19" t="s">
        <v>104</v>
      </c>
      <c r="J433" s="20">
        <v>45957</v>
      </c>
      <c r="K433" s="20">
        <v>45985</v>
      </c>
      <c r="L433" s="21">
        <v>1500000</v>
      </c>
      <c r="M433" s="22">
        <f t="shared" si="36"/>
        <v>1671000</v>
      </c>
      <c r="N433" s="23">
        <v>1671000</v>
      </c>
      <c r="O433" s="23">
        <v>0</v>
      </c>
      <c r="P433" s="24">
        <f t="shared" si="37"/>
        <v>-171000</v>
      </c>
      <c r="Q433" s="25">
        <v>0</v>
      </c>
      <c r="R433" s="26">
        <v>94500</v>
      </c>
      <c r="S433" s="91">
        <f t="shared" si="33"/>
        <v>0</v>
      </c>
      <c r="T433" s="91">
        <f t="shared" si="34"/>
        <v>0</v>
      </c>
      <c r="U433" s="27" t="s">
        <v>50</v>
      </c>
      <c r="V433" s="19" t="s">
        <v>51</v>
      </c>
      <c r="W433" s="20">
        <v>45968</v>
      </c>
      <c r="X433" s="22" t="s">
        <v>251</v>
      </c>
      <c r="Y433" s="19" t="s">
        <v>52</v>
      </c>
      <c r="Z433" s="19" t="s">
        <v>52</v>
      </c>
      <c r="AA433" s="19" t="s">
        <v>52</v>
      </c>
      <c r="AB433" s="42"/>
    </row>
    <row r="434" spans="1:28" s="29" customFormat="1" ht="15" customHeight="1" x14ac:dyDescent="0.25">
      <c r="A434" s="14">
        <v>2</v>
      </c>
      <c r="B434" s="15">
        <v>45983</v>
      </c>
      <c r="C434" s="15">
        <f t="shared" si="35"/>
        <v>45991</v>
      </c>
      <c r="D434" s="14">
        <v>13823</v>
      </c>
      <c r="E434" s="16" t="s">
        <v>436</v>
      </c>
      <c r="F434" s="40" t="s">
        <v>437</v>
      </c>
      <c r="G434" s="17" t="s">
        <v>75</v>
      </c>
      <c r="H434" s="18" t="s">
        <v>57</v>
      </c>
      <c r="I434" s="19" t="s">
        <v>94</v>
      </c>
      <c r="J434" s="20">
        <v>45953</v>
      </c>
      <c r="K434" s="20">
        <v>45994</v>
      </c>
      <c r="L434" s="21">
        <v>600000</v>
      </c>
      <c r="M434" s="22">
        <f t="shared" si="36"/>
        <v>624000</v>
      </c>
      <c r="N434" s="23">
        <v>624000</v>
      </c>
      <c r="O434" s="23">
        <v>0</v>
      </c>
      <c r="P434" s="24">
        <f t="shared" si="37"/>
        <v>-24000</v>
      </c>
      <c r="Q434" s="25">
        <v>0</v>
      </c>
      <c r="R434" s="26">
        <v>150000</v>
      </c>
      <c r="S434" s="91">
        <f t="shared" si="33"/>
        <v>0</v>
      </c>
      <c r="T434" s="91">
        <f t="shared" si="34"/>
        <v>0</v>
      </c>
      <c r="U434" s="27" t="s">
        <v>50</v>
      </c>
      <c r="V434" s="19" t="s">
        <v>51</v>
      </c>
      <c r="W434" s="20">
        <v>45968</v>
      </c>
      <c r="X434" s="22" t="s">
        <v>251</v>
      </c>
      <c r="Y434" s="19" t="s">
        <v>52</v>
      </c>
      <c r="Z434" s="19" t="s">
        <v>52</v>
      </c>
      <c r="AA434" s="19" t="s">
        <v>52</v>
      </c>
      <c r="AB434" s="28"/>
    </row>
    <row r="435" spans="1:28" s="29" customFormat="1" ht="15" customHeight="1" x14ac:dyDescent="0.25">
      <c r="A435" s="14">
        <v>5</v>
      </c>
      <c r="B435" s="15">
        <v>45981</v>
      </c>
      <c r="C435" s="15">
        <f t="shared" si="35"/>
        <v>45989</v>
      </c>
      <c r="D435" s="14">
        <v>13855</v>
      </c>
      <c r="E435" s="16" t="s">
        <v>663</v>
      </c>
      <c r="F435" s="40" t="s">
        <v>664</v>
      </c>
      <c r="G435" s="17" t="s">
        <v>75</v>
      </c>
      <c r="H435" s="18" t="s">
        <v>133</v>
      </c>
      <c r="I435" s="19" t="s">
        <v>198</v>
      </c>
      <c r="J435" s="20">
        <v>45960</v>
      </c>
      <c r="K435" s="20">
        <v>45978</v>
      </c>
      <c r="L435" s="21">
        <v>200000</v>
      </c>
      <c r="M435" s="22">
        <f t="shared" si="36"/>
        <v>240000</v>
      </c>
      <c r="N435" s="23">
        <v>240000</v>
      </c>
      <c r="O435" s="23">
        <v>0</v>
      </c>
      <c r="P435" s="24">
        <f t="shared" si="37"/>
        <v>-40000</v>
      </c>
      <c r="Q435" s="25">
        <v>0</v>
      </c>
      <c r="R435" s="26">
        <v>150000</v>
      </c>
      <c r="S435" s="91">
        <f t="shared" si="33"/>
        <v>0</v>
      </c>
      <c r="T435" s="91">
        <f t="shared" si="34"/>
        <v>0</v>
      </c>
      <c r="U435" s="27" t="s">
        <v>56</v>
      </c>
      <c r="V435" s="19" t="s">
        <v>51</v>
      </c>
      <c r="W435" s="20">
        <v>45971</v>
      </c>
      <c r="X435" s="22" t="s">
        <v>251</v>
      </c>
      <c r="Y435" s="19" t="s">
        <v>52</v>
      </c>
      <c r="Z435" s="19" t="s">
        <v>52</v>
      </c>
      <c r="AA435" s="19" t="s">
        <v>52</v>
      </c>
      <c r="AB435" s="28"/>
    </row>
    <row r="436" spans="1:28" s="29" customFormat="1" ht="15" customHeight="1" x14ac:dyDescent="0.25">
      <c r="A436" s="14">
        <v>6</v>
      </c>
      <c r="B436" s="15">
        <v>45981</v>
      </c>
      <c r="C436" s="15">
        <f t="shared" si="35"/>
        <v>45989</v>
      </c>
      <c r="D436" s="14">
        <v>13790</v>
      </c>
      <c r="E436" s="16" t="s">
        <v>931</v>
      </c>
      <c r="F436" s="40" t="s">
        <v>932</v>
      </c>
      <c r="G436" s="17" t="s">
        <v>75</v>
      </c>
      <c r="H436" s="18" t="s">
        <v>133</v>
      </c>
      <c r="I436" s="19" t="s">
        <v>198</v>
      </c>
      <c r="J436" s="20">
        <v>45947</v>
      </c>
      <c r="K436" s="20">
        <v>45980</v>
      </c>
      <c r="L436" s="21">
        <v>180000</v>
      </c>
      <c r="M436" s="22">
        <f t="shared" si="36"/>
        <v>208000</v>
      </c>
      <c r="N436" s="23">
        <v>208000</v>
      </c>
      <c r="O436" s="23">
        <v>0</v>
      </c>
      <c r="P436" s="24">
        <f t="shared" si="37"/>
        <v>-28000</v>
      </c>
      <c r="Q436" s="25">
        <v>0</v>
      </c>
      <c r="R436" s="26">
        <v>120000</v>
      </c>
      <c r="S436" s="91">
        <f t="shared" si="33"/>
        <v>0</v>
      </c>
      <c r="T436" s="91">
        <f t="shared" si="34"/>
        <v>0</v>
      </c>
      <c r="U436" s="27" t="s">
        <v>56</v>
      </c>
      <c r="V436" s="19" t="s">
        <v>51</v>
      </c>
      <c r="W436" s="20">
        <v>45971</v>
      </c>
      <c r="X436" s="22" t="s">
        <v>251</v>
      </c>
      <c r="Y436" s="19" t="s">
        <v>52</v>
      </c>
      <c r="Z436" s="19" t="s">
        <v>52</v>
      </c>
      <c r="AA436" s="19" t="s">
        <v>52</v>
      </c>
      <c r="AB436" s="28"/>
    </row>
    <row r="437" spans="1:28" s="29" customFormat="1" ht="15" customHeight="1" x14ac:dyDescent="0.25">
      <c r="A437" s="14">
        <v>7</v>
      </c>
      <c r="B437" s="15">
        <v>45986</v>
      </c>
      <c r="C437" s="15">
        <f t="shared" si="35"/>
        <v>45994</v>
      </c>
      <c r="D437" s="14">
        <v>13841</v>
      </c>
      <c r="E437" s="16" t="s">
        <v>464</v>
      </c>
      <c r="F437" s="40" t="s">
        <v>465</v>
      </c>
      <c r="G437" s="17" t="s">
        <v>75</v>
      </c>
      <c r="H437" s="18" t="s">
        <v>113</v>
      </c>
      <c r="I437" s="19" t="s">
        <v>64</v>
      </c>
      <c r="J437" s="20">
        <v>45961</v>
      </c>
      <c r="K437" s="20">
        <v>45982</v>
      </c>
      <c r="L437" s="21">
        <v>1000000</v>
      </c>
      <c r="M437" s="22">
        <f t="shared" si="36"/>
        <v>1044000</v>
      </c>
      <c r="N437" s="23">
        <v>1044000</v>
      </c>
      <c r="O437" s="23">
        <v>0</v>
      </c>
      <c r="P437" s="24">
        <f t="shared" si="37"/>
        <v>-44000</v>
      </c>
      <c r="Q437" s="25">
        <v>0</v>
      </c>
      <c r="R437" s="26">
        <v>150000</v>
      </c>
      <c r="S437" s="91">
        <f t="shared" si="33"/>
        <v>0</v>
      </c>
      <c r="T437" s="91">
        <f t="shared" si="34"/>
        <v>0</v>
      </c>
      <c r="U437" s="27" t="s">
        <v>50</v>
      </c>
      <c r="V437" s="19" t="s">
        <v>51</v>
      </c>
      <c r="W437" s="20">
        <v>45971</v>
      </c>
      <c r="X437" s="22" t="s">
        <v>251</v>
      </c>
      <c r="Y437" s="19" t="s">
        <v>52</v>
      </c>
      <c r="Z437" s="19" t="s">
        <v>52</v>
      </c>
      <c r="AA437" s="19" t="s">
        <v>52</v>
      </c>
      <c r="AB437" s="28"/>
    </row>
    <row r="438" spans="1:28" s="29" customFormat="1" ht="15" customHeight="1" x14ac:dyDescent="0.25">
      <c r="A438" s="14">
        <v>8</v>
      </c>
      <c r="B438" s="15">
        <v>45981</v>
      </c>
      <c r="C438" s="15">
        <f t="shared" si="35"/>
        <v>45989</v>
      </c>
      <c r="D438" s="14">
        <v>13772</v>
      </c>
      <c r="E438" s="16" t="s">
        <v>190</v>
      </c>
      <c r="F438" s="40" t="s">
        <v>191</v>
      </c>
      <c r="G438" s="17" t="s">
        <v>75</v>
      </c>
      <c r="H438" s="18" t="s">
        <v>916</v>
      </c>
      <c r="I438" s="19" t="s">
        <v>49</v>
      </c>
      <c r="J438" s="20">
        <v>45945</v>
      </c>
      <c r="K438" s="20">
        <v>45992</v>
      </c>
      <c r="L438" s="21">
        <v>250000</v>
      </c>
      <c r="M438" s="22">
        <f t="shared" si="36"/>
        <v>267000</v>
      </c>
      <c r="N438" s="23">
        <v>267000</v>
      </c>
      <c r="O438" s="23">
        <v>0</v>
      </c>
      <c r="P438" s="24">
        <f t="shared" si="37"/>
        <v>-17000</v>
      </c>
      <c r="Q438" s="25">
        <v>0</v>
      </c>
      <c r="R438" s="26">
        <v>50000</v>
      </c>
      <c r="S438" s="91">
        <f t="shared" si="33"/>
        <v>0</v>
      </c>
      <c r="T438" s="91">
        <f t="shared" si="34"/>
        <v>0</v>
      </c>
      <c r="U438" s="27" t="s">
        <v>50</v>
      </c>
      <c r="V438" s="19" t="s">
        <v>51</v>
      </c>
      <c r="W438" s="20">
        <v>45964</v>
      </c>
      <c r="X438" s="22" t="s">
        <v>251</v>
      </c>
      <c r="Y438" s="19" t="s">
        <v>52</v>
      </c>
      <c r="Z438" s="19" t="s">
        <v>52</v>
      </c>
      <c r="AA438" s="19" t="s">
        <v>52</v>
      </c>
      <c r="AB438" s="28"/>
    </row>
    <row r="439" spans="1:28" s="29" customFormat="1" ht="15" customHeight="1" x14ac:dyDescent="0.25">
      <c r="A439" s="14">
        <v>16</v>
      </c>
      <c r="B439" s="15">
        <v>45981</v>
      </c>
      <c r="C439" s="15">
        <f t="shared" si="35"/>
        <v>45989</v>
      </c>
      <c r="D439" s="14">
        <v>13866</v>
      </c>
      <c r="E439" s="16" t="s">
        <v>552</v>
      </c>
      <c r="F439" s="40" t="s">
        <v>553</v>
      </c>
      <c r="G439" s="17" t="s">
        <v>75</v>
      </c>
      <c r="H439" s="18" t="s">
        <v>78</v>
      </c>
      <c r="I439" s="19" t="s">
        <v>79</v>
      </c>
      <c r="J439" s="20">
        <v>45964</v>
      </c>
      <c r="K439" s="20">
        <v>46002</v>
      </c>
      <c r="L439" s="21">
        <v>230000</v>
      </c>
      <c r="M439" s="22">
        <f t="shared" si="36"/>
        <v>267000</v>
      </c>
      <c r="N439" s="23">
        <v>267000</v>
      </c>
      <c r="O439" s="23">
        <v>0</v>
      </c>
      <c r="P439" s="24">
        <f t="shared" si="37"/>
        <v>-37000</v>
      </c>
      <c r="Q439" s="25">
        <v>0</v>
      </c>
      <c r="R439" s="26">
        <v>96000</v>
      </c>
      <c r="S439" s="91">
        <f t="shared" si="33"/>
        <v>0</v>
      </c>
      <c r="T439" s="91">
        <f t="shared" si="34"/>
        <v>0</v>
      </c>
      <c r="U439" s="27" t="s">
        <v>56</v>
      </c>
      <c r="V439" s="19" t="s">
        <v>51</v>
      </c>
      <c r="W439" s="20">
        <v>45973</v>
      </c>
      <c r="X439" s="22" t="s">
        <v>251</v>
      </c>
      <c r="Y439" s="19" t="s">
        <v>52</v>
      </c>
      <c r="Z439" s="19" t="s">
        <v>52</v>
      </c>
      <c r="AA439" s="19" t="s">
        <v>52</v>
      </c>
      <c r="AB439" s="28"/>
    </row>
    <row r="440" spans="1:28" s="29" customFormat="1" ht="15" customHeight="1" x14ac:dyDescent="0.25">
      <c r="A440" s="14">
        <v>25</v>
      </c>
      <c r="B440" s="15">
        <v>45986</v>
      </c>
      <c r="C440" s="15">
        <f t="shared" si="35"/>
        <v>45994</v>
      </c>
      <c r="D440" s="14">
        <v>13834</v>
      </c>
      <c r="E440" s="16" t="s">
        <v>289</v>
      </c>
      <c r="F440" s="40" t="s">
        <v>290</v>
      </c>
      <c r="G440" s="17" t="s">
        <v>75</v>
      </c>
      <c r="H440" s="18" t="s">
        <v>133</v>
      </c>
      <c r="I440" s="19" t="s">
        <v>198</v>
      </c>
      <c r="J440" s="20">
        <v>45957</v>
      </c>
      <c r="K440" s="20">
        <v>46013</v>
      </c>
      <c r="L440" s="21">
        <v>120000</v>
      </c>
      <c r="M440" s="22">
        <f t="shared" si="36"/>
        <v>117000</v>
      </c>
      <c r="N440" s="23">
        <v>117000</v>
      </c>
      <c r="O440" s="23">
        <v>0</v>
      </c>
      <c r="P440" s="24">
        <f t="shared" si="37"/>
        <v>3000</v>
      </c>
      <c r="Q440" s="25">
        <v>0</v>
      </c>
      <c r="R440" s="26">
        <v>45000</v>
      </c>
      <c r="S440" s="91">
        <f t="shared" si="33"/>
        <v>6.6666666666666666E-2</v>
      </c>
      <c r="T440" s="91">
        <f t="shared" si="34"/>
        <v>0</v>
      </c>
      <c r="U440" s="27" t="s">
        <v>56</v>
      </c>
      <c r="V440" s="19" t="s">
        <v>59</v>
      </c>
      <c r="W440" s="20">
        <v>45997</v>
      </c>
      <c r="X440" s="22" t="s">
        <v>251</v>
      </c>
      <c r="Y440" s="19" t="s">
        <v>52</v>
      </c>
      <c r="Z440" s="19" t="s">
        <v>52</v>
      </c>
      <c r="AA440" s="19" t="s">
        <v>52</v>
      </c>
      <c r="AB440" s="28"/>
    </row>
    <row r="441" spans="1:28" s="29" customFormat="1" ht="15" customHeight="1" x14ac:dyDescent="0.25">
      <c r="A441" s="14">
        <v>4</v>
      </c>
      <c r="B441" s="15">
        <v>45983</v>
      </c>
      <c r="C441" s="15">
        <f t="shared" si="35"/>
        <v>45991</v>
      </c>
      <c r="D441" s="14">
        <v>13561</v>
      </c>
      <c r="E441" s="16" t="s">
        <v>817</v>
      </c>
      <c r="F441" s="17" t="s">
        <v>818</v>
      </c>
      <c r="G441" s="17" t="s">
        <v>102</v>
      </c>
      <c r="H441" s="18" t="s">
        <v>54</v>
      </c>
      <c r="I441" s="19" t="s">
        <v>135</v>
      </c>
      <c r="J441" s="20">
        <v>45917</v>
      </c>
      <c r="K441" s="20">
        <v>45947</v>
      </c>
      <c r="L441" s="21">
        <v>75000</v>
      </c>
      <c r="M441" s="22">
        <f t="shared" si="36"/>
        <v>71000</v>
      </c>
      <c r="N441" s="23">
        <v>71000</v>
      </c>
      <c r="O441" s="23">
        <v>0</v>
      </c>
      <c r="P441" s="24">
        <f t="shared" si="37"/>
        <v>4000</v>
      </c>
      <c r="Q441" s="25">
        <v>0</v>
      </c>
      <c r="R441" s="26">
        <v>24000</v>
      </c>
      <c r="S441" s="91">
        <f t="shared" si="33"/>
        <v>0.16666666666666666</v>
      </c>
      <c r="T441" s="91">
        <f t="shared" si="34"/>
        <v>0</v>
      </c>
      <c r="U441" s="27" t="s">
        <v>56</v>
      </c>
      <c r="V441" s="19" t="s">
        <v>51</v>
      </c>
      <c r="W441" s="20">
        <v>45953</v>
      </c>
      <c r="X441" s="22" t="s">
        <v>251</v>
      </c>
      <c r="Y441" s="19" t="s">
        <v>52</v>
      </c>
      <c r="Z441" s="19" t="s">
        <v>52</v>
      </c>
      <c r="AA441" s="19" t="s">
        <v>52</v>
      </c>
      <c r="AB441" s="28"/>
    </row>
    <row r="442" spans="1:28" s="29" customFormat="1" ht="15" customHeight="1" x14ac:dyDescent="0.25">
      <c r="A442" s="14">
        <v>7</v>
      </c>
      <c r="B442" s="15">
        <v>45976</v>
      </c>
      <c r="C442" s="15">
        <f t="shared" si="35"/>
        <v>45984</v>
      </c>
      <c r="D442" s="14">
        <v>13777</v>
      </c>
      <c r="E442" s="16" t="s">
        <v>917</v>
      </c>
      <c r="F442" s="17" t="s">
        <v>538</v>
      </c>
      <c r="G442" s="17" t="s">
        <v>102</v>
      </c>
      <c r="H442" s="18" t="s">
        <v>57</v>
      </c>
      <c r="I442" s="19" t="s">
        <v>58</v>
      </c>
      <c r="J442" s="20">
        <v>45945</v>
      </c>
      <c r="K442" s="20">
        <v>45973</v>
      </c>
      <c r="L442" s="21">
        <v>300000</v>
      </c>
      <c r="M442" s="22">
        <f t="shared" si="36"/>
        <v>257000</v>
      </c>
      <c r="N442" s="23">
        <v>257000</v>
      </c>
      <c r="O442" s="23">
        <v>0</v>
      </c>
      <c r="P442" s="24">
        <f t="shared" si="37"/>
        <v>43000</v>
      </c>
      <c r="Q442" s="25">
        <v>0</v>
      </c>
      <c r="R442" s="26">
        <v>100000</v>
      </c>
      <c r="S442" s="91">
        <f t="shared" si="33"/>
        <v>0.43</v>
      </c>
      <c r="T442" s="91">
        <f t="shared" si="34"/>
        <v>0</v>
      </c>
      <c r="U442" s="27" t="s">
        <v>50</v>
      </c>
      <c r="V442" s="19" t="s">
        <v>51</v>
      </c>
      <c r="W442" s="20">
        <v>45957</v>
      </c>
      <c r="X442" s="22" t="s">
        <v>251</v>
      </c>
      <c r="Y442" s="19" t="s">
        <v>52</v>
      </c>
      <c r="Z442" s="19" t="s">
        <v>52</v>
      </c>
      <c r="AA442" s="19" t="s">
        <v>52</v>
      </c>
      <c r="AB442" s="28"/>
    </row>
    <row r="443" spans="1:28" s="29" customFormat="1" ht="15" customHeight="1" x14ac:dyDescent="0.25">
      <c r="A443" s="14">
        <v>9</v>
      </c>
      <c r="B443" s="15">
        <v>45976</v>
      </c>
      <c r="C443" s="15">
        <f t="shared" si="35"/>
        <v>45984</v>
      </c>
      <c r="D443" s="14">
        <v>13811</v>
      </c>
      <c r="E443" s="16" t="s">
        <v>111</v>
      </c>
      <c r="F443" s="17" t="s">
        <v>481</v>
      </c>
      <c r="G443" s="17" t="s">
        <v>102</v>
      </c>
      <c r="H443" s="18" t="s">
        <v>57</v>
      </c>
      <c r="I443" s="19" t="s">
        <v>94</v>
      </c>
      <c r="J443" s="20">
        <v>45951</v>
      </c>
      <c r="K443" s="20">
        <v>45985</v>
      </c>
      <c r="L443" s="21">
        <v>100000</v>
      </c>
      <c r="M443" s="22">
        <f t="shared" si="36"/>
        <v>101000</v>
      </c>
      <c r="N443" s="23">
        <v>101000</v>
      </c>
      <c r="O443" s="23">
        <v>0</v>
      </c>
      <c r="P443" s="24">
        <f t="shared" si="37"/>
        <v>-1000</v>
      </c>
      <c r="Q443" s="25">
        <v>0</v>
      </c>
      <c r="R443" s="26">
        <v>42000</v>
      </c>
      <c r="S443" s="91">
        <f t="shared" ref="S443:S506" si="38">IF(P443&gt;0,P443/$R443,0)</f>
        <v>0</v>
      </c>
      <c r="T443" s="91">
        <f t="shared" ref="T443:T506" si="39">IF(Q443&gt;0,Q443/$R443,0)</f>
        <v>0</v>
      </c>
      <c r="U443" s="27" t="s">
        <v>50</v>
      </c>
      <c r="V443" s="19" t="s">
        <v>51</v>
      </c>
      <c r="W443" s="20">
        <v>45968</v>
      </c>
      <c r="X443" s="22" t="s">
        <v>251</v>
      </c>
      <c r="Y443" s="19" t="s">
        <v>52</v>
      </c>
      <c r="Z443" s="19" t="s">
        <v>52</v>
      </c>
      <c r="AA443" s="19" t="s">
        <v>52</v>
      </c>
      <c r="AB443" s="28"/>
    </row>
    <row r="444" spans="1:28" s="29" customFormat="1" ht="15" customHeight="1" x14ac:dyDescent="0.25">
      <c r="A444" s="14">
        <v>21</v>
      </c>
      <c r="B444" s="15">
        <v>45983</v>
      </c>
      <c r="C444" s="15">
        <f t="shared" si="35"/>
        <v>45991</v>
      </c>
      <c r="D444" s="14">
        <v>13562</v>
      </c>
      <c r="E444" s="16" t="s">
        <v>839</v>
      </c>
      <c r="F444" s="17" t="s">
        <v>840</v>
      </c>
      <c r="G444" s="17" t="s">
        <v>102</v>
      </c>
      <c r="H444" s="18" t="s">
        <v>54</v>
      </c>
      <c r="I444" s="19" t="s">
        <v>135</v>
      </c>
      <c r="J444" s="20">
        <v>45918</v>
      </c>
      <c r="K444" s="20">
        <v>45947</v>
      </c>
      <c r="L444" s="21">
        <v>65000</v>
      </c>
      <c r="M444" s="22">
        <f t="shared" si="36"/>
        <v>72000</v>
      </c>
      <c r="N444" s="23">
        <v>72000</v>
      </c>
      <c r="O444" s="23">
        <v>0</v>
      </c>
      <c r="P444" s="24">
        <f t="shared" si="37"/>
        <v>-7000</v>
      </c>
      <c r="Q444" s="25">
        <v>0</v>
      </c>
      <c r="R444" s="26">
        <v>24000</v>
      </c>
      <c r="S444" s="91">
        <f t="shared" si="38"/>
        <v>0</v>
      </c>
      <c r="T444" s="91">
        <f t="shared" si="39"/>
        <v>0</v>
      </c>
      <c r="U444" s="27" t="s">
        <v>56</v>
      </c>
      <c r="V444" s="19" t="s">
        <v>51</v>
      </c>
      <c r="W444" s="20">
        <v>45953</v>
      </c>
      <c r="X444" s="22" t="s">
        <v>251</v>
      </c>
      <c r="Y444" s="19" t="s">
        <v>52</v>
      </c>
      <c r="Z444" s="19" t="s">
        <v>52</v>
      </c>
      <c r="AA444" s="19" t="s">
        <v>52</v>
      </c>
      <c r="AB444" s="28"/>
    </row>
    <row r="445" spans="1:28" s="29" customFormat="1" ht="15" customHeight="1" x14ac:dyDescent="0.25">
      <c r="A445" s="14">
        <v>45</v>
      </c>
      <c r="B445" s="15">
        <v>45986</v>
      </c>
      <c r="C445" s="15">
        <f t="shared" si="35"/>
        <v>45994</v>
      </c>
      <c r="D445" s="14">
        <v>13819</v>
      </c>
      <c r="E445" s="16" t="s">
        <v>760</v>
      </c>
      <c r="F445" s="17" t="s">
        <v>286</v>
      </c>
      <c r="G445" s="17" t="s">
        <v>102</v>
      </c>
      <c r="H445" s="18" t="s">
        <v>57</v>
      </c>
      <c r="I445" s="19" t="s">
        <v>94</v>
      </c>
      <c r="J445" s="20">
        <v>45953</v>
      </c>
      <c r="K445" s="20">
        <v>45994</v>
      </c>
      <c r="L445" s="21">
        <v>150000</v>
      </c>
      <c r="M445" s="22">
        <f t="shared" si="36"/>
        <v>164000</v>
      </c>
      <c r="N445" s="23">
        <v>164000</v>
      </c>
      <c r="O445" s="23">
        <v>0</v>
      </c>
      <c r="P445" s="24">
        <f t="shared" si="37"/>
        <v>-14000</v>
      </c>
      <c r="Q445" s="25">
        <v>0</v>
      </c>
      <c r="R445" s="26">
        <v>45000</v>
      </c>
      <c r="S445" s="91">
        <f t="shared" si="38"/>
        <v>0</v>
      </c>
      <c r="T445" s="91">
        <f t="shared" si="39"/>
        <v>0</v>
      </c>
      <c r="U445" s="27" t="s">
        <v>50</v>
      </c>
      <c r="V445" s="19" t="s">
        <v>51</v>
      </c>
      <c r="W445" s="20">
        <v>45971</v>
      </c>
      <c r="X445" s="22" t="s">
        <v>251</v>
      </c>
      <c r="Y445" s="19" t="s">
        <v>52</v>
      </c>
      <c r="Z445" s="19" t="s">
        <v>52</v>
      </c>
      <c r="AA445" s="19" t="s">
        <v>52</v>
      </c>
      <c r="AB445" s="28"/>
    </row>
    <row r="446" spans="1:28" s="29" customFormat="1" ht="15" customHeight="1" x14ac:dyDescent="0.25">
      <c r="A446" s="14">
        <v>46</v>
      </c>
      <c r="B446" s="15">
        <v>45983</v>
      </c>
      <c r="C446" s="15">
        <f t="shared" si="35"/>
        <v>45991</v>
      </c>
      <c r="D446" s="14">
        <v>13910</v>
      </c>
      <c r="E446" s="16" t="s">
        <v>121</v>
      </c>
      <c r="F446" s="17" t="s">
        <v>122</v>
      </c>
      <c r="G446" s="17" t="s">
        <v>102</v>
      </c>
      <c r="H446" s="18" t="s">
        <v>542</v>
      </c>
      <c r="I446" s="19" t="s">
        <v>70</v>
      </c>
      <c r="J446" s="20">
        <v>45967</v>
      </c>
      <c r="K446" s="20">
        <v>45994</v>
      </c>
      <c r="L446" s="21">
        <v>500000</v>
      </c>
      <c r="M446" s="22">
        <f t="shared" si="36"/>
        <v>501000</v>
      </c>
      <c r="N446" s="23">
        <v>501000</v>
      </c>
      <c r="O446" s="23">
        <v>0</v>
      </c>
      <c r="P446" s="24">
        <f t="shared" si="37"/>
        <v>-1000</v>
      </c>
      <c r="Q446" s="25">
        <v>0</v>
      </c>
      <c r="R446" s="26">
        <v>50000</v>
      </c>
      <c r="S446" s="91">
        <f t="shared" si="38"/>
        <v>0</v>
      </c>
      <c r="T446" s="91">
        <f t="shared" si="39"/>
        <v>0</v>
      </c>
      <c r="U446" s="27" t="s">
        <v>50</v>
      </c>
      <c r="V446" s="19" t="s">
        <v>51</v>
      </c>
      <c r="W446" s="20">
        <v>45974</v>
      </c>
      <c r="X446" s="22" t="s">
        <v>251</v>
      </c>
      <c r="Y446" s="19" t="s">
        <v>52</v>
      </c>
      <c r="Z446" s="19" t="s">
        <v>52</v>
      </c>
      <c r="AA446" s="19" t="s">
        <v>52</v>
      </c>
      <c r="AB446" s="28"/>
    </row>
    <row r="447" spans="1:28" s="29" customFormat="1" ht="15" customHeight="1" x14ac:dyDescent="0.25">
      <c r="A447" s="14">
        <v>3</v>
      </c>
      <c r="B447" s="15">
        <v>45983</v>
      </c>
      <c r="C447" s="15">
        <f t="shared" si="35"/>
        <v>45991</v>
      </c>
      <c r="D447" s="14">
        <v>13434</v>
      </c>
      <c r="E447" s="16" t="s">
        <v>358</v>
      </c>
      <c r="F447" s="17" t="s">
        <v>359</v>
      </c>
      <c r="G447" s="17" t="s">
        <v>132</v>
      </c>
      <c r="H447" s="18" t="s">
        <v>162</v>
      </c>
      <c r="I447" s="19" t="s">
        <v>198</v>
      </c>
      <c r="J447" s="20">
        <v>45891</v>
      </c>
      <c r="K447" s="20">
        <v>45953</v>
      </c>
      <c r="L447" s="21">
        <v>350000</v>
      </c>
      <c r="M447" s="22">
        <f t="shared" si="36"/>
        <v>401590</v>
      </c>
      <c r="N447" s="23">
        <v>401590</v>
      </c>
      <c r="O447" s="23">
        <v>0</v>
      </c>
      <c r="P447" s="24">
        <f t="shared" si="37"/>
        <v>-51590</v>
      </c>
      <c r="Q447" s="25">
        <v>0</v>
      </c>
      <c r="R447" s="26">
        <v>324000</v>
      </c>
      <c r="S447" s="91">
        <f t="shared" si="38"/>
        <v>0</v>
      </c>
      <c r="T447" s="91">
        <f t="shared" si="39"/>
        <v>0</v>
      </c>
      <c r="U447" s="27" t="s">
        <v>56</v>
      </c>
      <c r="V447" s="19" t="s">
        <v>51</v>
      </c>
      <c r="W447" s="20">
        <v>45948</v>
      </c>
      <c r="X447" s="22" t="s">
        <v>251</v>
      </c>
      <c r="Y447" s="19" t="s">
        <v>52</v>
      </c>
      <c r="Z447" s="19" t="s">
        <v>52</v>
      </c>
      <c r="AA447" s="19" t="s">
        <v>52</v>
      </c>
      <c r="AB447" s="28"/>
    </row>
    <row r="448" spans="1:28" s="29" customFormat="1" ht="15" customHeight="1" x14ac:dyDescent="0.25">
      <c r="A448" s="14">
        <v>4</v>
      </c>
      <c r="B448" s="15">
        <v>45986</v>
      </c>
      <c r="C448" s="15">
        <f t="shared" si="35"/>
        <v>45994</v>
      </c>
      <c r="D448" s="14">
        <v>13524</v>
      </c>
      <c r="E448" s="16" t="s">
        <v>333</v>
      </c>
      <c r="F448" s="17" t="s">
        <v>334</v>
      </c>
      <c r="G448" s="17" t="s">
        <v>132</v>
      </c>
      <c r="H448" s="18" t="s">
        <v>162</v>
      </c>
      <c r="I448" s="19" t="s">
        <v>198</v>
      </c>
      <c r="J448" s="20">
        <v>45905</v>
      </c>
      <c r="K448" s="20">
        <v>45957</v>
      </c>
      <c r="L448" s="21">
        <v>450000</v>
      </c>
      <c r="M448" s="22">
        <f t="shared" si="36"/>
        <v>534210</v>
      </c>
      <c r="N448" s="23">
        <v>534210</v>
      </c>
      <c r="O448" s="23">
        <v>0</v>
      </c>
      <c r="P448" s="24">
        <f t="shared" si="37"/>
        <v>-84210</v>
      </c>
      <c r="Q448" s="25">
        <v>0</v>
      </c>
      <c r="R448" s="26">
        <v>324000</v>
      </c>
      <c r="S448" s="91">
        <f t="shared" si="38"/>
        <v>0</v>
      </c>
      <c r="T448" s="91">
        <f t="shared" si="39"/>
        <v>0</v>
      </c>
      <c r="U448" s="27" t="s">
        <v>56</v>
      </c>
      <c r="V448" s="19" t="s">
        <v>51</v>
      </c>
      <c r="W448" s="20">
        <v>45967</v>
      </c>
      <c r="X448" s="22" t="s">
        <v>251</v>
      </c>
      <c r="Y448" s="19" t="s">
        <v>52</v>
      </c>
      <c r="Z448" s="19" t="s">
        <v>52</v>
      </c>
      <c r="AA448" s="19" t="s">
        <v>52</v>
      </c>
      <c r="AB448" s="28"/>
    </row>
    <row r="449" spans="1:28" s="29" customFormat="1" ht="15" customHeight="1" x14ac:dyDescent="0.25">
      <c r="A449" s="14">
        <v>5</v>
      </c>
      <c r="B449" s="15">
        <v>45986</v>
      </c>
      <c r="C449" s="15">
        <f t="shared" si="35"/>
        <v>45994</v>
      </c>
      <c r="D449" s="14">
        <v>13738</v>
      </c>
      <c r="E449" s="16" t="s">
        <v>240</v>
      </c>
      <c r="F449" s="17" t="s">
        <v>241</v>
      </c>
      <c r="G449" s="17" t="s">
        <v>132</v>
      </c>
      <c r="H449" s="18" t="s">
        <v>775</v>
      </c>
      <c r="I449" s="19" t="s">
        <v>135</v>
      </c>
      <c r="J449" s="20">
        <v>45938</v>
      </c>
      <c r="K449" s="20">
        <v>45982</v>
      </c>
      <c r="L449" s="21">
        <v>310000</v>
      </c>
      <c r="M449" s="22">
        <f t="shared" si="36"/>
        <v>351000</v>
      </c>
      <c r="N449" s="23">
        <v>351000</v>
      </c>
      <c r="O449" s="23">
        <v>0</v>
      </c>
      <c r="P449" s="24">
        <f t="shared" si="37"/>
        <v>-41000</v>
      </c>
      <c r="Q449" s="25">
        <v>0</v>
      </c>
      <c r="R449" s="26">
        <v>175500</v>
      </c>
      <c r="S449" s="91">
        <f t="shared" si="38"/>
        <v>0</v>
      </c>
      <c r="T449" s="91">
        <f t="shared" si="39"/>
        <v>0</v>
      </c>
      <c r="U449" s="27" t="s">
        <v>56</v>
      </c>
      <c r="V449" s="19" t="s">
        <v>51</v>
      </c>
      <c r="W449" s="20">
        <v>45969</v>
      </c>
      <c r="X449" s="22" t="s">
        <v>251</v>
      </c>
      <c r="Y449" s="19" t="s">
        <v>52</v>
      </c>
      <c r="Z449" s="19" t="s">
        <v>52</v>
      </c>
      <c r="AA449" s="19" t="s">
        <v>52</v>
      </c>
      <c r="AB449" s="28"/>
    </row>
    <row r="450" spans="1:28" s="29" customFormat="1" ht="15" customHeight="1" x14ac:dyDescent="0.25">
      <c r="A450" s="14">
        <v>7</v>
      </c>
      <c r="B450" s="15">
        <v>45986</v>
      </c>
      <c r="C450" s="15">
        <f t="shared" si="35"/>
        <v>45994</v>
      </c>
      <c r="D450" s="14">
        <v>13862</v>
      </c>
      <c r="E450" s="16" t="s">
        <v>310</v>
      </c>
      <c r="F450" s="17" t="s">
        <v>311</v>
      </c>
      <c r="G450" s="17" t="s">
        <v>132</v>
      </c>
      <c r="H450" s="18" t="s">
        <v>133</v>
      </c>
      <c r="I450" s="19" t="s">
        <v>198</v>
      </c>
      <c r="J450" s="20">
        <v>45961</v>
      </c>
      <c r="K450" s="20">
        <v>45985</v>
      </c>
      <c r="L450" s="21">
        <v>200000</v>
      </c>
      <c r="M450" s="22">
        <f t="shared" si="36"/>
        <v>192380</v>
      </c>
      <c r="N450" s="23">
        <v>192380</v>
      </c>
      <c r="O450" s="23">
        <v>0</v>
      </c>
      <c r="P450" s="24">
        <f t="shared" si="37"/>
        <v>7620</v>
      </c>
      <c r="Q450" s="25">
        <v>0</v>
      </c>
      <c r="R450" s="26">
        <v>160000</v>
      </c>
      <c r="S450" s="91">
        <f t="shared" si="38"/>
        <v>4.7625000000000001E-2</v>
      </c>
      <c r="T450" s="91">
        <f t="shared" si="39"/>
        <v>0</v>
      </c>
      <c r="U450" s="27" t="s">
        <v>56</v>
      </c>
      <c r="V450" s="19" t="s">
        <v>51</v>
      </c>
      <c r="W450" s="20">
        <v>45980</v>
      </c>
      <c r="X450" s="22" t="s">
        <v>251</v>
      </c>
      <c r="Y450" s="19" t="s">
        <v>52</v>
      </c>
      <c r="Z450" s="19" t="s">
        <v>52</v>
      </c>
      <c r="AA450" s="19" t="s">
        <v>52</v>
      </c>
      <c r="AB450" s="28"/>
    </row>
    <row r="451" spans="1:28" s="29" customFormat="1" ht="15" customHeight="1" x14ac:dyDescent="0.25">
      <c r="A451" s="14">
        <v>10</v>
      </c>
      <c r="B451" s="15">
        <v>45992</v>
      </c>
      <c r="C451" s="15">
        <f t="shared" si="35"/>
        <v>46000</v>
      </c>
      <c r="D451" s="14">
        <v>13734</v>
      </c>
      <c r="E451" s="16" t="s">
        <v>199</v>
      </c>
      <c r="F451" s="40" t="s">
        <v>200</v>
      </c>
      <c r="G451" s="17" t="s">
        <v>75</v>
      </c>
      <c r="H451" s="18" t="s">
        <v>133</v>
      </c>
      <c r="I451" s="19" t="s">
        <v>198</v>
      </c>
      <c r="J451" s="20">
        <v>45938</v>
      </c>
      <c r="K451" s="20">
        <v>46001</v>
      </c>
      <c r="L451" s="21">
        <v>150000</v>
      </c>
      <c r="M451" s="22">
        <f t="shared" si="36"/>
        <v>150000</v>
      </c>
      <c r="N451" s="23">
        <v>150000</v>
      </c>
      <c r="O451" s="23">
        <v>0</v>
      </c>
      <c r="P451" s="24">
        <f t="shared" si="37"/>
        <v>0</v>
      </c>
      <c r="Q451" s="25">
        <v>0</v>
      </c>
      <c r="R451" s="26">
        <v>45000</v>
      </c>
      <c r="S451" s="91">
        <f t="shared" si="38"/>
        <v>0</v>
      </c>
      <c r="T451" s="91">
        <f t="shared" si="39"/>
        <v>0</v>
      </c>
      <c r="U451" s="27" t="s">
        <v>56</v>
      </c>
      <c r="V451" s="19" t="s">
        <v>51</v>
      </c>
      <c r="W451" s="20">
        <v>45955</v>
      </c>
      <c r="X451" s="22" t="s">
        <v>251</v>
      </c>
      <c r="Y451" s="19" t="s">
        <v>52</v>
      </c>
      <c r="Z451" s="19" t="s">
        <v>52</v>
      </c>
      <c r="AA451" s="19" t="s">
        <v>52</v>
      </c>
      <c r="AB451" s="28"/>
    </row>
    <row r="452" spans="1:28" s="29" customFormat="1" ht="15" customHeight="1" x14ac:dyDescent="0.25">
      <c r="A452" s="14">
        <v>6</v>
      </c>
      <c r="B452" s="15">
        <v>45990</v>
      </c>
      <c r="C452" s="15">
        <f t="shared" si="35"/>
        <v>45998</v>
      </c>
      <c r="D452" s="14">
        <v>13752</v>
      </c>
      <c r="E452" s="16" t="s">
        <v>859</v>
      </c>
      <c r="F452" s="17" t="s">
        <v>860</v>
      </c>
      <c r="G452" s="17" t="s">
        <v>102</v>
      </c>
      <c r="H452" s="18" t="s">
        <v>54</v>
      </c>
      <c r="I452" s="19" t="s">
        <v>135</v>
      </c>
      <c r="J452" s="20">
        <v>45946</v>
      </c>
      <c r="K452" s="20">
        <v>45980</v>
      </c>
      <c r="L452" s="21">
        <v>30000</v>
      </c>
      <c r="M452" s="22">
        <f t="shared" si="36"/>
        <v>33000</v>
      </c>
      <c r="N452" s="23">
        <v>33000</v>
      </c>
      <c r="O452" s="23">
        <v>0</v>
      </c>
      <c r="P452" s="24">
        <f t="shared" si="37"/>
        <v>-3000</v>
      </c>
      <c r="Q452" s="25">
        <v>0</v>
      </c>
      <c r="R452" s="26">
        <v>24000</v>
      </c>
      <c r="S452" s="91">
        <f t="shared" si="38"/>
        <v>0</v>
      </c>
      <c r="T452" s="91">
        <f t="shared" si="39"/>
        <v>0</v>
      </c>
      <c r="U452" s="27" t="s">
        <v>56</v>
      </c>
      <c r="V452" s="19" t="s">
        <v>51</v>
      </c>
      <c r="W452" s="20">
        <v>45973</v>
      </c>
      <c r="X452" s="22" t="s">
        <v>251</v>
      </c>
      <c r="Y452" s="19" t="s">
        <v>52</v>
      </c>
      <c r="Z452" s="19" t="s">
        <v>52</v>
      </c>
      <c r="AA452" s="19" t="s">
        <v>52</v>
      </c>
      <c r="AB452" s="28"/>
    </row>
    <row r="453" spans="1:28" s="29" customFormat="1" ht="15" customHeight="1" x14ac:dyDescent="0.25">
      <c r="A453" s="14">
        <v>3</v>
      </c>
      <c r="B453" s="15">
        <v>45992</v>
      </c>
      <c r="C453" s="15">
        <f t="shared" si="35"/>
        <v>46000</v>
      </c>
      <c r="D453" s="14">
        <v>13739</v>
      </c>
      <c r="E453" s="16" t="s">
        <v>163</v>
      </c>
      <c r="F453" s="17" t="s">
        <v>164</v>
      </c>
      <c r="G453" s="17" t="s">
        <v>132</v>
      </c>
      <c r="H453" s="18" t="s">
        <v>775</v>
      </c>
      <c r="I453" s="19" t="s">
        <v>135</v>
      </c>
      <c r="J453" s="20">
        <v>45938</v>
      </c>
      <c r="K453" s="20">
        <v>45982</v>
      </c>
      <c r="L453" s="21">
        <v>30000</v>
      </c>
      <c r="M453" s="22">
        <f t="shared" si="36"/>
        <v>38860</v>
      </c>
      <c r="N453" s="23">
        <v>38860</v>
      </c>
      <c r="O453" s="23">
        <v>0</v>
      </c>
      <c r="P453" s="24">
        <f t="shared" si="37"/>
        <v>-8860</v>
      </c>
      <c r="Q453" s="25">
        <v>0</v>
      </c>
      <c r="R453" s="26">
        <v>69948</v>
      </c>
      <c r="S453" s="91">
        <f t="shared" si="38"/>
        <v>0</v>
      </c>
      <c r="T453" s="91">
        <f t="shared" si="39"/>
        <v>0</v>
      </c>
      <c r="U453" s="27" t="s">
        <v>56</v>
      </c>
      <c r="V453" s="19" t="s">
        <v>51</v>
      </c>
      <c r="W453" s="20">
        <v>45969</v>
      </c>
      <c r="X453" s="22" t="s">
        <v>251</v>
      </c>
      <c r="Y453" s="19" t="s">
        <v>52</v>
      </c>
      <c r="Z453" s="19" t="s">
        <v>52</v>
      </c>
      <c r="AA453" s="19" t="s">
        <v>52</v>
      </c>
      <c r="AB453" s="28"/>
    </row>
    <row r="454" spans="1:28" s="29" customFormat="1" ht="15" customHeight="1" x14ac:dyDescent="0.25">
      <c r="A454" s="14">
        <v>11</v>
      </c>
      <c r="B454" s="15" t="s">
        <v>68</v>
      </c>
      <c r="C454" s="15" t="s">
        <v>68</v>
      </c>
      <c r="D454" s="14">
        <v>14154</v>
      </c>
      <c r="E454" s="16" t="s">
        <v>1033</v>
      </c>
      <c r="F454" s="17" t="s">
        <v>1034</v>
      </c>
      <c r="G454" s="17" t="s">
        <v>132</v>
      </c>
      <c r="H454" s="18" t="s">
        <v>78</v>
      </c>
      <c r="I454" s="19" t="s">
        <v>79</v>
      </c>
      <c r="J454" s="20">
        <v>45999</v>
      </c>
      <c r="K454" s="20">
        <v>46027</v>
      </c>
      <c r="L454" s="21">
        <v>50000</v>
      </c>
      <c r="M454" s="22">
        <f t="shared" si="36"/>
        <v>0</v>
      </c>
      <c r="N454" s="23">
        <v>0</v>
      </c>
      <c r="O454" s="23">
        <v>0</v>
      </c>
      <c r="P454" s="24">
        <f t="shared" si="37"/>
        <v>50000</v>
      </c>
      <c r="Q454" s="25">
        <v>0</v>
      </c>
      <c r="R454" s="26">
        <v>205680</v>
      </c>
      <c r="S454" s="91">
        <f t="shared" si="38"/>
        <v>0.24309607156748347</v>
      </c>
      <c r="T454" s="91">
        <f t="shared" si="39"/>
        <v>0</v>
      </c>
      <c r="U454" s="27" t="s">
        <v>56</v>
      </c>
      <c r="V454" s="19" t="s">
        <v>68</v>
      </c>
      <c r="W454" s="20" t="s">
        <v>68</v>
      </c>
      <c r="X454" s="22" t="s">
        <v>275</v>
      </c>
      <c r="Y454" s="19" t="s">
        <v>82</v>
      </c>
      <c r="Z454" s="19" t="s">
        <v>82</v>
      </c>
      <c r="AA454" s="19" t="s">
        <v>82</v>
      </c>
      <c r="AB454" s="28"/>
    </row>
    <row r="455" spans="1:28" s="29" customFormat="1" ht="15" customHeight="1" x14ac:dyDescent="0.25">
      <c r="A455" s="14">
        <v>1</v>
      </c>
      <c r="B455" s="15">
        <v>46001</v>
      </c>
      <c r="C455" s="15">
        <f t="shared" ref="C455:C497" si="40">B455+8</f>
        <v>46009</v>
      </c>
      <c r="D455" s="14">
        <v>14090</v>
      </c>
      <c r="E455" s="16" t="s">
        <v>806</v>
      </c>
      <c r="F455" s="40" t="s">
        <v>790</v>
      </c>
      <c r="G455" s="17" t="s">
        <v>75</v>
      </c>
      <c r="H455" s="18" t="s">
        <v>542</v>
      </c>
      <c r="I455" s="19" t="s">
        <v>49</v>
      </c>
      <c r="J455" s="20">
        <v>45985</v>
      </c>
      <c r="K455" s="20">
        <v>45993</v>
      </c>
      <c r="L455" s="21">
        <v>84000</v>
      </c>
      <c r="M455" s="22">
        <f t="shared" si="36"/>
        <v>69000</v>
      </c>
      <c r="N455" s="23">
        <v>69000</v>
      </c>
      <c r="O455" s="23">
        <v>0</v>
      </c>
      <c r="P455" s="24">
        <f t="shared" si="37"/>
        <v>15000</v>
      </c>
      <c r="Q455" s="25">
        <v>0</v>
      </c>
      <c r="R455" s="26">
        <v>150000</v>
      </c>
      <c r="S455" s="91">
        <f t="shared" si="38"/>
        <v>0.1</v>
      </c>
      <c r="T455" s="91">
        <f t="shared" si="39"/>
        <v>0</v>
      </c>
      <c r="U455" s="27" t="s">
        <v>50</v>
      </c>
      <c r="V455" s="19" t="s">
        <v>51</v>
      </c>
      <c r="W455" s="20">
        <v>45992</v>
      </c>
      <c r="X455" s="22" t="s">
        <v>251</v>
      </c>
      <c r="Y455" s="19" t="s">
        <v>52</v>
      </c>
      <c r="Z455" s="19" t="s">
        <v>52</v>
      </c>
      <c r="AA455" s="19" t="s">
        <v>52</v>
      </c>
      <c r="AB455" s="28"/>
    </row>
    <row r="456" spans="1:28" s="29" customFormat="1" ht="15" customHeight="1" x14ac:dyDescent="0.25">
      <c r="A456" s="14">
        <v>15</v>
      </c>
      <c r="B456" s="15">
        <v>45995</v>
      </c>
      <c r="C456" s="15">
        <f t="shared" si="40"/>
        <v>46003</v>
      </c>
      <c r="D456" s="14">
        <v>13980</v>
      </c>
      <c r="E456" s="16" t="s">
        <v>89</v>
      </c>
      <c r="F456" s="40" t="s">
        <v>954</v>
      </c>
      <c r="G456" s="17" t="s">
        <v>75</v>
      </c>
      <c r="H456" s="18" t="s">
        <v>784</v>
      </c>
      <c r="I456" s="19" t="s">
        <v>70</v>
      </c>
      <c r="J456" s="20">
        <v>45973</v>
      </c>
      <c r="K456" s="20">
        <v>46008</v>
      </c>
      <c r="L456" s="21">
        <v>2000000</v>
      </c>
      <c r="M456" s="22">
        <f t="shared" si="36"/>
        <v>2100000</v>
      </c>
      <c r="N456" s="23">
        <v>2100000</v>
      </c>
      <c r="O456" s="23">
        <v>0</v>
      </c>
      <c r="P456" s="24">
        <f t="shared" si="37"/>
        <v>-100000</v>
      </c>
      <c r="Q456" s="25">
        <v>0</v>
      </c>
      <c r="R456" s="26">
        <v>150000</v>
      </c>
      <c r="S456" s="91">
        <f t="shared" si="38"/>
        <v>0</v>
      </c>
      <c r="T456" s="91">
        <f t="shared" si="39"/>
        <v>0</v>
      </c>
      <c r="U456" s="27" t="s">
        <v>50</v>
      </c>
      <c r="V456" s="19" t="s">
        <v>51</v>
      </c>
      <c r="W456" s="20">
        <v>45996</v>
      </c>
      <c r="X456" s="22" t="s">
        <v>251</v>
      </c>
      <c r="Y456" s="19" t="s">
        <v>52</v>
      </c>
      <c r="Z456" s="19" t="s">
        <v>52</v>
      </c>
      <c r="AA456" s="19" t="s">
        <v>52</v>
      </c>
      <c r="AB456" s="28"/>
    </row>
    <row r="457" spans="1:28" s="29" customFormat="1" ht="15" customHeight="1" x14ac:dyDescent="0.25">
      <c r="A457" s="14">
        <v>1</v>
      </c>
      <c r="B457" s="15">
        <v>46001</v>
      </c>
      <c r="C457" s="15">
        <f t="shared" si="40"/>
        <v>46009</v>
      </c>
      <c r="D457" s="14">
        <v>13560</v>
      </c>
      <c r="E457" s="16" t="s">
        <v>815</v>
      </c>
      <c r="F457" s="17" t="s">
        <v>816</v>
      </c>
      <c r="G457" s="17" t="s">
        <v>102</v>
      </c>
      <c r="H457" s="18" t="s">
        <v>54</v>
      </c>
      <c r="I457" s="19" t="s">
        <v>135</v>
      </c>
      <c r="J457" s="20">
        <v>45917</v>
      </c>
      <c r="K457" s="20">
        <v>45947</v>
      </c>
      <c r="L457" s="21">
        <v>30000</v>
      </c>
      <c r="M457" s="22">
        <f t="shared" si="36"/>
        <v>36000</v>
      </c>
      <c r="N457" s="23">
        <v>36000</v>
      </c>
      <c r="O457" s="23">
        <v>0</v>
      </c>
      <c r="P457" s="24">
        <f t="shared" si="37"/>
        <v>-6000</v>
      </c>
      <c r="Q457" s="25">
        <v>0</v>
      </c>
      <c r="R457" s="26">
        <v>24000</v>
      </c>
      <c r="S457" s="91">
        <f t="shared" si="38"/>
        <v>0</v>
      </c>
      <c r="T457" s="91">
        <f t="shared" si="39"/>
        <v>0</v>
      </c>
      <c r="U457" s="27" t="s">
        <v>56</v>
      </c>
      <c r="V457" s="19" t="s">
        <v>51</v>
      </c>
      <c r="W457" s="20">
        <v>45961</v>
      </c>
      <c r="X457" s="22" t="s">
        <v>251</v>
      </c>
      <c r="Y457" s="19" t="s">
        <v>52</v>
      </c>
      <c r="Z457" s="19" t="s">
        <v>52</v>
      </c>
      <c r="AA457" s="19" t="s">
        <v>52</v>
      </c>
      <c r="AB457" s="28"/>
    </row>
    <row r="458" spans="1:28" s="29" customFormat="1" ht="15" customHeight="1" x14ac:dyDescent="0.25">
      <c r="A458" s="14">
        <v>4</v>
      </c>
      <c r="B458" s="15">
        <v>45995</v>
      </c>
      <c r="C458" s="15">
        <f t="shared" si="40"/>
        <v>46003</v>
      </c>
      <c r="D458" s="14">
        <v>13843</v>
      </c>
      <c r="E458" s="16" t="s">
        <v>940</v>
      </c>
      <c r="F458" s="17" t="s">
        <v>941</v>
      </c>
      <c r="G458" s="17" t="s">
        <v>102</v>
      </c>
      <c r="H458" s="18" t="s">
        <v>542</v>
      </c>
      <c r="I458" s="19" t="s">
        <v>70</v>
      </c>
      <c r="J458" s="20">
        <v>45960</v>
      </c>
      <c r="K458" s="20">
        <v>45985</v>
      </c>
      <c r="L458" s="21">
        <v>50000</v>
      </c>
      <c r="M458" s="22">
        <f t="shared" si="36"/>
        <v>44000</v>
      </c>
      <c r="N458" s="23">
        <v>44000</v>
      </c>
      <c r="O458" s="23">
        <v>0</v>
      </c>
      <c r="P458" s="24">
        <f t="shared" si="37"/>
        <v>6000</v>
      </c>
      <c r="Q458" s="25">
        <v>0</v>
      </c>
      <c r="R458" s="26">
        <v>15000</v>
      </c>
      <c r="S458" s="91">
        <f t="shared" si="38"/>
        <v>0.4</v>
      </c>
      <c r="T458" s="91">
        <f t="shared" si="39"/>
        <v>0</v>
      </c>
      <c r="U458" s="27" t="s">
        <v>50</v>
      </c>
      <c r="V458" s="19" t="s">
        <v>51</v>
      </c>
      <c r="W458" s="20">
        <v>45985</v>
      </c>
      <c r="X458" s="22" t="s">
        <v>251</v>
      </c>
      <c r="Y458" s="19" t="s">
        <v>52</v>
      </c>
      <c r="Z458" s="19" t="s">
        <v>52</v>
      </c>
      <c r="AA458" s="19" t="s">
        <v>52</v>
      </c>
      <c r="AB458" s="28"/>
    </row>
    <row r="459" spans="1:28" s="29" customFormat="1" ht="15" customHeight="1" x14ac:dyDescent="0.25">
      <c r="A459" s="14">
        <v>41</v>
      </c>
      <c r="B459" s="15">
        <v>45995</v>
      </c>
      <c r="C459" s="15">
        <f t="shared" si="40"/>
        <v>46003</v>
      </c>
      <c r="D459" s="14">
        <v>13977</v>
      </c>
      <c r="E459" s="16" t="s">
        <v>761</v>
      </c>
      <c r="F459" s="17" t="s">
        <v>467</v>
      </c>
      <c r="G459" s="17" t="s">
        <v>102</v>
      </c>
      <c r="H459" s="18" t="s">
        <v>57</v>
      </c>
      <c r="I459" s="19" t="s">
        <v>58</v>
      </c>
      <c r="J459" s="20">
        <v>45974</v>
      </c>
      <c r="K459" s="20">
        <v>46001</v>
      </c>
      <c r="L459" s="21">
        <v>500000</v>
      </c>
      <c r="M459" s="22">
        <f t="shared" si="36"/>
        <v>550000</v>
      </c>
      <c r="N459" s="23">
        <v>550000</v>
      </c>
      <c r="O459" s="23">
        <v>0</v>
      </c>
      <c r="P459" s="24">
        <f t="shared" si="37"/>
        <v>-50000</v>
      </c>
      <c r="Q459" s="25">
        <v>0</v>
      </c>
      <c r="R459" s="26">
        <v>50000</v>
      </c>
      <c r="S459" s="91">
        <f t="shared" si="38"/>
        <v>0</v>
      </c>
      <c r="T459" s="91">
        <f t="shared" si="39"/>
        <v>0</v>
      </c>
      <c r="U459" s="27" t="s">
        <v>50</v>
      </c>
      <c r="V459" s="19" t="s">
        <v>51</v>
      </c>
      <c r="W459" s="20">
        <v>45991</v>
      </c>
      <c r="X459" s="22" t="s">
        <v>251</v>
      </c>
      <c r="Y459" s="19" t="s">
        <v>52</v>
      </c>
      <c r="Z459" s="19" t="s">
        <v>52</v>
      </c>
      <c r="AA459" s="19" t="s">
        <v>52</v>
      </c>
      <c r="AB459" s="28"/>
    </row>
    <row r="460" spans="1:28" s="29" customFormat="1" ht="15" customHeight="1" x14ac:dyDescent="0.25">
      <c r="A460" s="14">
        <v>1</v>
      </c>
      <c r="B460" s="15">
        <v>46001</v>
      </c>
      <c r="C460" s="15">
        <f t="shared" si="40"/>
        <v>46009</v>
      </c>
      <c r="D460" s="14">
        <v>13724</v>
      </c>
      <c r="E460" s="16" t="s">
        <v>158</v>
      </c>
      <c r="F460" s="17" t="s">
        <v>159</v>
      </c>
      <c r="G460" s="17" t="s">
        <v>132</v>
      </c>
      <c r="H460" s="18" t="s">
        <v>775</v>
      </c>
      <c r="I460" s="19" t="s">
        <v>135</v>
      </c>
      <c r="J460" s="20">
        <v>45938</v>
      </c>
      <c r="K460" s="20">
        <v>45980</v>
      </c>
      <c r="L460" s="21">
        <v>300000</v>
      </c>
      <c r="M460" s="22">
        <f t="shared" si="36"/>
        <v>342200</v>
      </c>
      <c r="N460" s="23">
        <v>342200</v>
      </c>
      <c r="O460" s="23">
        <v>0</v>
      </c>
      <c r="P460" s="24">
        <f t="shared" si="37"/>
        <v>-42200</v>
      </c>
      <c r="Q460" s="25">
        <v>0</v>
      </c>
      <c r="R460" s="26">
        <v>57330</v>
      </c>
      <c r="S460" s="91">
        <f t="shared" si="38"/>
        <v>0</v>
      </c>
      <c r="T460" s="91">
        <f t="shared" si="39"/>
        <v>0</v>
      </c>
      <c r="U460" s="27" t="s">
        <v>56</v>
      </c>
      <c r="V460" s="19" t="s">
        <v>51</v>
      </c>
      <c r="W460" s="20">
        <v>45967</v>
      </c>
      <c r="X460" s="22" t="s">
        <v>251</v>
      </c>
      <c r="Y460" s="19" t="s">
        <v>52</v>
      </c>
      <c r="Z460" s="19" t="s">
        <v>52</v>
      </c>
      <c r="AA460" s="19" t="s">
        <v>52</v>
      </c>
      <c r="AB460" s="28"/>
    </row>
    <row r="461" spans="1:28" s="29" customFormat="1" ht="15" customHeight="1" x14ac:dyDescent="0.25">
      <c r="A461" s="14">
        <v>6</v>
      </c>
      <c r="B461" s="15">
        <v>45997</v>
      </c>
      <c r="C461" s="15">
        <f t="shared" si="40"/>
        <v>46005</v>
      </c>
      <c r="D461" s="14">
        <v>13924</v>
      </c>
      <c r="E461" s="16" t="s">
        <v>337</v>
      </c>
      <c r="F461" s="17" t="s">
        <v>338</v>
      </c>
      <c r="G461" s="17" t="s">
        <v>132</v>
      </c>
      <c r="H461" s="18" t="s">
        <v>54</v>
      </c>
      <c r="I461" s="19" t="s">
        <v>135</v>
      </c>
      <c r="J461" s="20">
        <v>45973</v>
      </c>
      <c r="K461" s="20">
        <v>46014</v>
      </c>
      <c r="L461" s="21">
        <v>25000</v>
      </c>
      <c r="M461" s="22">
        <f t="shared" si="36"/>
        <v>31850</v>
      </c>
      <c r="N461" s="23">
        <v>31850</v>
      </c>
      <c r="O461" s="23">
        <v>0</v>
      </c>
      <c r="P461" s="24">
        <f t="shared" si="37"/>
        <v>-6850</v>
      </c>
      <c r="Q461" s="25">
        <v>0</v>
      </c>
      <c r="R461" s="26">
        <v>57276</v>
      </c>
      <c r="S461" s="91">
        <f t="shared" si="38"/>
        <v>0</v>
      </c>
      <c r="T461" s="91">
        <f t="shared" si="39"/>
        <v>0</v>
      </c>
      <c r="U461" s="27" t="s">
        <v>56</v>
      </c>
      <c r="V461" s="19" t="s">
        <v>51</v>
      </c>
      <c r="W461" s="20">
        <v>45985</v>
      </c>
      <c r="X461" s="22" t="s">
        <v>251</v>
      </c>
      <c r="Y461" s="19" t="s">
        <v>52</v>
      </c>
      <c r="Z461" s="19" t="s">
        <v>52</v>
      </c>
      <c r="AA461" s="19" t="s">
        <v>52</v>
      </c>
      <c r="AB461" s="28"/>
    </row>
    <row r="462" spans="1:28" s="29" customFormat="1" ht="15" customHeight="1" x14ac:dyDescent="0.25">
      <c r="A462" s="14">
        <v>7</v>
      </c>
      <c r="B462" s="15">
        <v>46001</v>
      </c>
      <c r="C462" s="15">
        <f t="shared" si="40"/>
        <v>46009</v>
      </c>
      <c r="D462" s="14">
        <v>13923</v>
      </c>
      <c r="E462" s="16" t="s">
        <v>150</v>
      </c>
      <c r="F462" s="17" t="s">
        <v>151</v>
      </c>
      <c r="G462" s="17" t="s">
        <v>132</v>
      </c>
      <c r="H462" s="18" t="s">
        <v>54</v>
      </c>
      <c r="I462" s="19" t="s">
        <v>135</v>
      </c>
      <c r="J462" s="20">
        <v>45973</v>
      </c>
      <c r="K462" s="20">
        <v>46014</v>
      </c>
      <c r="L462" s="21">
        <v>110000</v>
      </c>
      <c r="M462" s="22">
        <f t="shared" si="36"/>
        <v>123090</v>
      </c>
      <c r="N462" s="23">
        <v>123090</v>
      </c>
      <c r="O462" s="23">
        <v>0</v>
      </c>
      <c r="P462" s="24">
        <f t="shared" si="37"/>
        <v>-13090</v>
      </c>
      <c r="Q462" s="25">
        <v>0</v>
      </c>
      <c r="R462" s="26">
        <v>57330</v>
      </c>
      <c r="S462" s="91">
        <f t="shared" si="38"/>
        <v>0</v>
      </c>
      <c r="T462" s="91">
        <f t="shared" si="39"/>
        <v>0</v>
      </c>
      <c r="U462" s="27" t="s">
        <v>56</v>
      </c>
      <c r="V462" s="19" t="s">
        <v>51</v>
      </c>
      <c r="W462" s="20">
        <v>45997</v>
      </c>
      <c r="X462" s="22" t="s">
        <v>251</v>
      </c>
      <c r="Y462" s="19" t="s">
        <v>52</v>
      </c>
      <c r="Z462" s="19" t="s">
        <v>52</v>
      </c>
      <c r="AA462" s="19" t="s">
        <v>52</v>
      </c>
      <c r="AB462" s="28"/>
    </row>
    <row r="463" spans="1:28" s="29" customFormat="1" ht="15" customHeight="1" x14ac:dyDescent="0.25">
      <c r="A463" s="14">
        <v>9</v>
      </c>
      <c r="B463" s="15">
        <v>45997</v>
      </c>
      <c r="C463" s="15">
        <f t="shared" si="40"/>
        <v>46005</v>
      </c>
      <c r="D463" s="14">
        <v>13986</v>
      </c>
      <c r="E463" s="16" t="s">
        <v>305</v>
      </c>
      <c r="F463" s="17" t="s">
        <v>306</v>
      </c>
      <c r="G463" s="17" t="s">
        <v>132</v>
      </c>
      <c r="H463" s="18" t="s">
        <v>775</v>
      </c>
      <c r="I463" s="19" t="s">
        <v>135</v>
      </c>
      <c r="J463" s="20">
        <v>45975</v>
      </c>
      <c r="K463" s="20">
        <v>46016</v>
      </c>
      <c r="L463" s="21">
        <v>30000</v>
      </c>
      <c r="M463" s="22">
        <f t="shared" si="36"/>
        <v>33368</v>
      </c>
      <c r="N463" s="23">
        <v>33368</v>
      </c>
      <c r="O463" s="23">
        <v>0</v>
      </c>
      <c r="P463" s="24">
        <f t="shared" si="37"/>
        <v>-3368</v>
      </c>
      <c r="Q463" s="25">
        <v>0</v>
      </c>
      <c r="R463" s="26">
        <v>75078</v>
      </c>
      <c r="S463" s="91">
        <f t="shared" si="38"/>
        <v>0</v>
      </c>
      <c r="T463" s="91">
        <f t="shared" si="39"/>
        <v>0</v>
      </c>
      <c r="U463" s="27" t="s">
        <v>56</v>
      </c>
      <c r="V463" s="19" t="s">
        <v>51</v>
      </c>
      <c r="W463" s="20">
        <v>45997</v>
      </c>
      <c r="X463" s="22" t="s">
        <v>251</v>
      </c>
      <c r="Y463" s="19" t="s">
        <v>52</v>
      </c>
      <c r="Z463" s="19" t="s">
        <v>52</v>
      </c>
      <c r="AA463" s="19" t="s">
        <v>52</v>
      </c>
      <c r="AB463" s="28"/>
    </row>
    <row r="464" spans="1:28" s="29" customFormat="1" ht="15" customHeight="1" x14ac:dyDescent="0.25">
      <c r="A464" s="14">
        <v>1</v>
      </c>
      <c r="B464" s="15">
        <v>46004</v>
      </c>
      <c r="C464" s="15">
        <f t="shared" si="40"/>
        <v>46012</v>
      </c>
      <c r="D464" s="14">
        <v>13613</v>
      </c>
      <c r="E464" s="16" t="s">
        <v>847</v>
      </c>
      <c r="F464" s="17" t="s">
        <v>848</v>
      </c>
      <c r="G464" s="17" t="s">
        <v>102</v>
      </c>
      <c r="H464" s="18" t="s">
        <v>775</v>
      </c>
      <c r="I464" s="19" t="s">
        <v>135</v>
      </c>
      <c r="J464" s="20">
        <v>45919</v>
      </c>
      <c r="K464" s="20">
        <v>45947</v>
      </c>
      <c r="L464" s="21">
        <v>35000</v>
      </c>
      <c r="M464" s="22">
        <f t="shared" si="36"/>
        <v>42000</v>
      </c>
      <c r="N464" s="23">
        <v>42000</v>
      </c>
      <c r="O464" s="23">
        <v>0</v>
      </c>
      <c r="P464" s="24">
        <f t="shared" si="37"/>
        <v>-7000</v>
      </c>
      <c r="Q464" s="25">
        <v>0</v>
      </c>
      <c r="R464" s="26">
        <v>24000</v>
      </c>
      <c r="S464" s="91">
        <f t="shared" si="38"/>
        <v>0</v>
      </c>
      <c r="T464" s="91">
        <f t="shared" si="39"/>
        <v>0</v>
      </c>
      <c r="U464" s="27" t="s">
        <v>56</v>
      </c>
      <c r="V464" s="19" t="s">
        <v>51</v>
      </c>
      <c r="W464" s="20">
        <v>45997</v>
      </c>
      <c r="X464" s="22" t="s">
        <v>251</v>
      </c>
      <c r="Y464" s="19" t="s">
        <v>52</v>
      </c>
      <c r="Z464" s="19" t="s">
        <v>52</v>
      </c>
      <c r="AA464" s="19" t="s">
        <v>52</v>
      </c>
      <c r="AB464" s="28"/>
    </row>
    <row r="465" spans="1:28" s="29" customFormat="1" ht="15" customHeight="1" x14ac:dyDescent="0.25">
      <c r="A465" s="14">
        <v>3</v>
      </c>
      <c r="B465" s="15">
        <v>46004</v>
      </c>
      <c r="C465" s="15">
        <f t="shared" si="40"/>
        <v>46012</v>
      </c>
      <c r="D465" s="14">
        <v>13955</v>
      </c>
      <c r="E465" s="16" t="s">
        <v>753</v>
      </c>
      <c r="F465" s="17" t="s">
        <v>754</v>
      </c>
      <c r="G465" s="17" t="s">
        <v>102</v>
      </c>
      <c r="H465" s="18" t="s">
        <v>62</v>
      </c>
      <c r="I465" s="19" t="s">
        <v>63</v>
      </c>
      <c r="J465" s="20">
        <v>45972</v>
      </c>
      <c r="K465" s="20">
        <v>45995</v>
      </c>
      <c r="L465" s="21">
        <v>300000</v>
      </c>
      <c r="M465" s="22">
        <f t="shared" si="36"/>
        <v>294000</v>
      </c>
      <c r="N465" s="23">
        <v>294000</v>
      </c>
      <c r="O465" s="23">
        <v>0</v>
      </c>
      <c r="P465" s="24">
        <f t="shared" si="37"/>
        <v>6000</v>
      </c>
      <c r="Q465" s="25">
        <v>0</v>
      </c>
      <c r="R465" s="26">
        <v>100000</v>
      </c>
      <c r="S465" s="91">
        <f t="shared" si="38"/>
        <v>0.06</v>
      </c>
      <c r="T465" s="91">
        <f t="shared" si="39"/>
        <v>0</v>
      </c>
      <c r="U465" s="27" t="s">
        <v>50</v>
      </c>
      <c r="V465" s="19" t="s">
        <v>51</v>
      </c>
      <c r="W465" s="20">
        <v>45991</v>
      </c>
      <c r="X465" s="22" t="s">
        <v>251</v>
      </c>
      <c r="Y465" s="19" t="s">
        <v>52</v>
      </c>
      <c r="Z465" s="19" t="s">
        <v>52</v>
      </c>
      <c r="AA465" s="19" t="s">
        <v>52</v>
      </c>
      <c r="AB465" s="28"/>
    </row>
    <row r="466" spans="1:28" s="29" customFormat="1" ht="15" customHeight="1" x14ac:dyDescent="0.25">
      <c r="A466" s="14">
        <v>3</v>
      </c>
      <c r="B466" s="15">
        <v>46008</v>
      </c>
      <c r="C466" s="15">
        <f t="shared" si="40"/>
        <v>46016</v>
      </c>
      <c r="D466" s="14">
        <v>13618</v>
      </c>
      <c r="E466" s="16" t="s">
        <v>709</v>
      </c>
      <c r="F466" s="17" t="s">
        <v>710</v>
      </c>
      <c r="G466" s="17" t="s">
        <v>47</v>
      </c>
      <c r="H466" s="18" t="s">
        <v>542</v>
      </c>
      <c r="I466" s="19" t="s">
        <v>49</v>
      </c>
      <c r="J466" s="20">
        <v>45917</v>
      </c>
      <c r="K466" s="20">
        <v>45944</v>
      </c>
      <c r="L466" s="21">
        <v>50000</v>
      </c>
      <c r="M466" s="22">
        <f t="shared" si="36"/>
        <v>50000</v>
      </c>
      <c r="N466" s="23">
        <v>50000</v>
      </c>
      <c r="O466" s="23">
        <v>0</v>
      </c>
      <c r="P466" s="24">
        <f t="shared" si="37"/>
        <v>0</v>
      </c>
      <c r="Q466" s="25">
        <v>0</v>
      </c>
      <c r="R466" s="26">
        <v>72000</v>
      </c>
      <c r="S466" s="91">
        <f t="shared" si="38"/>
        <v>0</v>
      </c>
      <c r="T466" s="91">
        <f t="shared" si="39"/>
        <v>0</v>
      </c>
      <c r="U466" s="27" t="s">
        <v>50</v>
      </c>
      <c r="V466" s="19" t="s">
        <v>51</v>
      </c>
      <c r="W466" s="20">
        <v>45929</v>
      </c>
      <c r="X466" s="22" t="s">
        <v>251</v>
      </c>
      <c r="Y466" s="19" t="s">
        <v>52</v>
      </c>
      <c r="Z466" s="19" t="s">
        <v>52</v>
      </c>
      <c r="AA466" s="19" t="s">
        <v>52</v>
      </c>
      <c r="AB466" s="42"/>
    </row>
    <row r="467" spans="1:28" s="29" customFormat="1" ht="15" customHeight="1" x14ac:dyDescent="0.25">
      <c r="A467" s="14">
        <v>4</v>
      </c>
      <c r="B467" s="15">
        <v>46014</v>
      </c>
      <c r="C467" s="15">
        <f t="shared" si="40"/>
        <v>46022</v>
      </c>
      <c r="D467" s="14">
        <v>13443</v>
      </c>
      <c r="E467" s="16" t="s">
        <v>428</v>
      </c>
      <c r="F467" s="17" t="s">
        <v>429</v>
      </c>
      <c r="G467" s="17" t="s">
        <v>47</v>
      </c>
      <c r="H467" s="18" t="s">
        <v>542</v>
      </c>
      <c r="I467" s="19" t="s">
        <v>70</v>
      </c>
      <c r="J467" s="20">
        <v>45887</v>
      </c>
      <c r="K467" s="20">
        <v>45968</v>
      </c>
      <c r="L467" s="21">
        <v>1250000</v>
      </c>
      <c r="M467" s="22">
        <f t="shared" si="36"/>
        <v>1360000</v>
      </c>
      <c r="N467" s="23">
        <v>1360000</v>
      </c>
      <c r="O467" s="23">
        <v>0</v>
      </c>
      <c r="P467" s="24">
        <f t="shared" si="37"/>
        <v>-110000</v>
      </c>
      <c r="Q467" s="25">
        <v>0</v>
      </c>
      <c r="R467" s="26">
        <v>50000</v>
      </c>
      <c r="S467" s="91">
        <f t="shared" si="38"/>
        <v>0</v>
      </c>
      <c r="T467" s="91">
        <f t="shared" si="39"/>
        <v>0</v>
      </c>
      <c r="U467" s="27" t="s">
        <v>50</v>
      </c>
      <c r="V467" s="19" t="s">
        <v>51</v>
      </c>
      <c r="W467" s="20">
        <v>45959</v>
      </c>
      <c r="X467" s="22" t="s">
        <v>251</v>
      </c>
      <c r="Y467" s="19" t="s">
        <v>52</v>
      </c>
      <c r="Z467" s="19" t="s">
        <v>52</v>
      </c>
      <c r="AA467" s="19" t="s">
        <v>52</v>
      </c>
      <c r="AB467" s="42"/>
    </row>
    <row r="468" spans="1:28" s="29" customFormat="1" ht="15" customHeight="1" x14ac:dyDescent="0.25">
      <c r="A468" s="14">
        <v>2</v>
      </c>
      <c r="B468" s="15">
        <v>46008</v>
      </c>
      <c r="C468" s="15">
        <f t="shared" si="40"/>
        <v>46016</v>
      </c>
      <c r="D468" s="14">
        <v>13976</v>
      </c>
      <c r="E468" s="16" t="s">
        <v>953</v>
      </c>
      <c r="F468" s="40" t="s">
        <v>201</v>
      </c>
      <c r="G468" s="17" t="s">
        <v>75</v>
      </c>
      <c r="H468" s="18" t="s">
        <v>57</v>
      </c>
      <c r="I468" s="19" t="s">
        <v>58</v>
      </c>
      <c r="J468" s="20">
        <v>45973</v>
      </c>
      <c r="K468" s="20">
        <v>46001</v>
      </c>
      <c r="L468" s="21">
        <v>800000</v>
      </c>
      <c r="M468" s="22">
        <f t="shared" si="36"/>
        <v>846000</v>
      </c>
      <c r="N468" s="23">
        <v>846000</v>
      </c>
      <c r="O468" s="23">
        <v>0</v>
      </c>
      <c r="P468" s="24">
        <f t="shared" si="37"/>
        <v>-46000</v>
      </c>
      <c r="Q468" s="25">
        <v>0</v>
      </c>
      <c r="R468" s="26">
        <v>150000</v>
      </c>
      <c r="S468" s="91">
        <f t="shared" si="38"/>
        <v>0</v>
      </c>
      <c r="T468" s="91">
        <f t="shared" si="39"/>
        <v>0</v>
      </c>
      <c r="U468" s="27" t="s">
        <v>50</v>
      </c>
      <c r="V468" s="19" t="s">
        <v>51</v>
      </c>
      <c r="W468" s="20">
        <v>45986</v>
      </c>
      <c r="X468" s="22" t="s">
        <v>251</v>
      </c>
      <c r="Y468" s="19" t="s">
        <v>52</v>
      </c>
      <c r="Z468" s="19" t="s">
        <v>52</v>
      </c>
      <c r="AA468" s="19" t="s">
        <v>52</v>
      </c>
      <c r="AB468" s="28"/>
    </row>
    <row r="469" spans="1:28" s="29" customFormat="1" ht="15" customHeight="1" x14ac:dyDescent="0.25">
      <c r="A469" s="14">
        <v>7</v>
      </c>
      <c r="B469" s="15">
        <v>45986</v>
      </c>
      <c r="C469" s="15">
        <f t="shared" si="40"/>
        <v>45994</v>
      </c>
      <c r="D469" s="14">
        <v>13806</v>
      </c>
      <c r="E469" s="16" t="s">
        <v>938</v>
      </c>
      <c r="F469" s="40" t="s">
        <v>933</v>
      </c>
      <c r="G469" s="17" t="s">
        <v>75</v>
      </c>
      <c r="H469" s="18" t="s">
        <v>542</v>
      </c>
      <c r="I469" s="19" t="s">
        <v>49</v>
      </c>
      <c r="J469" s="20">
        <v>45947</v>
      </c>
      <c r="K469" s="20">
        <v>45999</v>
      </c>
      <c r="L469" s="21">
        <v>150000</v>
      </c>
      <c r="M469" s="22">
        <f t="shared" si="36"/>
        <v>138000</v>
      </c>
      <c r="N469" s="23">
        <v>138000</v>
      </c>
      <c r="O469" s="23">
        <v>0</v>
      </c>
      <c r="P469" s="24">
        <f t="shared" si="37"/>
        <v>12000</v>
      </c>
      <c r="Q469" s="25">
        <v>0</v>
      </c>
      <c r="R469" s="26">
        <v>150000</v>
      </c>
      <c r="S469" s="91">
        <f t="shared" si="38"/>
        <v>0.08</v>
      </c>
      <c r="T469" s="91">
        <f t="shared" si="39"/>
        <v>0</v>
      </c>
      <c r="U469" s="27" t="s">
        <v>50</v>
      </c>
      <c r="V469" s="19" t="s">
        <v>51</v>
      </c>
      <c r="W469" s="20">
        <v>45971</v>
      </c>
      <c r="X469" s="22" t="s">
        <v>251</v>
      </c>
      <c r="Y469" s="19" t="s">
        <v>52</v>
      </c>
      <c r="Z469" s="19" t="s">
        <v>52</v>
      </c>
      <c r="AA469" s="19" t="s">
        <v>52</v>
      </c>
      <c r="AB469" s="28"/>
    </row>
    <row r="470" spans="1:28" s="29" customFormat="1" ht="15" customHeight="1" x14ac:dyDescent="0.25">
      <c r="A470" s="14">
        <v>9</v>
      </c>
      <c r="B470" s="15">
        <v>46011</v>
      </c>
      <c r="C470" s="15">
        <f t="shared" si="40"/>
        <v>46019</v>
      </c>
      <c r="D470" s="14">
        <v>13949</v>
      </c>
      <c r="E470" s="16" t="s">
        <v>396</v>
      </c>
      <c r="F470" s="40" t="s">
        <v>397</v>
      </c>
      <c r="G470" s="17" t="s">
        <v>75</v>
      </c>
      <c r="H470" s="18" t="s">
        <v>57</v>
      </c>
      <c r="I470" s="19" t="s">
        <v>94</v>
      </c>
      <c r="J470" s="20">
        <v>45972</v>
      </c>
      <c r="K470" s="20">
        <v>45999</v>
      </c>
      <c r="L470" s="21">
        <v>1000000</v>
      </c>
      <c r="M470" s="22">
        <f t="shared" si="36"/>
        <v>1128000</v>
      </c>
      <c r="N470" s="23">
        <v>1128000</v>
      </c>
      <c r="O470" s="23">
        <v>0</v>
      </c>
      <c r="P470" s="24">
        <f t="shared" si="37"/>
        <v>-128000</v>
      </c>
      <c r="Q470" s="25">
        <v>0</v>
      </c>
      <c r="R470" s="26">
        <v>150000</v>
      </c>
      <c r="S470" s="91">
        <f t="shared" si="38"/>
        <v>0</v>
      </c>
      <c r="T470" s="91">
        <f t="shared" si="39"/>
        <v>0</v>
      </c>
      <c r="U470" s="27" t="s">
        <v>50</v>
      </c>
      <c r="V470" s="19" t="s">
        <v>51</v>
      </c>
      <c r="W470" s="20">
        <v>45986</v>
      </c>
      <c r="X470" s="22" t="s">
        <v>251</v>
      </c>
      <c r="Y470" s="19" t="s">
        <v>52</v>
      </c>
      <c r="Z470" s="19" t="s">
        <v>52</v>
      </c>
      <c r="AA470" s="19" t="s">
        <v>52</v>
      </c>
      <c r="AB470" s="28"/>
    </row>
    <row r="471" spans="1:28" s="29" customFormat="1" ht="15" customHeight="1" x14ac:dyDescent="0.25">
      <c r="A471" s="14">
        <v>36</v>
      </c>
      <c r="B471" s="15">
        <v>46008</v>
      </c>
      <c r="C471" s="15">
        <f t="shared" si="40"/>
        <v>46016</v>
      </c>
      <c r="D471" s="14">
        <v>13914</v>
      </c>
      <c r="E471" s="16" t="s">
        <v>312</v>
      </c>
      <c r="F471" s="17" t="s">
        <v>313</v>
      </c>
      <c r="G471" s="17" t="s">
        <v>102</v>
      </c>
      <c r="H471" s="18" t="s">
        <v>57</v>
      </c>
      <c r="I471" s="19" t="s">
        <v>94</v>
      </c>
      <c r="J471" s="20">
        <v>45968</v>
      </c>
      <c r="K471" s="20">
        <v>45996</v>
      </c>
      <c r="L471" s="21">
        <v>30000</v>
      </c>
      <c r="M471" s="22">
        <f t="shared" si="36"/>
        <v>30000</v>
      </c>
      <c r="N471" s="23">
        <v>30000</v>
      </c>
      <c r="O471" s="23">
        <v>0</v>
      </c>
      <c r="P471" s="24">
        <f t="shared" si="37"/>
        <v>0</v>
      </c>
      <c r="Q471" s="25">
        <v>0</v>
      </c>
      <c r="R471" s="26">
        <v>50000</v>
      </c>
      <c r="S471" s="91">
        <f t="shared" si="38"/>
        <v>0</v>
      </c>
      <c r="T471" s="91">
        <f t="shared" si="39"/>
        <v>0</v>
      </c>
      <c r="U471" s="27" t="s">
        <v>50</v>
      </c>
      <c r="V471" s="19" t="s">
        <v>51</v>
      </c>
      <c r="W471" s="20">
        <v>45999</v>
      </c>
      <c r="X471" s="22" t="s">
        <v>251</v>
      </c>
      <c r="Y471" s="19" t="s">
        <v>52</v>
      </c>
      <c r="Z471" s="19" t="s">
        <v>52</v>
      </c>
      <c r="AA471" s="19" t="s">
        <v>52</v>
      </c>
      <c r="AB471" s="28"/>
    </row>
    <row r="472" spans="1:28" s="29" customFormat="1" ht="15" customHeight="1" x14ac:dyDescent="0.25">
      <c r="A472" s="14">
        <v>59</v>
      </c>
      <c r="B472" s="15">
        <v>46008</v>
      </c>
      <c r="C472" s="15">
        <f t="shared" si="40"/>
        <v>46016</v>
      </c>
      <c r="D472" s="14">
        <v>13259</v>
      </c>
      <c r="E472" s="16" t="s">
        <v>721</v>
      </c>
      <c r="F472" s="17" t="s">
        <v>124</v>
      </c>
      <c r="G472" s="17" t="s">
        <v>102</v>
      </c>
      <c r="H472" s="18" t="s">
        <v>57</v>
      </c>
      <c r="I472" s="19" t="s">
        <v>58</v>
      </c>
      <c r="J472" s="20">
        <v>45849</v>
      </c>
      <c r="K472" s="20">
        <v>45876</v>
      </c>
      <c r="L472" s="21">
        <v>400000</v>
      </c>
      <c r="M472" s="22">
        <f t="shared" si="36"/>
        <v>462000</v>
      </c>
      <c r="N472" s="23">
        <v>462000</v>
      </c>
      <c r="O472" s="23">
        <v>0</v>
      </c>
      <c r="P472" s="24">
        <f t="shared" si="37"/>
        <v>-62000</v>
      </c>
      <c r="Q472" s="25">
        <v>0</v>
      </c>
      <c r="R472" s="26">
        <v>36000</v>
      </c>
      <c r="S472" s="91">
        <f t="shared" si="38"/>
        <v>0</v>
      </c>
      <c r="T472" s="91">
        <f t="shared" si="39"/>
        <v>0</v>
      </c>
      <c r="U472" s="27" t="s">
        <v>50</v>
      </c>
      <c r="V472" s="19" t="s">
        <v>51</v>
      </c>
      <c r="W472" s="20">
        <v>45868</v>
      </c>
      <c r="X472" s="22" t="s">
        <v>251</v>
      </c>
      <c r="Y472" s="19" t="s">
        <v>52</v>
      </c>
      <c r="Z472" s="19" t="s">
        <v>52</v>
      </c>
      <c r="AA472" s="19" t="s">
        <v>52</v>
      </c>
      <c r="AB472" s="28"/>
    </row>
    <row r="473" spans="1:28" s="29" customFormat="1" ht="15" customHeight="1" x14ac:dyDescent="0.25">
      <c r="A473" s="14">
        <v>85</v>
      </c>
      <c r="B473" s="15">
        <v>46014</v>
      </c>
      <c r="C473" s="15">
        <f t="shared" si="40"/>
        <v>46022</v>
      </c>
      <c r="D473" s="14">
        <v>13938</v>
      </c>
      <c r="E473" s="16" t="s">
        <v>130</v>
      </c>
      <c r="F473" s="17" t="s">
        <v>250</v>
      </c>
      <c r="G473" s="17" t="s">
        <v>102</v>
      </c>
      <c r="H473" s="18" t="s">
        <v>542</v>
      </c>
      <c r="I473" s="19" t="s">
        <v>70</v>
      </c>
      <c r="J473" s="20">
        <v>45973</v>
      </c>
      <c r="K473" s="20">
        <v>46050</v>
      </c>
      <c r="L473" s="21">
        <v>375000</v>
      </c>
      <c r="M473" s="22">
        <f t="shared" si="36"/>
        <v>375000</v>
      </c>
      <c r="N473" s="23">
        <v>375000</v>
      </c>
      <c r="O473" s="23">
        <v>0</v>
      </c>
      <c r="P473" s="24">
        <f t="shared" si="37"/>
        <v>0</v>
      </c>
      <c r="Q473" s="25">
        <v>0</v>
      </c>
      <c r="R473" s="26">
        <v>50000</v>
      </c>
      <c r="S473" s="91">
        <f t="shared" si="38"/>
        <v>0</v>
      </c>
      <c r="T473" s="91">
        <f t="shared" si="39"/>
        <v>0</v>
      </c>
      <c r="U473" s="27" t="s">
        <v>50</v>
      </c>
      <c r="V473" s="19" t="s">
        <v>51</v>
      </c>
      <c r="W473" s="20">
        <v>45996</v>
      </c>
      <c r="X473" s="22" t="s">
        <v>251</v>
      </c>
      <c r="Y473" s="19" t="s">
        <v>52</v>
      </c>
      <c r="Z473" s="19" t="s">
        <v>52</v>
      </c>
      <c r="AA473" s="19" t="s">
        <v>52</v>
      </c>
      <c r="AB473" s="28"/>
    </row>
    <row r="474" spans="1:28" s="29" customFormat="1" ht="15" customHeight="1" x14ac:dyDescent="0.25">
      <c r="A474" s="14">
        <v>86</v>
      </c>
      <c r="B474" s="15">
        <v>46008</v>
      </c>
      <c r="C474" s="15">
        <f t="shared" si="40"/>
        <v>46016</v>
      </c>
      <c r="D474" s="14">
        <v>13577</v>
      </c>
      <c r="E474" s="16" t="s">
        <v>626</v>
      </c>
      <c r="F474" s="17" t="s">
        <v>627</v>
      </c>
      <c r="G474" s="17" t="s">
        <v>102</v>
      </c>
      <c r="H474" s="18" t="s">
        <v>57</v>
      </c>
      <c r="I474" s="19" t="s">
        <v>94</v>
      </c>
      <c r="J474" s="20">
        <v>45910</v>
      </c>
      <c r="K474" s="20">
        <v>45945</v>
      </c>
      <c r="L474" s="21">
        <v>150000</v>
      </c>
      <c r="M474" s="22">
        <f t="shared" si="36"/>
        <v>156000</v>
      </c>
      <c r="N474" s="23">
        <v>156000</v>
      </c>
      <c r="O474" s="23">
        <v>0</v>
      </c>
      <c r="P474" s="24">
        <f t="shared" si="37"/>
        <v>-6000</v>
      </c>
      <c r="Q474" s="25">
        <v>0</v>
      </c>
      <c r="R474" s="26">
        <v>50000</v>
      </c>
      <c r="S474" s="91">
        <f t="shared" si="38"/>
        <v>0</v>
      </c>
      <c r="T474" s="91">
        <f t="shared" si="39"/>
        <v>0</v>
      </c>
      <c r="U474" s="27" t="s">
        <v>50</v>
      </c>
      <c r="V474" s="19" t="s">
        <v>51</v>
      </c>
      <c r="W474" s="20">
        <v>45925</v>
      </c>
      <c r="X474" s="22" t="s">
        <v>251</v>
      </c>
      <c r="Y474" s="19" t="s">
        <v>52</v>
      </c>
      <c r="Z474" s="19" t="s">
        <v>52</v>
      </c>
      <c r="AA474" s="19" t="s">
        <v>52</v>
      </c>
      <c r="AB474" s="28"/>
    </row>
    <row r="475" spans="1:28" s="29" customFormat="1" ht="15" customHeight="1" x14ac:dyDescent="0.25">
      <c r="A475" s="14">
        <v>1</v>
      </c>
      <c r="B475" s="15">
        <v>46017</v>
      </c>
      <c r="C475" s="15">
        <f t="shared" si="40"/>
        <v>46025</v>
      </c>
      <c r="D475" s="14">
        <v>13902</v>
      </c>
      <c r="E475" s="16" t="s">
        <v>944</v>
      </c>
      <c r="F475" s="17" t="s">
        <v>710</v>
      </c>
      <c r="G475" s="17" t="s">
        <v>47</v>
      </c>
      <c r="H475" s="18" t="s">
        <v>542</v>
      </c>
      <c r="I475" s="19" t="s">
        <v>49</v>
      </c>
      <c r="J475" s="20">
        <v>45966</v>
      </c>
      <c r="K475" s="20">
        <v>45992</v>
      </c>
      <c r="L475" s="21">
        <v>50000</v>
      </c>
      <c r="M475" s="22">
        <f t="shared" si="36"/>
        <v>48000</v>
      </c>
      <c r="N475" s="23">
        <v>48000</v>
      </c>
      <c r="O475" s="23">
        <v>0</v>
      </c>
      <c r="P475" s="24">
        <f t="shared" si="37"/>
        <v>2000</v>
      </c>
      <c r="Q475" s="25">
        <v>0</v>
      </c>
      <c r="R475" s="26">
        <v>72000</v>
      </c>
      <c r="S475" s="91">
        <f t="shared" si="38"/>
        <v>2.7777777777777776E-2</v>
      </c>
      <c r="T475" s="91">
        <f t="shared" si="39"/>
        <v>0</v>
      </c>
      <c r="U475" s="27" t="s">
        <v>50</v>
      </c>
      <c r="V475" s="19" t="s">
        <v>51</v>
      </c>
      <c r="W475" s="20">
        <v>45983</v>
      </c>
      <c r="X475" s="22" t="s">
        <v>251</v>
      </c>
      <c r="Y475" s="19" t="s">
        <v>52</v>
      </c>
      <c r="Z475" s="19" t="s">
        <v>52</v>
      </c>
      <c r="AA475" s="19" t="s">
        <v>52</v>
      </c>
      <c r="AB475" s="42"/>
    </row>
    <row r="476" spans="1:28" s="29" customFormat="1" ht="15" customHeight="1" x14ac:dyDescent="0.25">
      <c r="A476" s="14">
        <v>2</v>
      </c>
      <c r="B476" s="15">
        <v>46017</v>
      </c>
      <c r="C476" s="15">
        <f t="shared" si="40"/>
        <v>46025</v>
      </c>
      <c r="D476" s="14">
        <v>14105</v>
      </c>
      <c r="E476" s="16" t="s">
        <v>214</v>
      </c>
      <c r="F476" s="17" t="s">
        <v>215</v>
      </c>
      <c r="G476" s="17" t="s">
        <v>47</v>
      </c>
      <c r="H476" s="18" t="s">
        <v>542</v>
      </c>
      <c r="I476" s="19" t="s">
        <v>104</v>
      </c>
      <c r="J476" s="20">
        <v>45993</v>
      </c>
      <c r="K476" s="20">
        <v>46003</v>
      </c>
      <c r="L476" s="21">
        <v>50000</v>
      </c>
      <c r="M476" s="22">
        <f t="shared" si="36"/>
        <v>52000</v>
      </c>
      <c r="N476" s="23">
        <v>52000</v>
      </c>
      <c r="O476" s="23">
        <v>0</v>
      </c>
      <c r="P476" s="24">
        <f t="shared" si="37"/>
        <v>-2000</v>
      </c>
      <c r="Q476" s="25">
        <v>0</v>
      </c>
      <c r="R476" s="26">
        <v>50000</v>
      </c>
      <c r="S476" s="91">
        <f t="shared" si="38"/>
        <v>0</v>
      </c>
      <c r="T476" s="91">
        <f t="shared" si="39"/>
        <v>0</v>
      </c>
      <c r="U476" s="27" t="s">
        <v>50</v>
      </c>
      <c r="V476" s="19" t="s">
        <v>51</v>
      </c>
      <c r="W476" s="20">
        <v>46007</v>
      </c>
      <c r="X476" s="22" t="s">
        <v>251</v>
      </c>
      <c r="Y476" s="19" t="s">
        <v>52</v>
      </c>
      <c r="Z476" s="19" t="s">
        <v>52</v>
      </c>
      <c r="AA476" s="19" t="s">
        <v>52</v>
      </c>
      <c r="AB476" s="42"/>
    </row>
    <row r="477" spans="1:28" s="29" customFormat="1" ht="15" customHeight="1" x14ac:dyDescent="0.25">
      <c r="A477" s="14">
        <v>5</v>
      </c>
      <c r="B477" s="15">
        <v>46028</v>
      </c>
      <c r="C477" s="15">
        <f t="shared" si="40"/>
        <v>46036</v>
      </c>
      <c r="D477" s="14">
        <v>14097</v>
      </c>
      <c r="E477" s="16" t="s">
        <v>728</v>
      </c>
      <c r="F477" s="17" t="s">
        <v>469</v>
      </c>
      <c r="G477" s="17" t="s">
        <v>47</v>
      </c>
      <c r="H477" s="18" t="s">
        <v>57</v>
      </c>
      <c r="I477" s="19" t="s">
        <v>58</v>
      </c>
      <c r="J477" s="20">
        <v>45987</v>
      </c>
      <c r="K477" s="20">
        <v>46017</v>
      </c>
      <c r="L477" s="21">
        <v>2000000</v>
      </c>
      <c r="M477" s="22">
        <f t="shared" si="36"/>
        <v>1878000</v>
      </c>
      <c r="N477" s="23">
        <v>1878000</v>
      </c>
      <c r="O477" s="23">
        <v>0</v>
      </c>
      <c r="P477" s="24">
        <f t="shared" si="37"/>
        <v>122000</v>
      </c>
      <c r="Q477" s="25">
        <v>0</v>
      </c>
      <c r="R477" s="26">
        <v>96000</v>
      </c>
      <c r="S477" s="91">
        <f t="shared" si="38"/>
        <v>1.2708333333333333</v>
      </c>
      <c r="T477" s="91">
        <f t="shared" si="39"/>
        <v>0</v>
      </c>
      <c r="U477" s="27" t="s">
        <v>50</v>
      </c>
      <c r="V477" s="19" t="s">
        <v>51</v>
      </c>
      <c r="W477" s="20">
        <v>46015</v>
      </c>
      <c r="X477" s="22" t="s">
        <v>251</v>
      </c>
      <c r="Y477" s="19" t="s">
        <v>52</v>
      </c>
      <c r="Z477" s="19" t="s">
        <v>52</v>
      </c>
      <c r="AA477" s="19" t="s">
        <v>52</v>
      </c>
      <c r="AB477" s="42"/>
    </row>
    <row r="478" spans="1:28" s="29" customFormat="1" ht="15" customHeight="1" x14ac:dyDescent="0.25">
      <c r="A478" s="14">
        <v>6</v>
      </c>
      <c r="B478" s="15">
        <v>46022</v>
      </c>
      <c r="C478" s="15">
        <f t="shared" si="40"/>
        <v>46030</v>
      </c>
      <c r="D478" s="14">
        <v>14092</v>
      </c>
      <c r="E478" s="16" t="s">
        <v>660</v>
      </c>
      <c r="F478" s="17" t="s">
        <v>629</v>
      </c>
      <c r="G478" s="17" t="s">
        <v>47</v>
      </c>
      <c r="H478" s="18" t="s">
        <v>775</v>
      </c>
      <c r="I478" s="19" t="s">
        <v>55</v>
      </c>
      <c r="J478" s="20">
        <v>45986</v>
      </c>
      <c r="K478" s="20">
        <v>46027</v>
      </c>
      <c r="L478" s="21">
        <v>300000</v>
      </c>
      <c r="M478" s="22">
        <f t="shared" si="36"/>
        <v>329000</v>
      </c>
      <c r="N478" s="23">
        <v>329000</v>
      </c>
      <c r="O478" s="23">
        <v>0</v>
      </c>
      <c r="P478" s="24">
        <f t="shared" si="37"/>
        <v>-29000</v>
      </c>
      <c r="Q478" s="25">
        <v>0</v>
      </c>
      <c r="R478" s="26">
        <v>50000</v>
      </c>
      <c r="S478" s="91">
        <f t="shared" si="38"/>
        <v>0</v>
      </c>
      <c r="T478" s="91">
        <f t="shared" si="39"/>
        <v>0</v>
      </c>
      <c r="U478" s="27" t="s">
        <v>56</v>
      </c>
      <c r="V478" s="19" t="s">
        <v>51</v>
      </c>
      <c r="W478" s="20">
        <v>45999</v>
      </c>
      <c r="X478" s="22" t="s">
        <v>251</v>
      </c>
      <c r="Y478" s="19" t="s">
        <v>52</v>
      </c>
      <c r="Z478" s="19" t="s">
        <v>52</v>
      </c>
      <c r="AA478" s="19" t="s">
        <v>52</v>
      </c>
      <c r="AB478" s="42"/>
    </row>
    <row r="479" spans="1:28" s="29" customFormat="1" ht="15" customHeight="1" x14ac:dyDescent="0.25">
      <c r="A479" s="14">
        <v>1</v>
      </c>
      <c r="B479" s="15">
        <v>46034</v>
      </c>
      <c r="C479" s="15">
        <f t="shared" si="40"/>
        <v>46042</v>
      </c>
      <c r="D479" s="14">
        <v>13966</v>
      </c>
      <c r="E479" s="16" t="s">
        <v>236</v>
      </c>
      <c r="F479" s="40" t="s">
        <v>237</v>
      </c>
      <c r="G479" s="17" t="s">
        <v>75</v>
      </c>
      <c r="H479" s="18" t="s">
        <v>62</v>
      </c>
      <c r="I479" s="19" t="s">
        <v>63</v>
      </c>
      <c r="J479" s="20">
        <v>45972</v>
      </c>
      <c r="K479" s="20">
        <v>45995</v>
      </c>
      <c r="L479" s="21">
        <v>300000</v>
      </c>
      <c r="M479" s="22">
        <f t="shared" si="36"/>
        <v>246000</v>
      </c>
      <c r="N479" s="23">
        <v>246000</v>
      </c>
      <c r="O479" s="23">
        <v>0</v>
      </c>
      <c r="P479" s="24">
        <f t="shared" si="37"/>
        <v>54000</v>
      </c>
      <c r="Q479" s="25">
        <v>0</v>
      </c>
      <c r="R479" s="26">
        <v>150000</v>
      </c>
      <c r="S479" s="91">
        <f t="shared" si="38"/>
        <v>0.36</v>
      </c>
      <c r="T479" s="91">
        <f t="shared" si="39"/>
        <v>0</v>
      </c>
      <c r="U479" s="27" t="s">
        <v>50</v>
      </c>
      <c r="V479" s="19" t="s">
        <v>51</v>
      </c>
      <c r="W479" s="20">
        <v>45999</v>
      </c>
      <c r="X479" s="22" t="s">
        <v>251</v>
      </c>
      <c r="Y479" s="19" t="s">
        <v>52</v>
      </c>
      <c r="Z479" s="19" t="s">
        <v>52</v>
      </c>
      <c r="AA479" s="19" t="s">
        <v>52</v>
      </c>
      <c r="AB479" s="28"/>
    </row>
    <row r="480" spans="1:28" s="29" customFormat="1" ht="15" customHeight="1" x14ac:dyDescent="0.25">
      <c r="A480" s="14">
        <v>2</v>
      </c>
      <c r="B480" s="15">
        <v>46028</v>
      </c>
      <c r="C480" s="15">
        <f t="shared" si="40"/>
        <v>46036</v>
      </c>
      <c r="D480" s="14">
        <v>14012</v>
      </c>
      <c r="E480" s="16" t="s">
        <v>349</v>
      </c>
      <c r="F480" s="40" t="s">
        <v>350</v>
      </c>
      <c r="G480" s="17" t="s">
        <v>75</v>
      </c>
      <c r="H480" s="18" t="s">
        <v>78</v>
      </c>
      <c r="I480" s="19" t="s">
        <v>79</v>
      </c>
      <c r="J480" s="20">
        <v>45974</v>
      </c>
      <c r="K480" s="20" t="s">
        <v>65</v>
      </c>
      <c r="L480" s="21">
        <v>1000000</v>
      </c>
      <c r="M480" s="22">
        <f t="shared" si="36"/>
        <v>1105000</v>
      </c>
      <c r="N480" s="23">
        <v>1105000</v>
      </c>
      <c r="O480" s="23">
        <v>0</v>
      </c>
      <c r="P480" s="24">
        <f t="shared" si="37"/>
        <v>-105000</v>
      </c>
      <c r="Q480" s="25">
        <v>0</v>
      </c>
      <c r="R480" s="26">
        <v>150000</v>
      </c>
      <c r="S480" s="91">
        <f t="shared" si="38"/>
        <v>0</v>
      </c>
      <c r="T480" s="91">
        <f t="shared" si="39"/>
        <v>0</v>
      </c>
      <c r="U480" s="27" t="s">
        <v>56</v>
      </c>
      <c r="V480" s="19" t="s">
        <v>51</v>
      </c>
      <c r="W480" s="20">
        <v>45985</v>
      </c>
      <c r="X480" s="22" t="s">
        <v>251</v>
      </c>
      <c r="Y480" s="19" t="s">
        <v>52</v>
      </c>
      <c r="Z480" s="19" t="s">
        <v>52</v>
      </c>
      <c r="AA480" s="19" t="s">
        <v>52</v>
      </c>
      <c r="AB480" s="28"/>
    </row>
    <row r="481" spans="1:28" s="29" customFormat="1" ht="15" customHeight="1" x14ac:dyDescent="0.25">
      <c r="A481" s="14">
        <v>4</v>
      </c>
      <c r="B481" s="15">
        <v>46027</v>
      </c>
      <c r="C481" s="15">
        <f t="shared" si="40"/>
        <v>46035</v>
      </c>
      <c r="D481" s="14">
        <v>14062</v>
      </c>
      <c r="E481" s="16" t="s">
        <v>422</v>
      </c>
      <c r="F481" s="40" t="s">
        <v>476</v>
      </c>
      <c r="G481" s="17" t="s">
        <v>75</v>
      </c>
      <c r="H481" s="18" t="s">
        <v>78</v>
      </c>
      <c r="I481" s="19" t="s">
        <v>79</v>
      </c>
      <c r="J481" s="20">
        <v>45980</v>
      </c>
      <c r="K481" s="20" t="s">
        <v>65</v>
      </c>
      <c r="L481" s="21">
        <v>550000</v>
      </c>
      <c r="M481" s="22">
        <f t="shared" si="36"/>
        <v>555000</v>
      </c>
      <c r="N481" s="23">
        <v>555000</v>
      </c>
      <c r="O481" s="23">
        <v>0</v>
      </c>
      <c r="P481" s="24">
        <f t="shared" si="37"/>
        <v>-5000</v>
      </c>
      <c r="Q481" s="25">
        <v>0</v>
      </c>
      <c r="R481" s="26">
        <v>210000</v>
      </c>
      <c r="S481" s="91">
        <f t="shared" si="38"/>
        <v>0</v>
      </c>
      <c r="T481" s="91">
        <f t="shared" si="39"/>
        <v>0</v>
      </c>
      <c r="U481" s="27" t="s">
        <v>56</v>
      </c>
      <c r="V481" s="19" t="s">
        <v>51</v>
      </c>
      <c r="W481" s="20">
        <v>45996</v>
      </c>
      <c r="X481" s="22" t="s">
        <v>251</v>
      </c>
      <c r="Y481" s="19" t="s">
        <v>52</v>
      </c>
      <c r="Z481" s="19" t="s">
        <v>52</v>
      </c>
      <c r="AA481" s="19" t="s">
        <v>52</v>
      </c>
      <c r="AB481" s="28"/>
    </row>
    <row r="482" spans="1:28" s="29" customFormat="1" ht="15" customHeight="1" x14ac:dyDescent="0.25">
      <c r="A482" s="14">
        <v>5</v>
      </c>
      <c r="B482" s="15">
        <v>46022</v>
      </c>
      <c r="C482" s="15">
        <f t="shared" si="40"/>
        <v>46030</v>
      </c>
      <c r="D482" s="14">
        <v>14120</v>
      </c>
      <c r="E482" s="16" t="s">
        <v>1028</v>
      </c>
      <c r="F482" s="40" t="s">
        <v>1029</v>
      </c>
      <c r="G482" s="17" t="s">
        <v>75</v>
      </c>
      <c r="H482" s="18" t="s">
        <v>542</v>
      </c>
      <c r="I482" s="19" t="s">
        <v>49</v>
      </c>
      <c r="J482" s="20">
        <v>45994</v>
      </c>
      <c r="K482" s="20">
        <v>46010</v>
      </c>
      <c r="L482" s="21">
        <v>84000</v>
      </c>
      <c r="M482" s="22">
        <f t="shared" si="36"/>
        <v>84000</v>
      </c>
      <c r="N482" s="23">
        <v>84000</v>
      </c>
      <c r="O482" s="23">
        <v>0</v>
      </c>
      <c r="P482" s="24">
        <f t="shared" si="37"/>
        <v>0</v>
      </c>
      <c r="Q482" s="25">
        <v>0</v>
      </c>
      <c r="R482" s="26">
        <v>150000</v>
      </c>
      <c r="S482" s="91">
        <f t="shared" si="38"/>
        <v>0</v>
      </c>
      <c r="T482" s="91">
        <f t="shared" si="39"/>
        <v>0</v>
      </c>
      <c r="U482" s="27" t="s">
        <v>50</v>
      </c>
      <c r="V482" s="19" t="s">
        <v>51</v>
      </c>
      <c r="W482" s="20">
        <v>46015</v>
      </c>
      <c r="X482" s="22" t="s">
        <v>251</v>
      </c>
      <c r="Y482" s="19" t="s">
        <v>52</v>
      </c>
      <c r="Z482" s="19" t="s">
        <v>52</v>
      </c>
      <c r="AA482" s="19" t="s">
        <v>52</v>
      </c>
      <c r="AB482" s="28"/>
    </row>
    <row r="483" spans="1:28" s="29" customFormat="1" ht="15" customHeight="1" x14ac:dyDescent="0.25">
      <c r="A483" s="14">
        <v>7</v>
      </c>
      <c r="B483" s="15">
        <v>46027</v>
      </c>
      <c r="C483" s="15">
        <f t="shared" si="40"/>
        <v>46035</v>
      </c>
      <c r="D483" s="14">
        <v>14123</v>
      </c>
      <c r="E483" s="16" t="s">
        <v>462</v>
      </c>
      <c r="F483" s="40" t="s">
        <v>463</v>
      </c>
      <c r="G483" s="17" t="s">
        <v>75</v>
      </c>
      <c r="H483" s="18" t="s">
        <v>542</v>
      </c>
      <c r="I483" s="19" t="s">
        <v>49</v>
      </c>
      <c r="J483" s="20">
        <v>45994</v>
      </c>
      <c r="K483" s="20">
        <v>46029</v>
      </c>
      <c r="L483" s="21">
        <v>150000</v>
      </c>
      <c r="M483" s="22">
        <f t="shared" si="36"/>
        <v>138000</v>
      </c>
      <c r="N483" s="23">
        <v>138000</v>
      </c>
      <c r="O483" s="23">
        <v>0</v>
      </c>
      <c r="P483" s="24">
        <f t="shared" si="37"/>
        <v>12000</v>
      </c>
      <c r="Q483" s="25">
        <v>0</v>
      </c>
      <c r="R483" s="26">
        <v>150000</v>
      </c>
      <c r="S483" s="91">
        <f t="shared" si="38"/>
        <v>0.08</v>
      </c>
      <c r="T483" s="91">
        <f t="shared" si="39"/>
        <v>0</v>
      </c>
      <c r="U483" s="27" t="s">
        <v>50</v>
      </c>
      <c r="V483" s="19" t="s">
        <v>51</v>
      </c>
      <c r="W483" s="20">
        <v>46015</v>
      </c>
      <c r="X483" s="22" t="s">
        <v>251</v>
      </c>
      <c r="Y483" s="19" t="s">
        <v>52</v>
      </c>
      <c r="Z483" s="19" t="s">
        <v>52</v>
      </c>
      <c r="AA483" s="19" t="s">
        <v>52</v>
      </c>
      <c r="AB483" s="28"/>
    </row>
    <row r="484" spans="1:28" s="29" customFormat="1" ht="15" customHeight="1" x14ac:dyDescent="0.25">
      <c r="A484" s="14">
        <v>9</v>
      </c>
      <c r="B484" s="15">
        <v>46022</v>
      </c>
      <c r="C484" s="15">
        <f t="shared" si="40"/>
        <v>46030</v>
      </c>
      <c r="D484" s="14">
        <v>13950</v>
      </c>
      <c r="E484" s="16" t="s">
        <v>398</v>
      </c>
      <c r="F484" s="40" t="s">
        <v>399</v>
      </c>
      <c r="G484" s="17" t="s">
        <v>75</v>
      </c>
      <c r="H484" s="18" t="s">
        <v>57</v>
      </c>
      <c r="I484" s="19" t="s">
        <v>94</v>
      </c>
      <c r="J484" s="20">
        <v>45972</v>
      </c>
      <c r="K484" s="20">
        <v>45999</v>
      </c>
      <c r="L484" s="21">
        <v>1000000</v>
      </c>
      <c r="M484" s="22">
        <f t="shared" si="36"/>
        <v>1056000</v>
      </c>
      <c r="N484" s="23">
        <v>1056000</v>
      </c>
      <c r="O484" s="23">
        <v>0</v>
      </c>
      <c r="P484" s="24">
        <f t="shared" si="37"/>
        <v>-56000</v>
      </c>
      <c r="Q484" s="25">
        <v>0</v>
      </c>
      <c r="R484" s="26">
        <v>150000</v>
      </c>
      <c r="S484" s="91">
        <f t="shared" si="38"/>
        <v>0</v>
      </c>
      <c r="T484" s="91">
        <f t="shared" si="39"/>
        <v>0</v>
      </c>
      <c r="U484" s="27" t="s">
        <v>50</v>
      </c>
      <c r="V484" s="19" t="s">
        <v>51</v>
      </c>
      <c r="W484" s="20">
        <v>45999</v>
      </c>
      <c r="X484" s="22" t="s">
        <v>251</v>
      </c>
      <c r="Y484" s="19" t="s">
        <v>52</v>
      </c>
      <c r="Z484" s="19" t="s">
        <v>52</v>
      </c>
      <c r="AA484" s="19" t="s">
        <v>52</v>
      </c>
      <c r="AB484" s="28"/>
    </row>
    <row r="485" spans="1:28" s="29" customFormat="1" ht="15" customHeight="1" x14ac:dyDescent="0.25">
      <c r="A485" s="14">
        <v>13</v>
      </c>
      <c r="B485" s="15">
        <v>46021</v>
      </c>
      <c r="C485" s="15">
        <f t="shared" si="40"/>
        <v>46029</v>
      </c>
      <c r="D485" s="14">
        <v>13998</v>
      </c>
      <c r="E485" s="16" t="s">
        <v>380</v>
      </c>
      <c r="F485" s="40" t="s">
        <v>381</v>
      </c>
      <c r="G485" s="17" t="s">
        <v>75</v>
      </c>
      <c r="H485" s="18" t="s">
        <v>78</v>
      </c>
      <c r="I485" s="19" t="s">
        <v>79</v>
      </c>
      <c r="J485" s="20">
        <v>45978</v>
      </c>
      <c r="K485" s="20">
        <v>46009</v>
      </c>
      <c r="L485" s="21">
        <v>2000000</v>
      </c>
      <c r="M485" s="22">
        <f t="shared" si="36"/>
        <v>2025000</v>
      </c>
      <c r="N485" s="23">
        <v>2025000</v>
      </c>
      <c r="O485" s="23">
        <v>0</v>
      </c>
      <c r="P485" s="24">
        <f t="shared" si="37"/>
        <v>-25000</v>
      </c>
      <c r="Q485" s="25">
        <v>0</v>
      </c>
      <c r="R485" s="26">
        <v>105000</v>
      </c>
      <c r="S485" s="91">
        <f t="shared" si="38"/>
        <v>0</v>
      </c>
      <c r="T485" s="91">
        <f t="shared" si="39"/>
        <v>0</v>
      </c>
      <c r="U485" s="27" t="s">
        <v>56</v>
      </c>
      <c r="V485" s="19" t="s">
        <v>51</v>
      </c>
      <c r="W485" s="20">
        <v>45996</v>
      </c>
      <c r="X485" s="22" t="s">
        <v>251</v>
      </c>
      <c r="Y485" s="19" t="s">
        <v>52</v>
      </c>
      <c r="Z485" s="19" t="s">
        <v>52</v>
      </c>
      <c r="AA485" s="19" t="s">
        <v>52</v>
      </c>
      <c r="AB485" s="28"/>
    </row>
    <row r="486" spans="1:28" s="29" customFormat="1" ht="15" customHeight="1" x14ac:dyDescent="0.25">
      <c r="A486" s="14">
        <v>14</v>
      </c>
      <c r="B486" s="15">
        <v>46022</v>
      </c>
      <c r="C486" s="15">
        <f t="shared" si="40"/>
        <v>46030</v>
      </c>
      <c r="D486" s="14">
        <v>14064</v>
      </c>
      <c r="E486" s="16" t="s">
        <v>464</v>
      </c>
      <c r="F486" s="40" t="s">
        <v>465</v>
      </c>
      <c r="G486" s="17" t="s">
        <v>75</v>
      </c>
      <c r="H486" s="18" t="s">
        <v>113</v>
      </c>
      <c r="I486" s="19" t="s">
        <v>64</v>
      </c>
      <c r="J486" s="20">
        <v>45982</v>
      </c>
      <c r="K486" s="20">
        <v>46010</v>
      </c>
      <c r="L486" s="21">
        <v>1000000</v>
      </c>
      <c r="M486" s="22">
        <f t="shared" ref="M486:M539" si="41">SUM(N486:O486)</f>
        <v>1017000</v>
      </c>
      <c r="N486" s="23">
        <v>1017000</v>
      </c>
      <c r="O486" s="23">
        <v>0</v>
      </c>
      <c r="P486" s="24">
        <f t="shared" ref="P486:P539" si="42">L486-N486</f>
        <v>-17000</v>
      </c>
      <c r="Q486" s="25">
        <v>0</v>
      </c>
      <c r="R486" s="26">
        <v>150000</v>
      </c>
      <c r="S486" s="91">
        <f t="shared" si="38"/>
        <v>0</v>
      </c>
      <c r="T486" s="91">
        <f t="shared" si="39"/>
        <v>0</v>
      </c>
      <c r="U486" s="27" t="s">
        <v>50</v>
      </c>
      <c r="V486" s="19" t="s">
        <v>51</v>
      </c>
      <c r="W486" s="20">
        <v>45999</v>
      </c>
      <c r="X486" s="22" t="s">
        <v>251</v>
      </c>
      <c r="Y486" s="19" t="s">
        <v>52</v>
      </c>
      <c r="Z486" s="19" t="s">
        <v>52</v>
      </c>
      <c r="AA486" s="19" t="s">
        <v>52</v>
      </c>
      <c r="AB486" s="28"/>
    </row>
    <row r="487" spans="1:28" s="29" customFormat="1" ht="15" customHeight="1" x14ac:dyDescent="0.25">
      <c r="A487" s="14">
        <v>16</v>
      </c>
      <c r="B487" s="15">
        <v>46022</v>
      </c>
      <c r="C487" s="15">
        <f t="shared" si="40"/>
        <v>46030</v>
      </c>
      <c r="D487" s="14">
        <v>14008</v>
      </c>
      <c r="E487" s="16" t="s">
        <v>376</v>
      </c>
      <c r="F487" s="40" t="s">
        <v>371</v>
      </c>
      <c r="G487" s="17" t="s">
        <v>75</v>
      </c>
      <c r="H487" s="18" t="s">
        <v>78</v>
      </c>
      <c r="I487" s="19" t="s">
        <v>79</v>
      </c>
      <c r="J487" s="20">
        <v>45979</v>
      </c>
      <c r="K487" s="20">
        <v>46014</v>
      </c>
      <c r="L487" s="21">
        <v>320000</v>
      </c>
      <c r="M487" s="22">
        <f t="shared" si="41"/>
        <v>321000</v>
      </c>
      <c r="N487" s="23">
        <v>321000</v>
      </c>
      <c r="O487" s="23">
        <v>0</v>
      </c>
      <c r="P487" s="24">
        <f t="shared" si="42"/>
        <v>-1000</v>
      </c>
      <c r="Q487" s="25">
        <v>0</v>
      </c>
      <c r="R487" s="26">
        <v>96000</v>
      </c>
      <c r="S487" s="91">
        <f t="shared" si="38"/>
        <v>0</v>
      </c>
      <c r="T487" s="91">
        <f t="shared" si="39"/>
        <v>0</v>
      </c>
      <c r="U487" s="27" t="s">
        <v>56</v>
      </c>
      <c r="V487" s="19" t="s">
        <v>51</v>
      </c>
      <c r="W487" s="20">
        <v>46015</v>
      </c>
      <c r="X487" s="22" t="s">
        <v>251</v>
      </c>
      <c r="Y487" s="19" t="s">
        <v>52</v>
      </c>
      <c r="Z487" s="19" t="s">
        <v>52</v>
      </c>
      <c r="AA487" s="19" t="s">
        <v>52</v>
      </c>
      <c r="AB487" s="28"/>
    </row>
    <row r="488" spans="1:28" s="29" customFormat="1" ht="15" customHeight="1" x14ac:dyDescent="0.25">
      <c r="A488" s="14">
        <v>35</v>
      </c>
      <c r="B488" s="15">
        <v>46027</v>
      </c>
      <c r="C488" s="15">
        <f t="shared" si="40"/>
        <v>46035</v>
      </c>
      <c r="D488" s="14">
        <v>14085</v>
      </c>
      <c r="E488" s="16" t="s">
        <v>938</v>
      </c>
      <c r="F488" s="40" t="s">
        <v>933</v>
      </c>
      <c r="G488" s="17" t="s">
        <v>75</v>
      </c>
      <c r="H488" s="18" t="s">
        <v>542</v>
      </c>
      <c r="I488" s="19" t="s">
        <v>49</v>
      </c>
      <c r="J488" s="20">
        <v>45985</v>
      </c>
      <c r="K488" s="20">
        <v>45992</v>
      </c>
      <c r="L488" s="21">
        <v>120000</v>
      </c>
      <c r="M488" s="22">
        <f t="shared" si="41"/>
        <v>120000</v>
      </c>
      <c r="N488" s="23">
        <v>120000</v>
      </c>
      <c r="O488" s="23">
        <v>0</v>
      </c>
      <c r="P488" s="24">
        <f t="shared" si="42"/>
        <v>0</v>
      </c>
      <c r="Q488" s="25">
        <v>0</v>
      </c>
      <c r="R488" s="26">
        <v>150000</v>
      </c>
      <c r="S488" s="91">
        <f t="shared" si="38"/>
        <v>0</v>
      </c>
      <c r="T488" s="91">
        <f t="shared" si="39"/>
        <v>0</v>
      </c>
      <c r="U488" s="27" t="s">
        <v>50</v>
      </c>
      <c r="V488" s="19" t="s">
        <v>51</v>
      </c>
      <c r="W488" s="20">
        <v>45981</v>
      </c>
      <c r="X488" s="22" t="s">
        <v>251</v>
      </c>
      <c r="Y488" s="19" t="s">
        <v>52</v>
      </c>
      <c r="Z488" s="19" t="s">
        <v>52</v>
      </c>
      <c r="AA488" s="19" t="s">
        <v>52</v>
      </c>
      <c r="AB488" s="28"/>
    </row>
    <row r="489" spans="1:28" s="29" customFormat="1" ht="15" customHeight="1" x14ac:dyDescent="0.25">
      <c r="A489" s="14">
        <v>3</v>
      </c>
      <c r="B489" s="15">
        <v>46017</v>
      </c>
      <c r="C489" s="15">
        <f t="shared" si="40"/>
        <v>46025</v>
      </c>
      <c r="D489" s="14">
        <v>14078</v>
      </c>
      <c r="E489" s="16" t="s">
        <v>674</v>
      </c>
      <c r="F489" s="17" t="s">
        <v>675</v>
      </c>
      <c r="G489" s="17" t="s">
        <v>102</v>
      </c>
      <c r="H489" s="18" t="s">
        <v>542</v>
      </c>
      <c r="I489" s="19" t="s">
        <v>104</v>
      </c>
      <c r="J489" s="20">
        <v>45982</v>
      </c>
      <c r="K489" s="20">
        <v>46020</v>
      </c>
      <c r="L489" s="21">
        <v>200000</v>
      </c>
      <c r="M489" s="22">
        <f t="shared" si="41"/>
        <v>200000</v>
      </c>
      <c r="N489" s="23">
        <v>200000</v>
      </c>
      <c r="O489" s="23">
        <v>0</v>
      </c>
      <c r="P489" s="24">
        <f t="shared" si="42"/>
        <v>0</v>
      </c>
      <c r="Q489" s="25">
        <v>0</v>
      </c>
      <c r="R489" s="26">
        <v>70000</v>
      </c>
      <c r="S489" s="91">
        <f t="shared" si="38"/>
        <v>0</v>
      </c>
      <c r="T489" s="91">
        <f t="shared" si="39"/>
        <v>0</v>
      </c>
      <c r="U489" s="27" t="s">
        <v>50</v>
      </c>
      <c r="V489" s="19" t="s">
        <v>51</v>
      </c>
      <c r="W489" s="20">
        <v>46380</v>
      </c>
      <c r="X489" s="22" t="s">
        <v>251</v>
      </c>
      <c r="Y489" s="19" t="s">
        <v>52</v>
      </c>
      <c r="Z489" s="19" t="s">
        <v>52</v>
      </c>
      <c r="AA489" s="19" t="s">
        <v>52</v>
      </c>
      <c r="AB489" s="28"/>
    </row>
    <row r="490" spans="1:28" s="29" customFormat="1" ht="15" customHeight="1" x14ac:dyDescent="0.25">
      <c r="A490" s="14">
        <v>38</v>
      </c>
      <c r="B490" s="15">
        <v>46028</v>
      </c>
      <c r="C490" s="15">
        <f t="shared" si="40"/>
        <v>46036</v>
      </c>
      <c r="D490" s="14">
        <v>13915</v>
      </c>
      <c r="E490" s="16" t="s">
        <v>297</v>
      </c>
      <c r="F490" s="17" t="s">
        <v>298</v>
      </c>
      <c r="G490" s="17" t="s">
        <v>102</v>
      </c>
      <c r="H490" s="18" t="s">
        <v>57</v>
      </c>
      <c r="I490" s="19" t="s">
        <v>94</v>
      </c>
      <c r="J490" s="20">
        <v>45971</v>
      </c>
      <c r="K490" s="20">
        <v>46020</v>
      </c>
      <c r="L490" s="21">
        <v>500000</v>
      </c>
      <c r="M490" s="22">
        <f t="shared" si="41"/>
        <v>518000</v>
      </c>
      <c r="N490" s="23">
        <v>518000</v>
      </c>
      <c r="O490" s="23">
        <v>0</v>
      </c>
      <c r="P490" s="24">
        <f t="shared" si="42"/>
        <v>-18000</v>
      </c>
      <c r="Q490" s="25">
        <v>0</v>
      </c>
      <c r="R490" s="26">
        <v>30000</v>
      </c>
      <c r="S490" s="91">
        <f t="shared" si="38"/>
        <v>0</v>
      </c>
      <c r="T490" s="91">
        <f t="shared" si="39"/>
        <v>0</v>
      </c>
      <c r="U490" s="27" t="s">
        <v>50</v>
      </c>
      <c r="V490" s="19" t="s">
        <v>51</v>
      </c>
      <c r="W490" s="20">
        <v>45981</v>
      </c>
      <c r="X490" s="22" t="s">
        <v>251</v>
      </c>
      <c r="Y490" s="19" t="s">
        <v>52</v>
      </c>
      <c r="Z490" s="19" t="s">
        <v>52</v>
      </c>
      <c r="AA490" s="19" t="s">
        <v>52</v>
      </c>
      <c r="AB490" s="28"/>
    </row>
    <row r="491" spans="1:28" s="29" customFormat="1" ht="15" customHeight="1" x14ac:dyDescent="0.25">
      <c r="A491" s="14">
        <v>59</v>
      </c>
      <c r="B491" s="15">
        <v>46021</v>
      </c>
      <c r="C491" s="15">
        <f t="shared" si="40"/>
        <v>46029</v>
      </c>
      <c r="D491" s="14">
        <v>13987</v>
      </c>
      <c r="E491" s="16" t="s">
        <v>817</v>
      </c>
      <c r="F491" s="17" t="s">
        <v>818</v>
      </c>
      <c r="G491" s="17" t="s">
        <v>102</v>
      </c>
      <c r="H491" s="18" t="s">
        <v>775</v>
      </c>
      <c r="I491" s="19" t="s">
        <v>135</v>
      </c>
      <c r="J491" s="20">
        <v>45975</v>
      </c>
      <c r="K491" s="20">
        <v>46028</v>
      </c>
      <c r="L491" s="21">
        <v>75000</v>
      </c>
      <c r="M491" s="22">
        <f t="shared" si="41"/>
        <v>84000</v>
      </c>
      <c r="N491" s="23">
        <v>84000</v>
      </c>
      <c r="O491" s="23">
        <v>0</v>
      </c>
      <c r="P491" s="24">
        <f t="shared" si="42"/>
        <v>-9000</v>
      </c>
      <c r="Q491" s="25">
        <v>0</v>
      </c>
      <c r="R491" s="26">
        <v>42000</v>
      </c>
      <c r="S491" s="91">
        <f t="shared" si="38"/>
        <v>0</v>
      </c>
      <c r="T491" s="91">
        <f t="shared" si="39"/>
        <v>0</v>
      </c>
      <c r="U491" s="27" t="s">
        <v>56</v>
      </c>
      <c r="V491" s="19" t="s">
        <v>51</v>
      </c>
      <c r="W491" s="20">
        <v>45999</v>
      </c>
      <c r="X491" s="22" t="s">
        <v>251</v>
      </c>
      <c r="Y491" s="19" t="s">
        <v>52</v>
      </c>
      <c r="Z491" s="19" t="s">
        <v>52</v>
      </c>
      <c r="AA491" s="19" t="s">
        <v>52</v>
      </c>
      <c r="AB491" s="28"/>
    </row>
    <row r="492" spans="1:28" s="29" customFormat="1" ht="15" customHeight="1" x14ac:dyDescent="0.25">
      <c r="A492" s="14">
        <v>60</v>
      </c>
      <c r="B492" s="15">
        <v>46021</v>
      </c>
      <c r="C492" s="15">
        <f t="shared" si="40"/>
        <v>46029</v>
      </c>
      <c r="D492" s="14">
        <v>13988</v>
      </c>
      <c r="E492" s="16" t="s">
        <v>839</v>
      </c>
      <c r="F492" s="17" t="s">
        <v>957</v>
      </c>
      <c r="G492" s="17" t="s">
        <v>102</v>
      </c>
      <c r="H492" s="18" t="s">
        <v>775</v>
      </c>
      <c r="I492" s="19" t="s">
        <v>135</v>
      </c>
      <c r="J492" s="20">
        <v>45975</v>
      </c>
      <c r="K492" s="20">
        <v>46028</v>
      </c>
      <c r="L492" s="21">
        <v>50000</v>
      </c>
      <c r="M492" s="22">
        <f t="shared" si="41"/>
        <v>50000</v>
      </c>
      <c r="N492" s="23">
        <v>50000</v>
      </c>
      <c r="O492" s="23">
        <v>0</v>
      </c>
      <c r="P492" s="24">
        <f t="shared" si="42"/>
        <v>0</v>
      </c>
      <c r="Q492" s="25">
        <v>0</v>
      </c>
      <c r="R492" s="26">
        <v>42000</v>
      </c>
      <c r="S492" s="91">
        <f t="shared" si="38"/>
        <v>0</v>
      </c>
      <c r="T492" s="91">
        <f t="shared" si="39"/>
        <v>0</v>
      </c>
      <c r="U492" s="27" t="s">
        <v>56</v>
      </c>
      <c r="V492" s="19" t="s">
        <v>51</v>
      </c>
      <c r="W492" s="20">
        <v>45999</v>
      </c>
      <c r="X492" s="22" t="s">
        <v>251</v>
      </c>
      <c r="Y492" s="19" t="s">
        <v>52</v>
      </c>
      <c r="Z492" s="19" t="s">
        <v>52</v>
      </c>
      <c r="AA492" s="19" t="s">
        <v>52</v>
      </c>
      <c r="AB492" s="28"/>
    </row>
    <row r="493" spans="1:28" s="29" customFormat="1" ht="15" customHeight="1" x14ac:dyDescent="0.25">
      <c r="A493" s="14">
        <v>61</v>
      </c>
      <c r="B493" s="15">
        <v>46021</v>
      </c>
      <c r="C493" s="15">
        <f t="shared" si="40"/>
        <v>46029</v>
      </c>
      <c r="D493" s="14">
        <v>13989</v>
      </c>
      <c r="E493" s="16" t="s">
        <v>847</v>
      </c>
      <c r="F493" s="17" t="s">
        <v>848</v>
      </c>
      <c r="G493" s="17" t="s">
        <v>102</v>
      </c>
      <c r="H493" s="18" t="s">
        <v>775</v>
      </c>
      <c r="I493" s="19" t="s">
        <v>135</v>
      </c>
      <c r="J493" s="20">
        <v>45975</v>
      </c>
      <c r="K493" s="20">
        <v>46028</v>
      </c>
      <c r="L493" s="21">
        <v>30000</v>
      </c>
      <c r="M493" s="22">
        <f t="shared" si="41"/>
        <v>35000</v>
      </c>
      <c r="N493" s="23">
        <v>35000</v>
      </c>
      <c r="O493" s="23">
        <v>0</v>
      </c>
      <c r="P493" s="24">
        <f t="shared" si="42"/>
        <v>-5000</v>
      </c>
      <c r="Q493" s="25">
        <v>0</v>
      </c>
      <c r="R493" s="26">
        <v>42000</v>
      </c>
      <c r="S493" s="91">
        <f t="shared" si="38"/>
        <v>0</v>
      </c>
      <c r="T493" s="91">
        <f t="shared" si="39"/>
        <v>0</v>
      </c>
      <c r="U493" s="27" t="s">
        <v>56</v>
      </c>
      <c r="V493" s="19" t="s">
        <v>51</v>
      </c>
      <c r="W493" s="20">
        <v>45999</v>
      </c>
      <c r="X493" s="22" t="s">
        <v>251</v>
      </c>
      <c r="Y493" s="19" t="s">
        <v>52</v>
      </c>
      <c r="Z493" s="19" t="s">
        <v>52</v>
      </c>
      <c r="AA493" s="19" t="s">
        <v>52</v>
      </c>
      <c r="AB493" s="28"/>
    </row>
    <row r="494" spans="1:28" s="29" customFormat="1" ht="15" customHeight="1" x14ac:dyDescent="0.25">
      <c r="A494" s="14">
        <v>62</v>
      </c>
      <c r="B494" s="15">
        <v>46021</v>
      </c>
      <c r="C494" s="15">
        <f t="shared" si="40"/>
        <v>46029</v>
      </c>
      <c r="D494" s="14">
        <v>13990</v>
      </c>
      <c r="E494" s="16" t="s">
        <v>815</v>
      </c>
      <c r="F494" s="17" t="s">
        <v>816</v>
      </c>
      <c r="G494" s="17" t="s">
        <v>102</v>
      </c>
      <c r="H494" s="18" t="s">
        <v>775</v>
      </c>
      <c r="I494" s="19" t="s">
        <v>135</v>
      </c>
      <c r="J494" s="20">
        <v>45975</v>
      </c>
      <c r="K494" s="20">
        <v>46028</v>
      </c>
      <c r="L494" s="21">
        <v>30000</v>
      </c>
      <c r="M494" s="22">
        <f t="shared" si="41"/>
        <v>35000</v>
      </c>
      <c r="N494" s="23">
        <v>35000</v>
      </c>
      <c r="O494" s="23">
        <v>0</v>
      </c>
      <c r="P494" s="24">
        <f t="shared" si="42"/>
        <v>-5000</v>
      </c>
      <c r="Q494" s="25">
        <v>0</v>
      </c>
      <c r="R494" s="26">
        <v>42000</v>
      </c>
      <c r="S494" s="91">
        <f t="shared" si="38"/>
        <v>0</v>
      </c>
      <c r="T494" s="91">
        <f t="shared" si="39"/>
        <v>0</v>
      </c>
      <c r="U494" s="27" t="s">
        <v>56</v>
      </c>
      <c r="V494" s="19" t="s">
        <v>51</v>
      </c>
      <c r="W494" s="20">
        <v>45999</v>
      </c>
      <c r="X494" s="22" t="s">
        <v>251</v>
      </c>
      <c r="Y494" s="19" t="s">
        <v>52</v>
      </c>
      <c r="Z494" s="19" t="s">
        <v>52</v>
      </c>
      <c r="AA494" s="19" t="s">
        <v>52</v>
      </c>
      <c r="AB494" s="28"/>
    </row>
    <row r="495" spans="1:28" s="29" customFormat="1" ht="15" customHeight="1" x14ac:dyDescent="0.25">
      <c r="A495" s="14">
        <v>5</v>
      </c>
      <c r="B495" s="15">
        <v>46022</v>
      </c>
      <c r="C495" s="15">
        <f t="shared" si="40"/>
        <v>46030</v>
      </c>
      <c r="D495" s="14">
        <v>14010</v>
      </c>
      <c r="E495" s="16" t="s">
        <v>769</v>
      </c>
      <c r="F495" s="17" t="s">
        <v>770</v>
      </c>
      <c r="G495" s="17" t="s">
        <v>132</v>
      </c>
      <c r="H495" s="18" t="s">
        <v>78</v>
      </c>
      <c r="I495" s="19" t="s">
        <v>79</v>
      </c>
      <c r="J495" s="20">
        <v>45979</v>
      </c>
      <c r="K495" s="20">
        <v>46014</v>
      </c>
      <c r="L495" s="21">
        <v>80000</v>
      </c>
      <c r="M495" s="22">
        <f t="shared" si="41"/>
        <v>100830</v>
      </c>
      <c r="N495" s="23">
        <v>100830</v>
      </c>
      <c r="O495" s="23">
        <v>0</v>
      </c>
      <c r="P495" s="24">
        <f t="shared" si="42"/>
        <v>-20830</v>
      </c>
      <c r="Q495" s="25">
        <v>0</v>
      </c>
      <c r="R495" s="26">
        <v>232443</v>
      </c>
      <c r="S495" s="91">
        <f t="shared" si="38"/>
        <v>0</v>
      </c>
      <c r="T495" s="91">
        <f t="shared" si="39"/>
        <v>0</v>
      </c>
      <c r="U495" s="27" t="s">
        <v>56</v>
      </c>
      <c r="V495" s="19" t="s">
        <v>51</v>
      </c>
      <c r="W495" s="20">
        <v>46002</v>
      </c>
      <c r="X495" s="22" t="s">
        <v>251</v>
      </c>
      <c r="Y495" s="19" t="s">
        <v>52</v>
      </c>
      <c r="Z495" s="19" t="s">
        <v>52</v>
      </c>
      <c r="AA495" s="19" t="s">
        <v>52</v>
      </c>
      <c r="AB495" s="28"/>
    </row>
    <row r="496" spans="1:28" s="29" customFormat="1" ht="15" customHeight="1" x14ac:dyDescent="0.25">
      <c r="A496" s="14">
        <v>6</v>
      </c>
      <c r="B496" s="15">
        <v>46021</v>
      </c>
      <c r="C496" s="15">
        <f t="shared" si="40"/>
        <v>46029</v>
      </c>
      <c r="D496" s="14">
        <v>13963</v>
      </c>
      <c r="E496" s="16" t="s">
        <v>335</v>
      </c>
      <c r="F496" s="17" t="s">
        <v>336</v>
      </c>
      <c r="G496" s="17" t="s">
        <v>132</v>
      </c>
      <c r="H496" s="18" t="s">
        <v>133</v>
      </c>
      <c r="I496" s="19" t="s">
        <v>198</v>
      </c>
      <c r="J496" s="20">
        <v>45975</v>
      </c>
      <c r="K496" s="20">
        <v>46029</v>
      </c>
      <c r="L496" s="21">
        <v>300000</v>
      </c>
      <c r="M496" s="22">
        <f t="shared" si="41"/>
        <v>357890</v>
      </c>
      <c r="N496" s="23">
        <v>357890</v>
      </c>
      <c r="O496" s="23">
        <v>0</v>
      </c>
      <c r="P496" s="24">
        <f t="shared" si="42"/>
        <v>-57890</v>
      </c>
      <c r="Q496" s="25">
        <v>0</v>
      </c>
      <c r="R496" s="26">
        <v>324000</v>
      </c>
      <c r="S496" s="91">
        <f t="shared" si="38"/>
        <v>0</v>
      </c>
      <c r="T496" s="91">
        <f t="shared" si="39"/>
        <v>0</v>
      </c>
      <c r="U496" s="27" t="s">
        <v>56</v>
      </c>
      <c r="V496" s="19" t="s">
        <v>51</v>
      </c>
      <c r="W496" s="20">
        <v>45997</v>
      </c>
      <c r="X496" s="22" t="s">
        <v>251</v>
      </c>
      <c r="Y496" s="19" t="s">
        <v>52</v>
      </c>
      <c r="Z496" s="19" t="s">
        <v>52</v>
      </c>
      <c r="AA496" s="19" t="s">
        <v>52</v>
      </c>
      <c r="AB496" s="28"/>
    </row>
    <row r="497" spans="1:28" s="29" customFormat="1" ht="15" customHeight="1" x14ac:dyDescent="0.25">
      <c r="A497" s="14">
        <v>1</v>
      </c>
      <c r="B497" s="15">
        <v>46034</v>
      </c>
      <c r="C497" s="15">
        <f t="shared" si="40"/>
        <v>46042</v>
      </c>
      <c r="D497" s="14">
        <v>13903</v>
      </c>
      <c r="E497" s="16" t="s">
        <v>945</v>
      </c>
      <c r="F497" s="17" t="s">
        <v>672</v>
      </c>
      <c r="G497" s="17" t="s">
        <v>47</v>
      </c>
      <c r="H497" s="18" t="s">
        <v>57</v>
      </c>
      <c r="I497" s="19" t="s">
        <v>58</v>
      </c>
      <c r="J497" s="20">
        <v>45967</v>
      </c>
      <c r="K497" s="20">
        <v>46008</v>
      </c>
      <c r="L497" s="21">
        <v>200000</v>
      </c>
      <c r="M497" s="22">
        <f t="shared" si="41"/>
        <v>143000</v>
      </c>
      <c r="N497" s="23">
        <v>143000</v>
      </c>
      <c r="O497" s="23">
        <v>0</v>
      </c>
      <c r="P497" s="24">
        <f t="shared" si="42"/>
        <v>57000</v>
      </c>
      <c r="Q497" s="25">
        <v>0</v>
      </c>
      <c r="R497" s="26">
        <v>42000</v>
      </c>
      <c r="S497" s="91">
        <f t="shared" si="38"/>
        <v>1.3571428571428572</v>
      </c>
      <c r="T497" s="91">
        <f t="shared" si="39"/>
        <v>0</v>
      </c>
      <c r="U497" s="27" t="s">
        <v>50</v>
      </c>
      <c r="V497" s="19" t="s">
        <v>51</v>
      </c>
      <c r="W497" s="20">
        <v>45999</v>
      </c>
      <c r="X497" s="22" t="s">
        <v>251</v>
      </c>
      <c r="Y497" s="19" t="s">
        <v>52</v>
      </c>
      <c r="Z497" s="19" t="s">
        <v>52</v>
      </c>
      <c r="AA497" s="19" t="s">
        <v>52</v>
      </c>
      <c r="AB497" s="42"/>
    </row>
    <row r="498" spans="1:28" s="29" customFormat="1" ht="15" customHeight="1" x14ac:dyDescent="0.25">
      <c r="A498" s="14">
        <v>55</v>
      </c>
      <c r="B498" s="15" t="s">
        <v>68</v>
      </c>
      <c r="C498" s="15" t="s">
        <v>68</v>
      </c>
      <c r="D498" s="14">
        <v>14051</v>
      </c>
      <c r="E498" s="16" t="s">
        <v>923</v>
      </c>
      <c r="F498" s="17" t="s">
        <v>1016</v>
      </c>
      <c r="G498" s="17" t="s">
        <v>102</v>
      </c>
      <c r="H498" s="18" t="s">
        <v>54</v>
      </c>
      <c r="I498" s="19" t="s">
        <v>135</v>
      </c>
      <c r="J498" s="20">
        <v>45982</v>
      </c>
      <c r="K498" s="20">
        <v>45662</v>
      </c>
      <c r="L498" s="21">
        <v>30000</v>
      </c>
      <c r="M498" s="22">
        <f t="shared" si="41"/>
        <v>0</v>
      </c>
      <c r="N498" s="23">
        <v>0</v>
      </c>
      <c r="O498" s="23">
        <v>0</v>
      </c>
      <c r="P498" s="24">
        <f t="shared" si="42"/>
        <v>30000</v>
      </c>
      <c r="Q498" s="25">
        <v>0</v>
      </c>
      <c r="R498" s="26">
        <v>42000</v>
      </c>
      <c r="S498" s="91">
        <f t="shared" si="38"/>
        <v>0.7142857142857143</v>
      </c>
      <c r="T498" s="91">
        <f t="shared" si="39"/>
        <v>0</v>
      </c>
      <c r="U498" s="27" t="s">
        <v>56</v>
      </c>
      <c r="V498" s="19" t="s">
        <v>68</v>
      </c>
      <c r="W498" s="20" t="s">
        <v>68</v>
      </c>
      <c r="X498" s="22" t="s">
        <v>275</v>
      </c>
      <c r="Y498" s="19" t="s">
        <v>52</v>
      </c>
      <c r="Z498" s="19" t="s">
        <v>52</v>
      </c>
      <c r="AA498" s="19" t="s">
        <v>52</v>
      </c>
      <c r="AB498" s="28"/>
    </row>
    <row r="499" spans="1:28" s="29" customFormat="1" ht="15" customHeight="1" x14ac:dyDescent="0.25">
      <c r="A499" s="14">
        <v>74</v>
      </c>
      <c r="B499" s="15" t="s">
        <v>68</v>
      </c>
      <c r="C499" s="15" t="s">
        <v>68</v>
      </c>
      <c r="D499" s="14">
        <v>14048</v>
      </c>
      <c r="E499" s="16" t="s">
        <v>909</v>
      </c>
      <c r="F499" s="17" t="s">
        <v>910</v>
      </c>
      <c r="G499" s="17" t="s">
        <v>102</v>
      </c>
      <c r="H499" s="18" t="s">
        <v>54</v>
      </c>
      <c r="I499" s="19" t="s">
        <v>135</v>
      </c>
      <c r="J499" s="20">
        <v>45981</v>
      </c>
      <c r="K499" s="20">
        <v>46043</v>
      </c>
      <c r="L499" s="21">
        <v>30000</v>
      </c>
      <c r="M499" s="22">
        <f t="shared" si="41"/>
        <v>0</v>
      </c>
      <c r="N499" s="23">
        <v>0</v>
      </c>
      <c r="O499" s="23">
        <v>0</v>
      </c>
      <c r="P499" s="24">
        <f t="shared" si="42"/>
        <v>30000</v>
      </c>
      <c r="Q499" s="25">
        <v>0</v>
      </c>
      <c r="R499" s="26">
        <v>42000</v>
      </c>
      <c r="S499" s="91">
        <f t="shared" si="38"/>
        <v>0.7142857142857143</v>
      </c>
      <c r="T499" s="91">
        <f t="shared" si="39"/>
        <v>0</v>
      </c>
      <c r="U499" s="27" t="s">
        <v>56</v>
      </c>
      <c r="V499" s="19" t="s">
        <v>68</v>
      </c>
      <c r="W499" s="20" t="s">
        <v>68</v>
      </c>
      <c r="X499" s="22" t="s">
        <v>275</v>
      </c>
      <c r="Y499" s="19" t="s">
        <v>82</v>
      </c>
      <c r="Z499" s="19" t="s">
        <v>82</v>
      </c>
      <c r="AA499" s="19" t="s">
        <v>82</v>
      </c>
      <c r="AB499" s="28"/>
    </row>
    <row r="500" spans="1:28" s="29" customFormat="1" ht="15" customHeight="1" x14ac:dyDescent="0.25">
      <c r="A500" s="14">
        <v>71</v>
      </c>
      <c r="B500" s="15" t="s">
        <v>68</v>
      </c>
      <c r="C500" s="15" t="s">
        <v>68</v>
      </c>
      <c r="D500" s="14">
        <v>14045</v>
      </c>
      <c r="E500" s="16" t="s">
        <v>845</v>
      </c>
      <c r="F500" s="17" t="s">
        <v>1009</v>
      </c>
      <c r="G500" s="17" t="s">
        <v>102</v>
      </c>
      <c r="H500" s="18" t="s">
        <v>54</v>
      </c>
      <c r="I500" s="19" t="s">
        <v>135</v>
      </c>
      <c r="J500" s="20">
        <v>45981</v>
      </c>
      <c r="K500" s="20">
        <v>46037</v>
      </c>
      <c r="L500" s="21">
        <v>75000</v>
      </c>
      <c r="M500" s="22">
        <f t="shared" si="41"/>
        <v>0</v>
      </c>
      <c r="N500" s="23">
        <v>0</v>
      </c>
      <c r="O500" s="23">
        <v>0</v>
      </c>
      <c r="P500" s="24">
        <f t="shared" si="42"/>
        <v>75000</v>
      </c>
      <c r="Q500" s="25">
        <v>0</v>
      </c>
      <c r="R500" s="26">
        <v>42000</v>
      </c>
      <c r="S500" s="91">
        <f t="shared" si="38"/>
        <v>1.7857142857142858</v>
      </c>
      <c r="T500" s="91">
        <f t="shared" si="39"/>
        <v>0</v>
      </c>
      <c r="U500" s="27" t="s">
        <v>56</v>
      </c>
      <c r="V500" s="19" t="s">
        <v>68</v>
      </c>
      <c r="W500" s="20" t="s">
        <v>68</v>
      </c>
      <c r="X500" s="22" t="s">
        <v>275</v>
      </c>
      <c r="Y500" s="19" t="s">
        <v>82</v>
      </c>
      <c r="Z500" s="19" t="s">
        <v>82</v>
      </c>
      <c r="AA500" s="19" t="s">
        <v>82</v>
      </c>
      <c r="AB500" s="28"/>
    </row>
    <row r="501" spans="1:28" s="29" customFormat="1" ht="15" customHeight="1" x14ac:dyDescent="0.25">
      <c r="A501" s="14">
        <v>60</v>
      </c>
      <c r="B501" s="15" t="s">
        <v>68</v>
      </c>
      <c r="C501" s="15" t="s">
        <v>68</v>
      </c>
      <c r="D501" s="14">
        <v>14053</v>
      </c>
      <c r="E501" s="16" t="s">
        <v>870</v>
      </c>
      <c r="F501" s="17" t="s">
        <v>871</v>
      </c>
      <c r="G501" s="17" t="s">
        <v>102</v>
      </c>
      <c r="H501" s="18" t="s">
        <v>54</v>
      </c>
      <c r="I501" s="19" t="s">
        <v>135</v>
      </c>
      <c r="J501" s="20">
        <v>45981</v>
      </c>
      <c r="K501" s="20">
        <v>46036</v>
      </c>
      <c r="L501" s="21">
        <v>30000</v>
      </c>
      <c r="M501" s="22">
        <f t="shared" si="41"/>
        <v>0</v>
      </c>
      <c r="N501" s="23">
        <v>0</v>
      </c>
      <c r="O501" s="23">
        <v>0</v>
      </c>
      <c r="P501" s="24">
        <f t="shared" si="42"/>
        <v>30000</v>
      </c>
      <c r="Q501" s="25">
        <v>0</v>
      </c>
      <c r="R501" s="26">
        <v>42000</v>
      </c>
      <c r="S501" s="91">
        <f t="shared" si="38"/>
        <v>0.7142857142857143</v>
      </c>
      <c r="T501" s="91">
        <f t="shared" si="39"/>
        <v>0</v>
      </c>
      <c r="U501" s="27" t="s">
        <v>56</v>
      </c>
      <c r="V501" s="19" t="s">
        <v>68</v>
      </c>
      <c r="W501" s="20" t="s">
        <v>68</v>
      </c>
      <c r="X501" s="22" t="s">
        <v>275</v>
      </c>
      <c r="Y501" s="19" t="s">
        <v>82</v>
      </c>
      <c r="Z501" s="19" t="s">
        <v>82</v>
      </c>
      <c r="AA501" s="19" t="s">
        <v>82</v>
      </c>
      <c r="AB501" s="28"/>
    </row>
    <row r="502" spans="1:28" s="29" customFormat="1" ht="15" customHeight="1" x14ac:dyDescent="0.25">
      <c r="A502" s="14">
        <v>62</v>
      </c>
      <c r="B502" s="15" t="s">
        <v>68</v>
      </c>
      <c r="C502" s="15" t="s">
        <v>68</v>
      </c>
      <c r="D502" s="14">
        <v>14054</v>
      </c>
      <c r="E502" s="16" t="s">
        <v>874</v>
      </c>
      <c r="F502" s="17" t="s">
        <v>875</v>
      </c>
      <c r="G502" s="17" t="s">
        <v>102</v>
      </c>
      <c r="H502" s="18" t="s">
        <v>54</v>
      </c>
      <c r="I502" s="19" t="s">
        <v>135</v>
      </c>
      <c r="J502" s="20">
        <v>45981</v>
      </c>
      <c r="K502" s="20">
        <v>46036</v>
      </c>
      <c r="L502" s="21">
        <v>30000</v>
      </c>
      <c r="M502" s="22">
        <f t="shared" si="41"/>
        <v>0</v>
      </c>
      <c r="N502" s="23">
        <v>0</v>
      </c>
      <c r="O502" s="23">
        <v>0</v>
      </c>
      <c r="P502" s="24">
        <f t="shared" si="42"/>
        <v>30000</v>
      </c>
      <c r="Q502" s="25">
        <v>0</v>
      </c>
      <c r="R502" s="26">
        <v>42000</v>
      </c>
      <c r="S502" s="91">
        <f t="shared" si="38"/>
        <v>0.7142857142857143</v>
      </c>
      <c r="T502" s="91">
        <f t="shared" si="39"/>
        <v>0</v>
      </c>
      <c r="U502" s="27" t="s">
        <v>56</v>
      </c>
      <c r="V502" s="19" t="s">
        <v>68</v>
      </c>
      <c r="W502" s="20" t="s">
        <v>68</v>
      </c>
      <c r="X502" s="22" t="s">
        <v>275</v>
      </c>
      <c r="Y502" s="19" t="s">
        <v>82</v>
      </c>
      <c r="Z502" s="19" t="s">
        <v>82</v>
      </c>
      <c r="AA502" s="19" t="s">
        <v>82</v>
      </c>
      <c r="AB502" s="28"/>
    </row>
    <row r="503" spans="1:28" s="29" customFormat="1" ht="15" customHeight="1" x14ac:dyDescent="0.25">
      <c r="A503" s="14">
        <v>46</v>
      </c>
      <c r="B503" s="15" t="s">
        <v>68</v>
      </c>
      <c r="C503" s="15" t="s">
        <v>68</v>
      </c>
      <c r="D503" s="14">
        <v>14055</v>
      </c>
      <c r="E503" s="16" t="s">
        <v>833</v>
      </c>
      <c r="F503" s="17" t="s">
        <v>834</v>
      </c>
      <c r="G503" s="17" t="s">
        <v>102</v>
      </c>
      <c r="H503" s="18" t="s">
        <v>54</v>
      </c>
      <c r="I503" s="19" t="s">
        <v>135</v>
      </c>
      <c r="J503" s="20">
        <v>45981</v>
      </c>
      <c r="K503" s="20">
        <v>46027</v>
      </c>
      <c r="L503" s="21">
        <v>30000</v>
      </c>
      <c r="M503" s="22">
        <f t="shared" si="41"/>
        <v>0</v>
      </c>
      <c r="N503" s="23">
        <v>0</v>
      </c>
      <c r="O503" s="23">
        <v>0</v>
      </c>
      <c r="P503" s="24">
        <f t="shared" si="42"/>
        <v>30000</v>
      </c>
      <c r="Q503" s="25">
        <v>0</v>
      </c>
      <c r="R503" s="26">
        <v>42000</v>
      </c>
      <c r="S503" s="91">
        <f t="shared" si="38"/>
        <v>0.7142857142857143</v>
      </c>
      <c r="T503" s="91">
        <f t="shared" si="39"/>
        <v>0</v>
      </c>
      <c r="U503" s="27" t="s">
        <v>56</v>
      </c>
      <c r="V503" s="19" t="s">
        <v>68</v>
      </c>
      <c r="W503" s="20" t="s">
        <v>68</v>
      </c>
      <c r="X503" s="22" t="s">
        <v>275</v>
      </c>
      <c r="Y503" s="19" t="s">
        <v>82</v>
      </c>
      <c r="Z503" s="19" t="s">
        <v>82</v>
      </c>
      <c r="AA503" s="19" t="s">
        <v>82</v>
      </c>
      <c r="AB503" s="28"/>
    </row>
    <row r="504" spans="1:28" s="29" customFormat="1" ht="15" customHeight="1" x14ac:dyDescent="0.25">
      <c r="A504" s="14">
        <v>58</v>
      </c>
      <c r="B504" s="15" t="s">
        <v>68</v>
      </c>
      <c r="C504" s="15" t="s">
        <v>68</v>
      </c>
      <c r="D504" s="14">
        <v>14046</v>
      </c>
      <c r="E504" s="16" t="s">
        <v>849</v>
      </c>
      <c r="F504" s="17" t="s">
        <v>850</v>
      </c>
      <c r="G504" s="17" t="s">
        <v>102</v>
      </c>
      <c r="H504" s="18" t="s">
        <v>54</v>
      </c>
      <c r="I504" s="19" t="s">
        <v>135</v>
      </c>
      <c r="J504" s="20">
        <v>45981</v>
      </c>
      <c r="K504" s="20">
        <v>46035</v>
      </c>
      <c r="L504" s="21">
        <v>60000</v>
      </c>
      <c r="M504" s="22">
        <f t="shared" si="41"/>
        <v>0</v>
      </c>
      <c r="N504" s="23">
        <v>0</v>
      </c>
      <c r="O504" s="23">
        <v>0</v>
      </c>
      <c r="P504" s="24">
        <f t="shared" si="42"/>
        <v>60000</v>
      </c>
      <c r="Q504" s="25">
        <v>0</v>
      </c>
      <c r="R504" s="26">
        <v>42000</v>
      </c>
      <c r="S504" s="91">
        <f t="shared" si="38"/>
        <v>1.4285714285714286</v>
      </c>
      <c r="T504" s="91">
        <f t="shared" si="39"/>
        <v>0</v>
      </c>
      <c r="U504" s="27" t="s">
        <v>56</v>
      </c>
      <c r="V504" s="19" t="s">
        <v>68</v>
      </c>
      <c r="W504" s="20" t="s">
        <v>68</v>
      </c>
      <c r="X504" s="22" t="s">
        <v>275</v>
      </c>
      <c r="Y504" s="19" t="s">
        <v>82</v>
      </c>
      <c r="Z504" s="19" t="s">
        <v>82</v>
      </c>
      <c r="AA504" s="19" t="s">
        <v>82</v>
      </c>
      <c r="AB504" s="28"/>
    </row>
    <row r="505" spans="1:28" s="29" customFormat="1" ht="15" customHeight="1" x14ac:dyDescent="0.25">
      <c r="A505" s="14">
        <v>57</v>
      </c>
      <c r="B505" s="15">
        <v>46039</v>
      </c>
      <c r="C505" s="15">
        <f t="shared" ref="C505:C525" si="43">B505+8</f>
        <v>46047</v>
      </c>
      <c r="D505" s="14">
        <v>14015</v>
      </c>
      <c r="E505" s="16" t="s">
        <v>835</v>
      </c>
      <c r="F505" s="17" t="s">
        <v>836</v>
      </c>
      <c r="G505" s="17" t="s">
        <v>102</v>
      </c>
      <c r="H505" s="18" t="s">
        <v>775</v>
      </c>
      <c r="I505" s="19" t="s">
        <v>135</v>
      </c>
      <c r="J505" s="20">
        <v>45975</v>
      </c>
      <c r="K505" s="20">
        <v>46035</v>
      </c>
      <c r="L505" s="21">
        <v>30000</v>
      </c>
      <c r="M505" s="22">
        <f t="shared" si="41"/>
        <v>0</v>
      </c>
      <c r="N505" s="23">
        <v>0</v>
      </c>
      <c r="O505" s="23">
        <v>0</v>
      </c>
      <c r="P505" s="24">
        <f t="shared" si="42"/>
        <v>30000</v>
      </c>
      <c r="Q505" s="25">
        <v>0</v>
      </c>
      <c r="R505" s="26">
        <v>42000</v>
      </c>
      <c r="S505" s="91">
        <f t="shared" si="38"/>
        <v>0.7142857142857143</v>
      </c>
      <c r="T505" s="91">
        <f t="shared" si="39"/>
        <v>0</v>
      </c>
      <c r="U505" s="27" t="s">
        <v>56</v>
      </c>
      <c r="V505" s="19" t="s">
        <v>59</v>
      </c>
      <c r="W505" s="20">
        <v>46029</v>
      </c>
      <c r="X505" s="22" t="s">
        <v>275</v>
      </c>
      <c r="Y505" s="19" t="s">
        <v>52</v>
      </c>
      <c r="Z505" s="19" t="s">
        <v>52</v>
      </c>
      <c r="AA505" s="19" t="s">
        <v>52</v>
      </c>
      <c r="AB505" s="28"/>
    </row>
    <row r="506" spans="1:28" s="29" customFormat="1" ht="15" customHeight="1" x14ac:dyDescent="0.25">
      <c r="A506" s="14">
        <v>2</v>
      </c>
      <c r="B506" s="15">
        <v>46031</v>
      </c>
      <c r="C506" s="15">
        <f t="shared" si="43"/>
        <v>46039</v>
      </c>
      <c r="D506" s="14">
        <v>14169</v>
      </c>
      <c r="E506" s="16" t="s">
        <v>428</v>
      </c>
      <c r="F506" s="17" t="s">
        <v>429</v>
      </c>
      <c r="G506" s="17" t="s">
        <v>47</v>
      </c>
      <c r="H506" s="18" t="s">
        <v>542</v>
      </c>
      <c r="I506" s="19" t="s">
        <v>70</v>
      </c>
      <c r="J506" s="20">
        <v>46002</v>
      </c>
      <c r="K506" s="20">
        <v>45673</v>
      </c>
      <c r="L506" s="21">
        <v>1250000</v>
      </c>
      <c r="M506" s="22">
        <f t="shared" si="41"/>
        <v>1250000</v>
      </c>
      <c r="N506" s="23">
        <v>1250000</v>
      </c>
      <c r="O506" s="23">
        <v>0</v>
      </c>
      <c r="P506" s="24">
        <f t="shared" si="42"/>
        <v>0</v>
      </c>
      <c r="Q506" s="25">
        <v>0</v>
      </c>
      <c r="R506" s="26">
        <v>50000</v>
      </c>
      <c r="S506" s="91">
        <f t="shared" si="38"/>
        <v>0</v>
      </c>
      <c r="T506" s="91">
        <f t="shared" si="39"/>
        <v>0</v>
      </c>
      <c r="U506" s="27" t="s">
        <v>50</v>
      </c>
      <c r="V506" s="19" t="s">
        <v>51</v>
      </c>
      <c r="W506" s="20">
        <v>46017</v>
      </c>
      <c r="X506" s="22" t="s">
        <v>251</v>
      </c>
      <c r="Y506" s="19" t="s">
        <v>52</v>
      </c>
      <c r="Z506" s="19" t="s">
        <v>52</v>
      </c>
      <c r="AA506" s="19" t="s">
        <v>52</v>
      </c>
      <c r="AB506" s="42"/>
    </row>
    <row r="507" spans="1:28" s="29" customFormat="1" ht="15" customHeight="1" x14ac:dyDescent="0.25">
      <c r="A507" s="14">
        <v>1</v>
      </c>
      <c r="B507" s="15">
        <v>46032</v>
      </c>
      <c r="C507" s="15">
        <f t="shared" si="43"/>
        <v>46040</v>
      </c>
      <c r="D507" s="14">
        <v>13983</v>
      </c>
      <c r="E507" s="16" t="s">
        <v>206</v>
      </c>
      <c r="F507" s="40" t="s">
        <v>207</v>
      </c>
      <c r="G507" s="17" t="s">
        <v>75</v>
      </c>
      <c r="H507" s="18" t="s">
        <v>542</v>
      </c>
      <c r="I507" s="19" t="s">
        <v>49</v>
      </c>
      <c r="J507" s="20">
        <v>45975</v>
      </c>
      <c r="K507" s="20">
        <v>46003</v>
      </c>
      <c r="L507" s="21">
        <v>600000</v>
      </c>
      <c r="M507" s="22">
        <f t="shared" si="41"/>
        <v>531000</v>
      </c>
      <c r="N507" s="23">
        <v>531000</v>
      </c>
      <c r="O507" s="23">
        <v>0</v>
      </c>
      <c r="P507" s="24">
        <f t="shared" si="42"/>
        <v>69000</v>
      </c>
      <c r="Q507" s="25">
        <v>0</v>
      </c>
      <c r="R507" s="26">
        <v>150000</v>
      </c>
      <c r="S507" s="91">
        <f t="shared" ref="S507:S569" si="44">IF(P507&gt;0,P507/$R507,0)</f>
        <v>0.46</v>
      </c>
      <c r="T507" s="91">
        <f t="shared" ref="T507:T569" si="45">IF(Q507&gt;0,Q507/$R507,0)</f>
        <v>0</v>
      </c>
      <c r="U507" s="27" t="s">
        <v>50</v>
      </c>
      <c r="V507" s="19" t="s">
        <v>51</v>
      </c>
      <c r="W507" s="20">
        <v>45996</v>
      </c>
      <c r="X507" s="22" t="s">
        <v>251</v>
      </c>
      <c r="Y507" s="19" t="s">
        <v>52</v>
      </c>
      <c r="Z507" s="19" t="s">
        <v>52</v>
      </c>
      <c r="AA507" s="19" t="s">
        <v>52</v>
      </c>
      <c r="AB507" s="28"/>
    </row>
    <row r="508" spans="1:28" s="29" customFormat="1" ht="15" customHeight="1" x14ac:dyDescent="0.25">
      <c r="A508" s="14">
        <v>3</v>
      </c>
      <c r="B508" s="15">
        <v>46035</v>
      </c>
      <c r="C508" s="15">
        <f t="shared" si="43"/>
        <v>46043</v>
      </c>
      <c r="D508" s="14">
        <v>14160</v>
      </c>
      <c r="E508" s="16" t="s">
        <v>438</v>
      </c>
      <c r="F508" s="40" t="s">
        <v>439</v>
      </c>
      <c r="G508" s="17" t="s">
        <v>75</v>
      </c>
      <c r="H508" s="18" t="s">
        <v>78</v>
      </c>
      <c r="I508" s="19" t="s">
        <v>79</v>
      </c>
      <c r="J508" s="20">
        <v>46001</v>
      </c>
      <c r="K508" s="20">
        <v>46028</v>
      </c>
      <c r="L508" s="21">
        <v>50000</v>
      </c>
      <c r="M508" s="22">
        <f t="shared" si="41"/>
        <v>54000</v>
      </c>
      <c r="N508" s="23">
        <v>54000</v>
      </c>
      <c r="O508" s="23">
        <v>0</v>
      </c>
      <c r="P508" s="24">
        <f t="shared" si="42"/>
        <v>-4000</v>
      </c>
      <c r="Q508" s="25">
        <v>0</v>
      </c>
      <c r="R508" s="26">
        <v>126000</v>
      </c>
      <c r="S508" s="91">
        <f t="shared" si="44"/>
        <v>0</v>
      </c>
      <c r="T508" s="91">
        <f t="shared" si="45"/>
        <v>0</v>
      </c>
      <c r="U508" s="27" t="s">
        <v>56</v>
      </c>
      <c r="V508" s="19" t="s">
        <v>51</v>
      </c>
      <c r="W508" s="20">
        <v>46029</v>
      </c>
      <c r="X508" s="22" t="s">
        <v>251</v>
      </c>
      <c r="Y508" s="19" t="s">
        <v>52</v>
      </c>
      <c r="Z508" s="19" t="s">
        <v>52</v>
      </c>
      <c r="AA508" s="19" t="s">
        <v>52</v>
      </c>
      <c r="AB508" s="28"/>
    </row>
    <row r="509" spans="1:28" s="29" customFormat="1" ht="15" customHeight="1" x14ac:dyDescent="0.25">
      <c r="A509" s="14">
        <v>4</v>
      </c>
      <c r="B509" s="15">
        <v>45889</v>
      </c>
      <c r="C509" s="15">
        <f t="shared" si="43"/>
        <v>45897</v>
      </c>
      <c r="D509" s="14">
        <v>12854</v>
      </c>
      <c r="E509" s="16" t="s">
        <v>596</v>
      </c>
      <c r="F509" s="40" t="s">
        <v>597</v>
      </c>
      <c r="G509" s="17" t="s">
        <v>75</v>
      </c>
      <c r="H509" s="18" t="s">
        <v>57</v>
      </c>
      <c r="I509" s="19" t="s">
        <v>94</v>
      </c>
      <c r="J509" s="20">
        <v>45769</v>
      </c>
      <c r="K509" s="20">
        <v>45804</v>
      </c>
      <c r="L509" s="21">
        <v>300000</v>
      </c>
      <c r="M509" s="22">
        <f t="shared" si="41"/>
        <v>474000</v>
      </c>
      <c r="N509" s="23">
        <v>474000</v>
      </c>
      <c r="O509" s="23">
        <v>0</v>
      </c>
      <c r="P509" s="24">
        <f t="shared" si="42"/>
        <v>-174000</v>
      </c>
      <c r="Q509" s="25">
        <v>0</v>
      </c>
      <c r="R509" s="26">
        <v>150000</v>
      </c>
      <c r="S509" s="91">
        <f t="shared" si="44"/>
        <v>0</v>
      </c>
      <c r="T509" s="91">
        <f t="shared" si="45"/>
        <v>0</v>
      </c>
      <c r="U509" s="27" t="s">
        <v>50</v>
      </c>
      <c r="V509" s="19" t="s">
        <v>51</v>
      </c>
      <c r="W509" s="20">
        <v>45843</v>
      </c>
      <c r="X509" s="22" t="s">
        <v>251</v>
      </c>
      <c r="Y509" s="19" t="s">
        <v>52</v>
      </c>
      <c r="Z509" s="19" t="s">
        <v>52</v>
      </c>
      <c r="AA509" s="19" t="s">
        <v>52</v>
      </c>
      <c r="AB509" s="28"/>
    </row>
    <row r="510" spans="1:28" s="29" customFormat="1" ht="15" customHeight="1" x14ac:dyDescent="0.25">
      <c r="A510" s="14">
        <v>5</v>
      </c>
      <c r="B510" s="15">
        <v>46031</v>
      </c>
      <c r="C510" s="15">
        <f t="shared" si="43"/>
        <v>46039</v>
      </c>
      <c r="D510" s="14">
        <v>13946</v>
      </c>
      <c r="E510" s="16" t="s">
        <v>443</v>
      </c>
      <c r="F510" s="40" t="s">
        <v>444</v>
      </c>
      <c r="G510" s="17" t="s">
        <v>75</v>
      </c>
      <c r="H510" s="18" t="s">
        <v>54</v>
      </c>
      <c r="I510" s="19" t="s">
        <v>85</v>
      </c>
      <c r="J510" s="20">
        <v>45973</v>
      </c>
      <c r="K510" s="20">
        <v>46004</v>
      </c>
      <c r="L510" s="21">
        <v>250000</v>
      </c>
      <c r="M510" s="22">
        <f t="shared" si="41"/>
        <v>280000</v>
      </c>
      <c r="N510" s="23">
        <v>280000</v>
      </c>
      <c r="O510" s="23">
        <v>0</v>
      </c>
      <c r="P510" s="24">
        <f t="shared" si="42"/>
        <v>-30000</v>
      </c>
      <c r="Q510" s="25">
        <v>0</v>
      </c>
      <c r="R510" s="26">
        <v>80000</v>
      </c>
      <c r="S510" s="91">
        <f t="shared" si="44"/>
        <v>0</v>
      </c>
      <c r="T510" s="91">
        <f t="shared" si="45"/>
        <v>0</v>
      </c>
      <c r="U510" s="27" t="s">
        <v>56</v>
      </c>
      <c r="V510" s="19" t="s">
        <v>51</v>
      </c>
      <c r="W510" s="20">
        <v>46002</v>
      </c>
      <c r="X510" s="22" t="s">
        <v>251</v>
      </c>
      <c r="Y510" s="19" t="s">
        <v>52</v>
      </c>
      <c r="Z510" s="19" t="s">
        <v>52</v>
      </c>
      <c r="AA510" s="19" t="s">
        <v>52</v>
      </c>
      <c r="AB510" s="28"/>
    </row>
    <row r="511" spans="1:28" s="29" customFormat="1" ht="15" customHeight="1" x14ac:dyDescent="0.25">
      <c r="A511" s="14">
        <v>8</v>
      </c>
      <c r="B511" s="15">
        <v>46035</v>
      </c>
      <c r="C511" s="15">
        <f t="shared" si="43"/>
        <v>46043</v>
      </c>
      <c r="D511" s="14">
        <v>14005</v>
      </c>
      <c r="E511" s="16" t="s">
        <v>353</v>
      </c>
      <c r="F511" s="40" t="s">
        <v>354</v>
      </c>
      <c r="G511" s="17" t="s">
        <v>75</v>
      </c>
      <c r="H511" s="18" t="s">
        <v>78</v>
      </c>
      <c r="I511" s="19" t="s">
        <v>79</v>
      </c>
      <c r="J511" s="20">
        <v>45979</v>
      </c>
      <c r="K511" s="20">
        <v>46014</v>
      </c>
      <c r="L511" s="21">
        <v>1880000</v>
      </c>
      <c r="M511" s="22">
        <f t="shared" si="41"/>
        <v>1894000</v>
      </c>
      <c r="N511" s="23">
        <v>1894000</v>
      </c>
      <c r="O511" s="23">
        <v>0</v>
      </c>
      <c r="P511" s="24">
        <f t="shared" si="42"/>
        <v>-14000</v>
      </c>
      <c r="Q511" s="25">
        <v>0</v>
      </c>
      <c r="R511" s="26">
        <v>84000</v>
      </c>
      <c r="S511" s="91">
        <f t="shared" si="44"/>
        <v>0</v>
      </c>
      <c r="T511" s="91">
        <f t="shared" si="45"/>
        <v>0</v>
      </c>
      <c r="U511" s="27" t="s">
        <v>56</v>
      </c>
      <c r="V511" s="19" t="s">
        <v>51</v>
      </c>
      <c r="W511" s="20">
        <v>46017</v>
      </c>
      <c r="X511" s="22" t="s">
        <v>251</v>
      </c>
      <c r="Y511" s="19" t="s">
        <v>52</v>
      </c>
      <c r="Z511" s="19" t="s">
        <v>52</v>
      </c>
      <c r="AA511" s="19" t="s">
        <v>52</v>
      </c>
      <c r="AB511" s="28"/>
    </row>
    <row r="512" spans="1:28" s="29" customFormat="1" ht="15" customHeight="1" x14ac:dyDescent="0.25">
      <c r="A512" s="14">
        <v>10</v>
      </c>
      <c r="B512" s="15">
        <v>46035</v>
      </c>
      <c r="C512" s="15">
        <f t="shared" si="43"/>
        <v>46043</v>
      </c>
      <c r="D512" s="14">
        <v>14100</v>
      </c>
      <c r="E512" s="16" t="s">
        <v>472</v>
      </c>
      <c r="F512" s="40" t="s">
        <v>473</v>
      </c>
      <c r="G512" s="17" t="s">
        <v>75</v>
      </c>
      <c r="H512" s="18" t="s">
        <v>78</v>
      </c>
      <c r="I512" s="19" t="s">
        <v>79</v>
      </c>
      <c r="J512" s="20">
        <v>45987</v>
      </c>
      <c r="K512" s="20">
        <v>46028</v>
      </c>
      <c r="L512" s="21">
        <v>40000</v>
      </c>
      <c r="M512" s="22">
        <f t="shared" si="41"/>
        <v>24000</v>
      </c>
      <c r="N512" s="23">
        <v>24000</v>
      </c>
      <c r="O512" s="23">
        <v>0</v>
      </c>
      <c r="P512" s="24">
        <f t="shared" si="42"/>
        <v>16000</v>
      </c>
      <c r="Q512" s="25">
        <v>0</v>
      </c>
      <c r="R512" s="26">
        <v>84000</v>
      </c>
      <c r="S512" s="91">
        <f t="shared" si="44"/>
        <v>0.19047619047619047</v>
      </c>
      <c r="T512" s="91">
        <f t="shared" si="45"/>
        <v>0</v>
      </c>
      <c r="U512" s="27" t="s">
        <v>56</v>
      </c>
      <c r="V512" s="19" t="s">
        <v>51</v>
      </c>
      <c r="W512" s="20">
        <v>46024</v>
      </c>
      <c r="X512" s="22" t="s">
        <v>251</v>
      </c>
      <c r="Y512" s="19" t="s">
        <v>52</v>
      </c>
      <c r="Z512" s="19" t="s">
        <v>52</v>
      </c>
      <c r="AA512" s="19" t="s">
        <v>52</v>
      </c>
      <c r="AB512" s="28"/>
    </row>
    <row r="513" spans="1:28" s="29" customFormat="1" ht="15" customHeight="1" x14ac:dyDescent="0.25">
      <c r="A513" s="14">
        <v>13</v>
      </c>
      <c r="B513" s="15">
        <v>46041</v>
      </c>
      <c r="C513" s="15">
        <f t="shared" si="43"/>
        <v>46049</v>
      </c>
      <c r="D513" s="14">
        <v>14130</v>
      </c>
      <c r="E513" s="16" t="s">
        <v>392</v>
      </c>
      <c r="F513" s="40" t="s">
        <v>393</v>
      </c>
      <c r="G513" s="17" t="s">
        <v>75</v>
      </c>
      <c r="H513" s="18" t="s">
        <v>57</v>
      </c>
      <c r="I513" s="19" t="s">
        <v>64</v>
      </c>
      <c r="J513" s="20">
        <v>46000</v>
      </c>
      <c r="K513" s="20">
        <v>46036</v>
      </c>
      <c r="L513" s="21">
        <v>1500000</v>
      </c>
      <c r="M513" s="22">
        <f t="shared" si="41"/>
        <v>1500000</v>
      </c>
      <c r="N513" s="23">
        <v>1500000</v>
      </c>
      <c r="O513" s="23">
        <v>0</v>
      </c>
      <c r="P513" s="24">
        <f t="shared" si="42"/>
        <v>0</v>
      </c>
      <c r="Q513" s="25">
        <v>0</v>
      </c>
      <c r="R513" s="26">
        <v>150000</v>
      </c>
      <c r="S513" s="91">
        <f t="shared" si="44"/>
        <v>0</v>
      </c>
      <c r="T513" s="91">
        <f t="shared" si="45"/>
        <v>0</v>
      </c>
      <c r="U513" s="27" t="s">
        <v>50</v>
      </c>
      <c r="V513" s="19" t="s">
        <v>51</v>
      </c>
      <c r="W513" s="20">
        <v>46017</v>
      </c>
      <c r="X513" s="22" t="s">
        <v>251</v>
      </c>
      <c r="Y513" s="19" t="s">
        <v>52</v>
      </c>
      <c r="Z513" s="19" t="s">
        <v>52</v>
      </c>
      <c r="AA513" s="19" t="s">
        <v>52</v>
      </c>
      <c r="AB513" s="28"/>
    </row>
    <row r="514" spans="1:28" s="29" customFormat="1" ht="15" customHeight="1" x14ac:dyDescent="0.25">
      <c r="A514" s="14">
        <v>14</v>
      </c>
      <c r="B514" s="15">
        <v>46032</v>
      </c>
      <c r="C514" s="15">
        <f t="shared" si="43"/>
        <v>46040</v>
      </c>
      <c r="D514" s="14">
        <v>14170</v>
      </c>
      <c r="E514" s="16" t="s">
        <v>387</v>
      </c>
      <c r="F514" s="40" t="s">
        <v>388</v>
      </c>
      <c r="G514" s="17" t="s">
        <v>75</v>
      </c>
      <c r="H514" s="18" t="s">
        <v>542</v>
      </c>
      <c r="I514" s="19" t="s">
        <v>70</v>
      </c>
      <c r="J514" s="20">
        <v>46002</v>
      </c>
      <c r="K514" s="20">
        <v>46038</v>
      </c>
      <c r="L514" s="21">
        <v>600000</v>
      </c>
      <c r="M514" s="22">
        <f t="shared" si="41"/>
        <v>600000</v>
      </c>
      <c r="N514" s="23">
        <v>600000</v>
      </c>
      <c r="O514" s="23">
        <v>0</v>
      </c>
      <c r="P514" s="24">
        <f t="shared" si="42"/>
        <v>0</v>
      </c>
      <c r="Q514" s="25">
        <v>0</v>
      </c>
      <c r="R514" s="26">
        <v>150000</v>
      </c>
      <c r="S514" s="91">
        <f t="shared" si="44"/>
        <v>0</v>
      </c>
      <c r="T514" s="91">
        <f t="shared" si="45"/>
        <v>0</v>
      </c>
      <c r="U514" s="27" t="s">
        <v>50</v>
      </c>
      <c r="V514" s="19" t="s">
        <v>51</v>
      </c>
      <c r="W514" s="20">
        <v>46029</v>
      </c>
      <c r="X514" s="22" t="s">
        <v>251</v>
      </c>
      <c r="Y514" s="19" t="s">
        <v>52</v>
      </c>
      <c r="Z514" s="19" t="s">
        <v>52</v>
      </c>
      <c r="AA514" s="19" t="s">
        <v>52</v>
      </c>
      <c r="AB514" s="28"/>
    </row>
    <row r="515" spans="1:28" s="29" customFormat="1" ht="15" customHeight="1" x14ac:dyDescent="0.25">
      <c r="A515" s="14">
        <v>16</v>
      </c>
      <c r="B515" s="15">
        <v>46035</v>
      </c>
      <c r="C515" s="15">
        <f t="shared" si="43"/>
        <v>46043</v>
      </c>
      <c r="D515" s="14">
        <v>14191</v>
      </c>
      <c r="E515" s="16" t="s">
        <v>423</v>
      </c>
      <c r="F515" s="40" t="s">
        <v>424</v>
      </c>
      <c r="G515" s="17" t="s">
        <v>75</v>
      </c>
      <c r="H515" s="18" t="s">
        <v>78</v>
      </c>
      <c r="I515" s="19" t="s">
        <v>79</v>
      </c>
      <c r="J515" s="20">
        <v>46006</v>
      </c>
      <c r="K515" s="20">
        <v>46038</v>
      </c>
      <c r="L515" s="21">
        <v>90000</v>
      </c>
      <c r="M515" s="22">
        <f t="shared" si="41"/>
        <v>106000</v>
      </c>
      <c r="N515" s="23">
        <v>106000</v>
      </c>
      <c r="O515" s="23">
        <v>0</v>
      </c>
      <c r="P515" s="24">
        <f t="shared" si="42"/>
        <v>-16000</v>
      </c>
      <c r="Q515" s="25">
        <v>0</v>
      </c>
      <c r="R515" s="26">
        <v>72000</v>
      </c>
      <c r="S515" s="91">
        <f t="shared" si="44"/>
        <v>0</v>
      </c>
      <c r="T515" s="91">
        <f t="shared" si="45"/>
        <v>0</v>
      </c>
      <c r="U515" s="27" t="s">
        <v>56</v>
      </c>
      <c r="V515" s="19" t="s">
        <v>51</v>
      </c>
      <c r="W515" s="20">
        <v>46030</v>
      </c>
      <c r="X515" s="22" t="s">
        <v>251</v>
      </c>
      <c r="Y515" s="19" t="s">
        <v>52</v>
      </c>
      <c r="Z515" s="19" t="s">
        <v>52</v>
      </c>
      <c r="AA515" s="19" t="s">
        <v>52</v>
      </c>
      <c r="AB515" s="28"/>
    </row>
    <row r="516" spans="1:28" s="29" customFormat="1" ht="15" customHeight="1" x14ac:dyDescent="0.25">
      <c r="A516" s="14">
        <v>2</v>
      </c>
      <c r="B516" s="15">
        <v>46035</v>
      </c>
      <c r="C516" s="15">
        <f t="shared" si="43"/>
        <v>46043</v>
      </c>
      <c r="D516" s="14">
        <v>13627</v>
      </c>
      <c r="E516" s="16" t="s">
        <v>872</v>
      </c>
      <c r="F516" s="17" t="s">
        <v>873</v>
      </c>
      <c r="G516" s="17" t="s">
        <v>102</v>
      </c>
      <c r="H516" s="18" t="s">
        <v>54</v>
      </c>
      <c r="I516" s="19" t="s">
        <v>135</v>
      </c>
      <c r="J516" s="20">
        <v>45922</v>
      </c>
      <c r="K516" s="20">
        <v>45970</v>
      </c>
      <c r="L516" s="21">
        <v>55000</v>
      </c>
      <c r="M516" s="22">
        <f t="shared" si="41"/>
        <v>37000</v>
      </c>
      <c r="N516" s="23">
        <v>37000</v>
      </c>
      <c r="O516" s="23">
        <v>0</v>
      </c>
      <c r="P516" s="24">
        <f t="shared" si="42"/>
        <v>18000</v>
      </c>
      <c r="Q516" s="25">
        <v>0</v>
      </c>
      <c r="R516" s="26">
        <v>24000</v>
      </c>
      <c r="S516" s="91">
        <f t="shared" si="44"/>
        <v>0.75</v>
      </c>
      <c r="T516" s="91">
        <f t="shared" si="45"/>
        <v>0</v>
      </c>
      <c r="U516" s="27" t="s">
        <v>56</v>
      </c>
      <c r="V516" s="19" t="s">
        <v>51</v>
      </c>
      <c r="W516" s="20">
        <v>46380</v>
      </c>
      <c r="X516" s="22" t="s">
        <v>251</v>
      </c>
      <c r="Y516" s="19" t="s">
        <v>52</v>
      </c>
      <c r="Z516" s="19" t="s">
        <v>52</v>
      </c>
      <c r="AA516" s="19" t="s">
        <v>52</v>
      </c>
      <c r="AB516" s="28"/>
    </row>
    <row r="517" spans="1:28" s="29" customFormat="1" ht="15" customHeight="1" x14ac:dyDescent="0.25">
      <c r="A517" s="14">
        <v>3</v>
      </c>
      <c r="B517" s="15">
        <v>46035</v>
      </c>
      <c r="C517" s="15">
        <f t="shared" si="43"/>
        <v>46043</v>
      </c>
      <c r="D517" s="14">
        <v>14168</v>
      </c>
      <c r="E517" s="16" t="s">
        <v>674</v>
      </c>
      <c r="F517" s="17" t="s">
        <v>675</v>
      </c>
      <c r="G517" s="17" t="s">
        <v>102</v>
      </c>
      <c r="H517" s="18" t="s">
        <v>542</v>
      </c>
      <c r="I517" s="19" t="s">
        <v>104</v>
      </c>
      <c r="J517" s="20">
        <v>46002</v>
      </c>
      <c r="K517" s="20">
        <v>46041</v>
      </c>
      <c r="L517" s="21">
        <v>200000</v>
      </c>
      <c r="M517" s="22">
        <f t="shared" si="41"/>
        <v>180000</v>
      </c>
      <c r="N517" s="23">
        <v>180000</v>
      </c>
      <c r="O517" s="23">
        <v>0</v>
      </c>
      <c r="P517" s="24">
        <f t="shared" si="42"/>
        <v>20000</v>
      </c>
      <c r="Q517" s="25">
        <v>0</v>
      </c>
      <c r="R517" s="26">
        <v>70000</v>
      </c>
      <c r="S517" s="91">
        <f t="shared" si="44"/>
        <v>0.2857142857142857</v>
      </c>
      <c r="T517" s="91">
        <f t="shared" si="45"/>
        <v>0</v>
      </c>
      <c r="U517" s="27" t="s">
        <v>50</v>
      </c>
      <c r="V517" s="19" t="s">
        <v>51</v>
      </c>
      <c r="W517" s="20">
        <v>46380</v>
      </c>
      <c r="X517" s="22" t="s">
        <v>251</v>
      </c>
      <c r="Y517" s="19" t="s">
        <v>52</v>
      </c>
      <c r="Z517" s="19" t="s">
        <v>52</v>
      </c>
      <c r="AA517" s="19" t="s">
        <v>52</v>
      </c>
      <c r="AB517" s="28"/>
    </row>
    <row r="518" spans="1:28" s="29" customFormat="1" ht="15" customHeight="1" x14ac:dyDescent="0.25">
      <c r="A518" s="14">
        <v>11</v>
      </c>
      <c r="B518" s="15">
        <v>46032</v>
      </c>
      <c r="C518" s="15">
        <f t="shared" si="43"/>
        <v>46040</v>
      </c>
      <c r="D518" s="14">
        <v>13565</v>
      </c>
      <c r="E518" s="16" t="s">
        <v>837</v>
      </c>
      <c r="F518" s="17" t="s">
        <v>838</v>
      </c>
      <c r="G518" s="17" t="s">
        <v>102</v>
      </c>
      <c r="H518" s="18" t="s">
        <v>54</v>
      </c>
      <c r="I518" s="19" t="s">
        <v>135</v>
      </c>
      <c r="J518" s="20">
        <v>45918</v>
      </c>
      <c r="K518" s="20">
        <v>45947</v>
      </c>
      <c r="L518" s="21">
        <v>32000</v>
      </c>
      <c r="M518" s="22">
        <f t="shared" si="41"/>
        <v>43000</v>
      </c>
      <c r="N518" s="23">
        <v>43000</v>
      </c>
      <c r="O518" s="23">
        <v>0</v>
      </c>
      <c r="P518" s="24">
        <f t="shared" si="42"/>
        <v>-11000</v>
      </c>
      <c r="Q518" s="25">
        <v>0</v>
      </c>
      <c r="R518" s="26">
        <v>24000</v>
      </c>
      <c r="S518" s="91">
        <f t="shared" si="44"/>
        <v>0</v>
      </c>
      <c r="T518" s="91">
        <f t="shared" si="45"/>
        <v>0</v>
      </c>
      <c r="U518" s="27" t="s">
        <v>56</v>
      </c>
      <c r="V518" s="19" t="s">
        <v>68</v>
      </c>
      <c r="W518" s="20" t="s">
        <v>68</v>
      </c>
      <c r="X518" s="22" t="s">
        <v>251</v>
      </c>
      <c r="Y518" s="19" t="s">
        <v>82</v>
      </c>
      <c r="Z518" s="19" t="s">
        <v>82</v>
      </c>
      <c r="AA518" s="19" t="s">
        <v>82</v>
      </c>
      <c r="AB518" s="28"/>
    </row>
    <row r="519" spans="1:28" s="29" customFormat="1" ht="15" customHeight="1" x14ac:dyDescent="0.25">
      <c r="A519" s="14">
        <v>12</v>
      </c>
      <c r="B519" s="15">
        <v>46035</v>
      </c>
      <c r="C519" s="15">
        <f t="shared" si="43"/>
        <v>46043</v>
      </c>
      <c r="D519" s="14">
        <v>13563</v>
      </c>
      <c r="E519" s="16" t="s">
        <v>841</v>
      </c>
      <c r="F519" s="17" t="s">
        <v>842</v>
      </c>
      <c r="G519" s="17" t="s">
        <v>102</v>
      </c>
      <c r="H519" s="18" t="s">
        <v>54</v>
      </c>
      <c r="I519" s="19" t="s">
        <v>135</v>
      </c>
      <c r="J519" s="20">
        <v>45918</v>
      </c>
      <c r="K519" s="20">
        <v>45947</v>
      </c>
      <c r="L519" s="21">
        <v>86000</v>
      </c>
      <c r="M519" s="22">
        <f t="shared" si="41"/>
        <v>84000</v>
      </c>
      <c r="N519" s="23">
        <v>84000</v>
      </c>
      <c r="O519" s="23">
        <v>0</v>
      </c>
      <c r="P519" s="24">
        <f t="shared" si="42"/>
        <v>2000</v>
      </c>
      <c r="Q519" s="25">
        <v>0</v>
      </c>
      <c r="R519" s="26">
        <v>24000</v>
      </c>
      <c r="S519" s="91">
        <f t="shared" si="44"/>
        <v>8.3333333333333329E-2</v>
      </c>
      <c r="T519" s="91">
        <f t="shared" si="45"/>
        <v>0</v>
      </c>
      <c r="U519" s="27" t="s">
        <v>56</v>
      </c>
      <c r="V519" s="19" t="s">
        <v>51</v>
      </c>
      <c r="W519" s="20">
        <v>46024</v>
      </c>
      <c r="X519" s="22" t="s">
        <v>251</v>
      </c>
      <c r="Y519" s="19" t="s">
        <v>52</v>
      </c>
      <c r="Z519" s="19" t="s">
        <v>52</v>
      </c>
      <c r="AA519" s="19" t="s">
        <v>52</v>
      </c>
      <c r="AB519" s="28"/>
    </row>
    <row r="520" spans="1:28" s="29" customFormat="1" ht="15" customHeight="1" x14ac:dyDescent="0.25">
      <c r="A520" s="14">
        <v>18</v>
      </c>
      <c r="B520" s="15">
        <v>46032</v>
      </c>
      <c r="C520" s="15">
        <f t="shared" si="43"/>
        <v>46040</v>
      </c>
      <c r="D520" s="14">
        <v>13619</v>
      </c>
      <c r="E520" s="16" t="s">
        <v>857</v>
      </c>
      <c r="F520" s="17" t="s">
        <v>858</v>
      </c>
      <c r="G520" s="17" t="s">
        <v>102</v>
      </c>
      <c r="H520" s="18" t="s">
        <v>775</v>
      </c>
      <c r="I520" s="19" t="s">
        <v>135</v>
      </c>
      <c r="J520" s="20">
        <v>45919</v>
      </c>
      <c r="K520" s="20">
        <v>45970</v>
      </c>
      <c r="L520" s="21">
        <v>30000</v>
      </c>
      <c r="M520" s="22">
        <f t="shared" si="41"/>
        <v>29000</v>
      </c>
      <c r="N520" s="23">
        <v>29000</v>
      </c>
      <c r="O520" s="23">
        <v>0</v>
      </c>
      <c r="P520" s="24">
        <f t="shared" si="42"/>
        <v>1000</v>
      </c>
      <c r="Q520" s="25">
        <v>0</v>
      </c>
      <c r="R520" s="26">
        <v>24000</v>
      </c>
      <c r="S520" s="91">
        <f t="shared" si="44"/>
        <v>4.1666666666666664E-2</v>
      </c>
      <c r="T520" s="91">
        <f t="shared" si="45"/>
        <v>0</v>
      </c>
      <c r="U520" s="27" t="s">
        <v>56</v>
      </c>
      <c r="V520" s="19" t="s">
        <v>68</v>
      </c>
      <c r="W520" s="20" t="s">
        <v>68</v>
      </c>
      <c r="X520" s="22" t="s">
        <v>251</v>
      </c>
      <c r="Y520" s="19" t="s">
        <v>82</v>
      </c>
      <c r="Z520" s="19" t="s">
        <v>82</v>
      </c>
      <c r="AA520" s="19" t="s">
        <v>82</v>
      </c>
      <c r="AB520" s="28"/>
    </row>
    <row r="521" spans="1:28" s="29" customFormat="1" ht="15" customHeight="1" x14ac:dyDescent="0.25">
      <c r="A521" s="14">
        <v>27</v>
      </c>
      <c r="B521" s="15">
        <v>46032</v>
      </c>
      <c r="C521" s="15">
        <f t="shared" si="43"/>
        <v>46040</v>
      </c>
      <c r="D521" s="14">
        <v>13978</v>
      </c>
      <c r="E521" s="16" t="s">
        <v>737</v>
      </c>
      <c r="F521" s="17" t="s">
        <v>952</v>
      </c>
      <c r="G521" s="17" t="s">
        <v>102</v>
      </c>
      <c r="H521" s="18" t="s">
        <v>57</v>
      </c>
      <c r="I521" s="19" t="s">
        <v>58</v>
      </c>
      <c r="J521" s="20">
        <v>45973</v>
      </c>
      <c r="K521" s="20">
        <v>46001</v>
      </c>
      <c r="L521" s="21">
        <v>2000000</v>
      </c>
      <c r="M521" s="22">
        <f t="shared" si="41"/>
        <v>2033000</v>
      </c>
      <c r="N521" s="23">
        <v>2033000</v>
      </c>
      <c r="O521" s="23">
        <v>0</v>
      </c>
      <c r="P521" s="24">
        <f t="shared" si="42"/>
        <v>-33000</v>
      </c>
      <c r="Q521" s="25">
        <v>0</v>
      </c>
      <c r="R521" s="26">
        <v>42000</v>
      </c>
      <c r="S521" s="91">
        <f t="shared" si="44"/>
        <v>0</v>
      </c>
      <c r="T521" s="91">
        <f t="shared" si="45"/>
        <v>0</v>
      </c>
      <c r="U521" s="27" t="s">
        <v>50</v>
      </c>
      <c r="V521" s="19" t="s">
        <v>51</v>
      </c>
      <c r="W521" s="20">
        <v>45991</v>
      </c>
      <c r="X521" s="22" t="s">
        <v>251</v>
      </c>
      <c r="Y521" s="19" t="s">
        <v>52</v>
      </c>
      <c r="Z521" s="19" t="s">
        <v>52</v>
      </c>
      <c r="AA521" s="19" t="s">
        <v>52</v>
      </c>
      <c r="AB521" s="28"/>
    </row>
    <row r="522" spans="1:28" s="29" customFormat="1" ht="15" customHeight="1" x14ac:dyDescent="0.25">
      <c r="A522" s="14">
        <v>45</v>
      </c>
      <c r="B522" s="15">
        <v>46032</v>
      </c>
      <c r="C522" s="15">
        <f t="shared" si="43"/>
        <v>46040</v>
      </c>
      <c r="D522" s="14">
        <v>14127</v>
      </c>
      <c r="E522" s="16" t="s">
        <v>721</v>
      </c>
      <c r="F522" s="17" t="s">
        <v>124</v>
      </c>
      <c r="G522" s="17" t="s">
        <v>102</v>
      </c>
      <c r="H522" s="18" t="s">
        <v>57</v>
      </c>
      <c r="I522" s="19" t="s">
        <v>58</v>
      </c>
      <c r="J522" s="20">
        <v>45999</v>
      </c>
      <c r="K522" s="20">
        <v>46027</v>
      </c>
      <c r="L522" s="21">
        <v>250000</v>
      </c>
      <c r="M522" s="22">
        <f t="shared" si="41"/>
        <v>213000</v>
      </c>
      <c r="N522" s="23">
        <v>213000</v>
      </c>
      <c r="O522" s="23">
        <v>0</v>
      </c>
      <c r="P522" s="24">
        <f t="shared" si="42"/>
        <v>37000</v>
      </c>
      <c r="Q522" s="25">
        <v>0</v>
      </c>
      <c r="R522" s="26">
        <v>36000</v>
      </c>
      <c r="S522" s="91">
        <f t="shared" si="44"/>
        <v>1.0277777777777777</v>
      </c>
      <c r="T522" s="91">
        <f t="shared" si="45"/>
        <v>0</v>
      </c>
      <c r="U522" s="27" t="s">
        <v>50</v>
      </c>
      <c r="V522" s="19" t="s">
        <v>51</v>
      </c>
      <c r="W522" s="20">
        <v>46024</v>
      </c>
      <c r="X522" s="22" t="s">
        <v>251</v>
      </c>
      <c r="Y522" s="19" t="s">
        <v>52</v>
      </c>
      <c r="Z522" s="19" t="s">
        <v>52</v>
      </c>
      <c r="AA522" s="19" t="s">
        <v>52</v>
      </c>
      <c r="AB522" s="28"/>
    </row>
    <row r="523" spans="1:28" s="29" customFormat="1" ht="15" customHeight="1" x14ac:dyDescent="0.25">
      <c r="A523" s="14">
        <v>56</v>
      </c>
      <c r="B523" s="15">
        <v>46035</v>
      </c>
      <c r="C523" s="15">
        <f t="shared" si="43"/>
        <v>46043</v>
      </c>
      <c r="D523" s="14">
        <v>14199</v>
      </c>
      <c r="E523" s="16" t="s">
        <v>760</v>
      </c>
      <c r="F523" s="17" t="s">
        <v>286</v>
      </c>
      <c r="G523" s="17" t="s">
        <v>102</v>
      </c>
      <c r="H523" s="18" t="s">
        <v>57</v>
      </c>
      <c r="I523" s="19" t="s">
        <v>94</v>
      </c>
      <c r="J523" s="20">
        <v>46007</v>
      </c>
      <c r="K523" s="20">
        <v>46041</v>
      </c>
      <c r="L523" s="21">
        <v>160000</v>
      </c>
      <c r="M523" s="22">
        <f t="shared" si="41"/>
        <v>159000</v>
      </c>
      <c r="N523" s="23">
        <v>159000</v>
      </c>
      <c r="O523" s="23">
        <v>0</v>
      </c>
      <c r="P523" s="24">
        <f t="shared" si="42"/>
        <v>1000</v>
      </c>
      <c r="Q523" s="25">
        <v>0</v>
      </c>
      <c r="R523" s="26">
        <v>45000</v>
      </c>
      <c r="S523" s="91">
        <f t="shared" si="44"/>
        <v>2.2222222222222223E-2</v>
      </c>
      <c r="T523" s="91">
        <f t="shared" si="45"/>
        <v>0</v>
      </c>
      <c r="U523" s="27" t="s">
        <v>50</v>
      </c>
      <c r="V523" s="19" t="s">
        <v>51</v>
      </c>
      <c r="W523" s="20">
        <v>46024</v>
      </c>
      <c r="X523" s="22" t="s">
        <v>251</v>
      </c>
      <c r="Y523" s="19" t="s">
        <v>52</v>
      </c>
      <c r="Z523" s="19" t="s">
        <v>52</v>
      </c>
      <c r="AA523" s="19" t="s">
        <v>52</v>
      </c>
      <c r="AB523" s="28"/>
    </row>
    <row r="524" spans="1:28" s="29" customFormat="1" ht="15" customHeight="1" x14ac:dyDescent="0.25">
      <c r="A524" s="14">
        <v>65</v>
      </c>
      <c r="B524" s="15">
        <v>46032</v>
      </c>
      <c r="C524" s="15">
        <f t="shared" si="43"/>
        <v>46040</v>
      </c>
      <c r="D524" s="14">
        <v>14135</v>
      </c>
      <c r="E524" s="16" t="s">
        <v>626</v>
      </c>
      <c r="F524" s="17" t="s">
        <v>627</v>
      </c>
      <c r="G524" s="17" t="s">
        <v>102</v>
      </c>
      <c r="H524" s="18" t="s">
        <v>57</v>
      </c>
      <c r="I524" s="19" t="s">
        <v>94</v>
      </c>
      <c r="J524" s="20">
        <v>45995</v>
      </c>
      <c r="K524" s="20">
        <v>46050</v>
      </c>
      <c r="L524" s="21">
        <v>100000</v>
      </c>
      <c r="M524" s="22">
        <f t="shared" si="41"/>
        <v>103000</v>
      </c>
      <c r="N524" s="23">
        <v>103000</v>
      </c>
      <c r="O524" s="23">
        <v>0</v>
      </c>
      <c r="P524" s="24">
        <f t="shared" si="42"/>
        <v>-3000</v>
      </c>
      <c r="Q524" s="25">
        <v>0</v>
      </c>
      <c r="R524" s="26">
        <v>50000</v>
      </c>
      <c r="S524" s="91">
        <f t="shared" si="44"/>
        <v>0</v>
      </c>
      <c r="T524" s="91">
        <f t="shared" si="45"/>
        <v>0</v>
      </c>
      <c r="U524" s="27" t="s">
        <v>50</v>
      </c>
      <c r="V524" s="19" t="s">
        <v>51</v>
      </c>
      <c r="W524" s="20">
        <v>46024</v>
      </c>
      <c r="X524" s="22" t="s">
        <v>251</v>
      </c>
      <c r="Y524" s="19" t="s">
        <v>52</v>
      </c>
      <c r="Z524" s="19" t="s">
        <v>52</v>
      </c>
      <c r="AA524" s="19" t="s">
        <v>52</v>
      </c>
      <c r="AB524" s="28"/>
    </row>
    <row r="525" spans="1:28" s="29" customFormat="1" ht="15" customHeight="1" x14ac:dyDescent="0.25">
      <c r="A525" s="14">
        <v>4</v>
      </c>
      <c r="B525" s="15">
        <v>46035</v>
      </c>
      <c r="C525" s="15">
        <f t="shared" si="43"/>
        <v>46043</v>
      </c>
      <c r="D525" s="14">
        <v>13959</v>
      </c>
      <c r="E525" s="16" t="s">
        <v>740</v>
      </c>
      <c r="F525" s="17" t="s">
        <v>317</v>
      </c>
      <c r="G525" s="17" t="s">
        <v>132</v>
      </c>
      <c r="H525" s="18" t="s">
        <v>133</v>
      </c>
      <c r="I525" s="19" t="s">
        <v>198</v>
      </c>
      <c r="J525" s="20">
        <v>45974</v>
      </c>
      <c r="K525" s="20">
        <v>46013</v>
      </c>
      <c r="L525" s="21">
        <v>2000000</v>
      </c>
      <c r="M525" s="22">
        <f t="shared" si="41"/>
        <v>1944000</v>
      </c>
      <c r="N525" s="23">
        <v>1944000</v>
      </c>
      <c r="O525" s="23">
        <v>0</v>
      </c>
      <c r="P525" s="24">
        <f t="shared" si="42"/>
        <v>56000</v>
      </c>
      <c r="Q525" s="25">
        <v>0</v>
      </c>
      <c r="R525" s="26">
        <v>128000</v>
      </c>
      <c r="S525" s="91">
        <f t="shared" si="44"/>
        <v>0.4375</v>
      </c>
      <c r="T525" s="91">
        <f t="shared" si="45"/>
        <v>0</v>
      </c>
      <c r="U525" s="27" t="s">
        <v>56</v>
      </c>
      <c r="V525" s="19" t="s">
        <v>51</v>
      </c>
      <c r="W525" s="20">
        <v>46018</v>
      </c>
      <c r="X525" s="22" t="s">
        <v>251</v>
      </c>
      <c r="Y525" s="19" t="s">
        <v>52</v>
      </c>
      <c r="Z525" s="19" t="s">
        <v>52</v>
      </c>
      <c r="AA525" s="19" t="s">
        <v>52</v>
      </c>
      <c r="AB525" s="28"/>
    </row>
    <row r="526" spans="1:28" s="29" customFormat="1" ht="15" customHeight="1" x14ac:dyDescent="0.25">
      <c r="A526" s="14">
        <v>61</v>
      </c>
      <c r="B526" s="15" t="s">
        <v>68</v>
      </c>
      <c r="C526" s="15" t="s">
        <v>68</v>
      </c>
      <c r="D526" s="14">
        <v>14324</v>
      </c>
      <c r="E526" s="16" t="s">
        <v>876</v>
      </c>
      <c r="F526" s="17" t="s">
        <v>877</v>
      </c>
      <c r="G526" s="17" t="s">
        <v>102</v>
      </c>
      <c r="H526" s="18" t="s">
        <v>54</v>
      </c>
      <c r="I526" s="19" t="s">
        <v>135</v>
      </c>
      <c r="J526" s="20">
        <v>46035</v>
      </c>
      <c r="K526" s="20">
        <v>46081</v>
      </c>
      <c r="L526" s="21">
        <v>50000</v>
      </c>
      <c r="M526" s="22">
        <f t="shared" si="41"/>
        <v>0</v>
      </c>
      <c r="N526" s="23">
        <v>0</v>
      </c>
      <c r="O526" s="23">
        <v>0</v>
      </c>
      <c r="P526" s="24">
        <f t="shared" si="42"/>
        <v>50000</v>
      </c>
      <c r="Q526" s="25">
        <v>0</v>
      </c>
      <c r="R526" s="26">
        <v>42000</v>
      </c>
      <c r="S526" s="91">
        <f t="shared" si="44"/>
        <v>1.1904761904761905</v>
      </c>
      <c r="T526" s="91">
        <f t="shared" si="45"/>
        <v>0</v>
      </c>
      <c r="U526" s="27" t="s">
        <v>56</v>
      </c>
      <c r="V526" s="19" t="s">
        <v>68</v>
      </c>
      <c r="W526" s="20" t="s">
        <v>68</v>
      </c>
      <c r="X526" s="22" t="s">
        <v>275</v>
      </c>
      <c r="Y526" s="19" t="s">
        <v>52</v>
      </c>
      <c r="Z526" s="19" t="s">
        <v>52</v>
      </c>
      <c r="AA526" s="19" t="s">
        <v>52</v>
      </c>
      <c r="AB526" s="28"/>
    </row>
    <row r="527" spans="1:28" s="29" customFormat="1" ht="15" customHeight="1" x14ac:dyDescent="0.25">
      <c r="A527" s="14">
        <v>37</v>
      </c>
      <c r="B527" s="15" t="s">
        <v>68</v>
      </c>
      <c r="C527" s="15" t="s">
        <v>68</v>
      </c>
      <c r="D527" s="14">
        <v>14036</v>
      </c>
      <c r="E527" s="16" t="s">
        <v>979</v>
      </c>
      <c r="F527" s="17" t="s">
        <v>980</v>
      </c>
      <c r="G527" s="17" t="s">
        <v>102</v>
      </c>
      <c r="H527" s="18" t="s">
        <v>54</v>
      </c>
      <c r="I527" s="19" t="s">
        <v>135</v>
      </c>
      <c r="J527" s="20">
        <v>45981</v>
      </c>
      <c r="K527" s="20">
        <v>46027</v>
      </c>
      <c r="L527" s="21">
        <v>85000</v>
      </c>
      <c r="M527" s="22">
        <f t="shared" si="41"/>
        <v>0</v>
      </c>
      <c r="N527" s="23">
        <v>0</v>
      </c>
      <c r="O527" s="23">
        <v>0</v>
      </c>
      <c r="P527" s="24">
        <f t="shared" si="42"/>
        <v>85000</v>
      </c>
      <c r="Q527" s="25">
        <v>0</v>
      </c>
      <c r="R527" s="26">
        <v>42000</v>
      </c>
      <c r="S527" s="91">
        <f t="shared" si="44"/>
        <v>2.0238095238095237</v>
      </c>
      <c r="T527" s="91">
        <f t="shared" si="45"/>
        <v>0</v>
      </c>
      <c r="U527" s="27" t="s">
        <v>56</v>
      </c>
      <c r="V527" s="19" t="s">
        <v>68</v>
      </c>
      <c r="W527" s="20" t="s">
        <v>68</v>
      </c>
      <c r="X527" s="22" t="s">
        <v>275</v>
      </c>
      <c r="Y527" s="19" t="s">
        <v>82</v>
      </c>
      <c r="Z527" s="19" t="s">
        <v>82</v>
      </c>
      <c r="AA527" s="19" t="s">
        <v>82</v>
      </c>
      <c r="AB527" s="28"/>
    </row>
    <row r="528" spans="1:28" s="29" customFormat="1" ht="15" customHeight="1" x14ac:dyDescent="0.25">
      <c r="A528" s="14">
        <v>4</v>
      </c>
      <c r="B528" s="15" t="s">
        <v>68</v>
      </c>
      <c r="C528" s="15" t="s">
        <v>68</v>
      </c>
      <c r="D528" s="14">
        <v>13557</v>
      </c>
      <c r="E528" s="16" t="s">
        <v>823</v>
      </c>
      <c r="F528" s="17" t="s">
        <v>824</v>
      </c>
      <c r="G528" s="17" t="s">
        <v>102</v>
      </c>
      <c r="H528" s="18" t="s">
        <v>54</v>
      </c>
      <c r="I528" s="19" t="s">
        <v>135</v>
      </c>
      <c r="J528" s="20">
        <v>45917</v>
      </c>
      <c r="K528" s="20">
        <v>45947</v>
      </c>
      <c r="L528" s="21">
        <v>25000</v>
      </c>
      <c r="M528" s="22">
        <f t="shared" si="41"/>
        <v>0</v>
      </c>
      <c r="N528" s="23">
        <v>0</v>
      </c>
      <c r="O528" s="23">
        <v>0</v>
      </c>
      <c r="P528" s="24">
        <f t="shared" si="42"/>
        <v>25000</v>
      </c>
      <c r="Q528" s="25">
        <v>0</v>
      </c>
      <c r="R528" s="26">
        <v>24000</v>
      </c>
      <c r="S528" s="91">
        <f t="shared" si="44"/>
        <v>1.0416666666666667</v>
      </c>
      <c r="T528" s="91">
        <f t="shared" si="45"/>
        <v>0</v>
      </c>
      <c r="U528" s="27" t="s">
        <v>56</v>
      </c>
      <c r="V528" s="19" t="s">
        <v>68</v>
      </c>
      <c r="W528" s="20" t="s">
        <v>68</v>
      </c>
      <c r="X528" s="22" t="s">
        <v>275</v>
      </c>
      <c r="Y528" s="19" t="s">
        <v>82</v>
      </c>
      <c r="Z528" s="19" t="s">
        <v>82</v>
      </c>
      <c r="AA528" s="19" t="s">
        <v>82</v>
      </c>
      <c r="AB528" s="28"/>
    </row>
    <row r="529" spans="1:28" s="29" customFormat="1" ht="15" customHeight="1" x14ac:dyDescent="0.25">
      <c r="A529" s="14">
        <v>6</v>
      </c>
      <c r="B529" s="15" t="s">
        <v>68</v>
      </c>
      <c r="C529" s="15" t="s">
        <v>68</v>
      </c>
      <c r="D529" s="14">
        <v>13555</v>
      </c>
      <c r="E529" s="16" t="s">
        <v>827</v>
      </c>
      <c r="F529" s="17" t="s">
        <v>828</v>
      </c>
      <c r="G529" s="17" t="s">
        <v>102</v>
      </c>
      <c r="H529" s="18" t="s">
        <v>54</v>
      </c>
      <c r="I529" s="19" t="s">
        <v>135</v>
      </c>
      <c r="J529" s="20">
        <v>45917</v>
      </c>
      <c r="K529" s="20">
        <v>45947</v>
      </c>
      <c r="L529" s="21">
        <v>30000</v>
      </c>
      <c r="M529" s="22">
        <f t="shared" si="41"/>
        <v>0</v>
      </c>
      <c r="N529" s="23">
        <v>0</v>
      </c>
      <c r="O529" s="23">
        <v>0</v>
      </c>
      <c r="P529" s="24">
        <f t="shared" si="42"/>
        <v>30000</v>
      </c>
      <c r="Q529" s="25">
        <v>0</v>
      </c>
      <c r="R529" s="26">
        <v>24000</v>
      </c>
      <c r="S529" s="91">
        <f t="shared" si="44"/>
        <v>1.25</v>
      </c>
      <c r="T529" s="91">
        <f t="shared" si="45"/>
        <v>0</v>
      </c>
      <c r="U529" s="27" t="s">
        <v>56</v>
      </c>
      <c r="V529" s="19" t="s">
        <v>68</v>
      </c>
      <c r="W529" s="20" t="s">
        <v>68</v>
      </c>
      <c r="X529" s="22" t="s">
        <v>275</v>
      </c>
      <c r="Y529" s="19" t="s">
        <v>52</v>
      </c>
      <c r="Z529" s="19" t="s">
        <v>82</v>
      </c>
      <c r="AA529" s="19" t="s">
        <v>82</v>
      </c>
      <c r="AB529" s="28"/>
    </row>
    <row r="530" spans="1:28" s="29" customFormat="1" ht="15" customHeight="1" x14ac:dyDescent="0.25">
      <c r="A530" s="14">
        <v>5</v>
      </c>
      <c r="B530" s="15" t="s">
        <v>68</v>
      </c>
      <c r="C530" s="15" t="s">
        <v>68</v>
      </c>
      <c r="D530" s="14">
        <v>13556</v>
      </c>
      <c r="E530" s="16" t="s">
        <v>825</v>
      </c>
      <c r="F530" s="17" t="s">
        <v>826</v>
      </c>
      <c r="G530" s="17" t="s">
        <v>102</v>
      </c>
      <c r="H530" s="18" t="s">
        <v>54</v>
      </c>
      <c r="I530" s="19" t="s">
        <v>135</v>
      </c>
      <c r="J530" s="20">
        <v>45917</v>
      </c>
      <c r="K530" s="20">
        <v>45947</v>
      </c>
      <c r="L530" s="21">
        <v>30000</v>
      </c>
      <c r="M530" s="22">
        <f t="shared" si="41"/>
        <v>0</v>
      </c>
      <c r="N530" s="23">
        <v>0</v>
      </c>
      <c r="O530" s="23">
        <v>0</v>
      </c>
      <c r="P530" s="24">
        <f t="shared" si="42"/>
        <v>30000</v>
      </c>
      <c r="Q530" s="25">
        <v>0</v>
      </c>
      <c r="R530" s="26">
        <v>24000</v>
      </c>
      <c r="S530" s="91">
        <f t="shared" si="44"/>
        <v>1.25</v>
      </c>
      <c r="T530" s="91">
        <f t="shared" si="45"/>
        <v>0</v>
      </c>
      <c r="U530" s="27" t="s">
        <v>56</v>
      </c>
      <c r="V530" s="19" t="s">
        <v>68</v>
      </c>
      <c r="W530" s="20" t="s">
        <v>68</v>
      </c>
      <c r="X530" s="22" t="s">
        <v>275</v>
      </c>
      <c r="Y530" s="19" t="s">
        <v>82</v>
      </c>
      <c r="Z530" s="19" t="s">
        <v>82</v>
      </c>
      <c r="AA530" s="19" t="s">
        <v>82</v>
      </c>
      <c r="AB530" s="28"/>
    </row>
    <row r="531" spans="1:28" s="29" customFormat="1" ht="15" customHeight="1" x14ac:dyDescent="0.25">
      <c r="A531" s="14">
        <v>38</v>
      </c>
      <c r="B531" s="15" t="s">
        <v>68</v>
      </c>
      <c r="C531" s="15" t="s">
        <v>68</v>
      </c>
      <c r="D531" s="14">
        <v>14050</v>
      </c>
      <c r="E531" s="16" t="s">
        <v>853</v>
      </c>
      <c r="F531" s="17" t="s">
        <v>854</v>
      </c>
      <c r="G531" s="17" t="s">
        <v>102</v>
      </c>
      <c r="H531" s="18" t="s">
        <v>54</v>
      </c>
      <c r="I531" s="19" t="s">
        <v>135</v>
      </c>
      <c r="J531" s="20">
        <v>45981</v>
      </c>
      <c r="K531" s="20">
        <v>46036</v>
      </c>
      <c r="L531" s="21">
        <v>60000</v>
      </c>
      <c r="M531" s="22">
        <f t="shared" si="41"/>
        <v>0</v>
      </c>
      <c r="N531" s="23">
        <v>0</v>
      </c>
      <c r="O531" s="23">
        <v>0</v>
      </c>
      <c r="P531" s="24">
        <f t="shared" si="42"/>
        <v>60000</v>
      </c>
      <c r="Q531" s="25">
        <v>0</v>
      </c>
      <c r="R531" s="26">
        <v>42000</v>
      </c>
      <c r="S531" s="91">
        <f t="shared" si="44"/>
        <v>1.4285714285714286</v>
      </c>
      <c r="T531" s="91">
        <f t="shared" si="45"/>
        <v>0</v>
      </c>
      <c r="U531" s="27" t="s">
        <v>56</v>
      </c>
      <c r="V531" s="19" t="s">
        <v>68</v>
      </c>
      <c r="W531" s="20" t="s">
        <v>68</v>
      </c>
      <c r="X531" s="22" t="s">
        <v>275</v>
      </c>
      <c r="Y531" s="19" t="s">
        <v>82</v>
      </c>
      <c r="Z531" s="19" t="s">
        <v>82</v>
      </c>
      <c r="AA531" s="19" t="s">
        <v>82</v>
      </c>
      <c r="AB531" s="28"/>
    </row>
    <row r="532" spans="1:28" s="29" customFormat="1" ht="15" customHeight="1" x14ac:dyDescent="0.25">
      <c r="A532" s="14">
        <v>15</v>
      </c>
      <c r="B532" s="15" t="s">
        <v>68</v>
      </c>
      <c r="C532" s="15" t="s">
        <v>68</v>
      </c>
      <c r="D532" s="14">
        <v>13749</v>
      </c>
      <c r="E532" s="16" t="s">
        <v>913</v>
      </c>
      <c r="F532" s="17" t="s">
        <v>914</v>
      </c>
      <c r="G532" s="17" t="s">
        <v>102</v>
      </c>
      <c r="H532" s="18" t="s">
        <v>54</v>
      </c>
      <c r="I532" s="19" t="s">
        <v>135</v>
      </c>
      <c r="J532" s="20">
        <v>45944</v>
      </c>
      <c r="K532" s="20">
        <v>45980</v>
      </c>
      <c r="L532" s="21">
        <v>30000</v>
      </c>
      <c r="M532" s="22">
        <f t="shared" si="41"/>
        <v>0</v>
      </c>
      <c r="N532" s="23">
        <v>0</v>
      </c>
      <c r="O532" s="23">
        <v>0</v>
      </c>
      <c r="P532" s="24">
        <f t="shared" si="42"/>
        <v>30000</v>
      </c>
      <c r="Q532" s="25">
        <v>0</v>
      </c>
      <c r="R532" s="26">
        <v>24000</v>
      </c>
      <c r="S532" s="91">
        <f t="shared" si="44"/>
        <v>1.25</v>
      </c>
      <c r="T532" s="91">
        <f t="shared" si="45"/>
        <v>0</v>
      </c>
      <c r="U532" s="27" t="s">
        <v>56</v>
      </c>
      <c r="V532" s="19" t="s">
        <v>68</v>
      </c>
      <c r="W532" s="20" t="s">
        <v>68</v>
      </c>
      <c r="X532" s="22" t="s">
        <v>275</v>
      </c>
      <c r="Y532" s="19" t="s">
        <v>82</v>
      </c>
      <c r="Z532" s="19" t="s">
        <v>82</v>
      </c>
      <c r="AA532" s="19" t="s">
        <v>82</v>
      </c>
      <c r="AB532" s="28"/>
    </row>
    <row r="533" spans="1:28" s="29" customFormat="1" ht="15" customHeight="1" x14ac:dyDescent="0.25">
      <c r="A533" s="14">
        <v>1</v>
      </c>
      <c r="B533" s="15">
        <v>46041</v>
      </c>
      <c r="C533" s="15">
        <f t="shared" ref="C533:C538" si="46">B533+8</f>
        <v>46049</v>
      </c>
      <c r="D533" s="14">
        <v>14231</v>
      </c>
      <c r="E533" s="16" t="s">
        <v>757</v>
      </c>
      <c r="F533" s="17" t="s">
        <v>672</v>
      </c>
      <c r="G533" s="17" t="s">
        <v>47</v>
      </c>
      <c r="H533" s="18" t="s">
        <v>57</v>
      </c>
      <c r="I533" s="19" t="s">
        <v>58</v>
      </c>
      <c r="J533" s="20">
        <v>46020</v>
      </c>
      <c r="K533" s="20">
        <v>46041</v>
      </c>
      <c r="L533" s="21">
        <v>500000</v>
      </c>
      <c r="M533" s="22">
        <f t="shared" si="41"/>
        <v>420000</v>
      </c>
      <c r="N533" s="23">
        <v>420000</v>
      </c>
      <c r="O533" s="23">
        <v>0</v>
      </c>
      <c r="P533" s="24">
        <f t="shared" si="42"/>
        <v>80000</v>
      </c>
      <c r="Q533" s="25">
        <v>0</v>
      </c>
      <c r="R533" s="26">
        <v>42000</v>
      </c>
      <c r="S533" s="91">
        <f t="shared" si="44"/>
        <v>1.9047619047619047</v>
      </c>
      <c r="T533" s="91">
        <f t="shared" si="45"/>
        <v>0</v>
      </c>
      <c r="U533" s="27" t="s">
        <v>50</v>
      </c>
      <c r="V533" s="19" t="s">
        <v>51</v>
      </c>
      <c r="W533" s="20">
        <v>46035</v>
      </c>
      <c r="X533" s="22" t="s">
        <v>251</v>
      </c>
      <c r="Y533" s="19" t="s">
        <v>52</v>
      </c>
      <c r="Z533" s="19" t="s">
        <v>52</v>
      </c>
      <c r="AA533" s="19" t="s">
        <v>52</v>
      </c>
      <c r="AB533" s="42"/>
    </row>
    <row r="534" spans="1:28" s="29" customFormat="1" ht="15" customHeight="1" x14ac:dyDescent="0.25">
      <c r="A534" s="14">
        <v>3</v>
      </c>
      <c r="B534" s="15">
        <v>46041</v>
      </c>
      <c r="C534" s="15">
        <f t="shared" si="46"/>
        <v>46049</v>
      </c>
      <c r="D534" s="14">
        <v>13984</v>
      </c>
      <c r="E534" s="16" t="s">
        <v>403</v>
      </c>
      <c r="F534" s="17" t="s">
        <v>708</v>
      </c>
      <c r="G534" s="17" t="s">
        <v>47</v>
      </c>
      <c r="H534" s="18" t="s">
        <v>784</v>
      </c>
      <c r="I534" s="19" t="s">
        <v>70</v>
      </c>
      <c r="J534" s="20">
        <v>45978</v>
      </c>
      <c r="K534" s="20">
        <v>46008</v>
      </c>
      <c r="L534" s="21">
        <v>2000000</v>
      </c>
      <c r="M534" s="22">
        <f t="shared" si="41"/>
        <v>2194000</v>
      </c>
      <c r="N534" s="23">
        <v>2194000</v>
      </c>
      <c r="O534" s="23">
        <v>0</v>
      </c>
      <c r="P534" s="24">
        <f t="shared" si="42"/>
        <v>-194000</v>
      </c>
      <c r="Q534" s="25">
        <v>0</v>
      </c>
      <c r="R534" s="26">
        <v>50000</v>
      </c>
      <c r="S534" s="91">
        <f t="shared" si="44"/>
        <v>0</v>
      </c>
      <c r="T534" s="91">
        <f t="shared" si="45"/>
        <v>0</v>
      </c>
      <c r="U534" s="27" t="s">
        <v>50</v>
      </c>
      <c r="V534" s="19" t="s">
        <v>51</v>
      </c>
      <c r="W534" s="20">
        <v>45991</v>
      </c>
      <c r="X534" s="22" t="s">
        <v>251</v>
      </c>
      <c r="Y534" s="19" t="s">
        <v>52</v>
      </c>
      <c r="Z534" s="19" t="s">
        <v>52</v>
      </c>
      <c r="AA534" s="19" t="s">
        <v>52</v>
      </c>
      <c r="AB534" s="42"/>
    </row>
    <row r="535" spans="1:28" s="29" customFormat="1" ht="15" customHeight="1" x14ac:dyDescent="0.25">
      <c r="A535" s="14">
        <v>3</v>
      </c>
      <c r="B535" s="15">
        <v>46041</v>
      </c>
      <c r="C535" s="15">
        <f t="shared" si="46"/>
        <v>46049</v>
      </c>
      <c r="D535" s="14">
        <v>13945</v>
      </c>
      <c r="E535" s="16" t="s">
        <v>950</v>
      </c>
      <c r="F535" s="40" t="s">
        <v>471</v>
      </c>
      <c r="G535" s="17" t="s">
        <v>75</v>
      </c>
      <c r="H535" s="18" t="s">
        <v>54</v>
      </c>
      <c r="I535" s="19" t="s">
        <v>85</v>
      </c>
      <c r="J535" s="20">
        <v>45973</v>
      </c>
      <c r="K535" s="20">
        <v>46004</v>
      </c>
      <c r="L535" s="21">
        <v>100000</v>
      </c>
      <c r="M535" s="22">
        <f t="shared" si="41"/>
        <v>118000</v>
      </c>
      <c r="N535" s="23">
        <v>118000</v>
      </c>
      <c r="O535" s="23">
        <v>0</v>
      </c>
      <c r="P535" s="24">
        <f t="shared" si="42"/>
        <v>-18000</v>
      </c>
      <c r="Q535" s="25">
        <v>0</v>
      </c>
      <c r="R535" s="26">
        <v>80000</v>
      </c>
      <c r="S535" s="91">
        <f t="shared" si="44"/>
        <v>0</v>
      </c>
      <c r="T535" s="91">
        <f t="shared" si="45"/>
        <v>0</v>
      </c>
      <c r="U535" s="27" t="s">
        <v>56</v>
      </c>
      <c r="V535" s="19" t="s">
        <v>51</v>
      </c>
      <c r="W535" s="20">
        <v>46035</v>
      </c>
      <c r="X535" s="22" t="s">
        <v>251</v>
      </c>
      <c r="Y535" s="19" t="s">
        <v>52</v>
      </c>
      <c r="Z535" s="19" t="s">
        <v>52</v>
      </c>
      <c r="AA535" s="19" t="s">
        <v>52</v>
      </c>
      <c r="AB535" s="28"/>
    </row>
    <row r="536" spans="1:28" s="29" customFormat="1" ht="15" customHeight="1" x14ac:dyDescent="0.25">
      <c r="A536" s="14">
        <v>5</v>
      </c>
      <c r="B536" s="15">
        <v>46041</v>
      </c>
      <c r="C536" s="15">
        <f t="shared" si="46"/>
        <v>46049</v>
      </c>
      <c r="D536" s="14">
        <v>14118</v>
      </c>
      <c r="E536" s="16" t="s">
        <v>601</v>
      </c>
      <c r="F536" s="40" t="s">
        <v>602</v>
      </c>
      <c r="G536" s="17" t="s">
        <v>75</v>
      </c>
      <c r="H536" s="18" t="s">
        <v>57</v>
      </c>
      <c r="I536" s="19" t="s">
        <v>81</v>
      </c>
      <c r="J536" s="20">
        <v>45994</v>
      </c>
      <c r="K536" s="20">
        <v>46024</v>
      </c>
      <c r="L536" s="21">
        <v>100000</v>
      </c>
      <c r="M536" s="22">
        <f t="shared" si="41"/>
        <v>100000</v>
      </c>
      <c r="N536" s="23">
        <v>100000</v>
      </c>
      <c r="O536" s="23">
        <v>0</v>
      </c>
      <c r="P536" s="24">
        <f t="shared" si="42"/>
        <v>0</v>
      </c>
      <c r="Q536" s="25">
        <v>0</v>
      </c>
      <c r="R536" s="26">
        <v>150000</v>
      </c>
      <c r="S536" s="91">
        <f t="shared" si="44"/>
        <v>0</v>
      </c>
      <c r="T536" s="91">
        <f t="shared" si="45"/>
        <v>0</v>
      </c>
      <c r="U536" s="27" t="s">
        <v>50</v>
      </c>
      <c r="V536" s="19" t="s">
        <v>51</v>
      </c>
      <c r="W536" s="20">
        <v>46024</v>
      </c>
      <c r="X536" s="22" t="s">
        <v>251</v>
      </c>
      <c r="Y536" s="19" t="s">
        <v>52</v>
      </c>
      <c r="Z536" s="19" t="s">
        <v>52</v>
      </c>
      <c r="AA536" s="19" t="s">
        <v>52</v>
      </c>
      <c r="AB536" s="28"/>
    </row>
    <row r="537" spans="1:28" s="29" customFormat="1" ht="15" customHeight="1" x14ac:dyDescent="0.25">
      <c r="A537" s="14">
        <v>45</v>
      </c>
      <c r="B537" s="15">
        <v>46042</v>
      </c>
      <c r="C537" s="15">
        <f t="shared" si="46"/>
        <v>46050</v>
      </c>
      <c r="D537" s="14">
        <v>14195</v>
      </c>
      <c r="E537" s="16" t="s">
        <v>204</v>
      </c>
      <c r="F537" s="17" t="s">
        <v>205</v>
      </c>
      <c r="G537" s="17" t="s">
        <v>102</v>
      </c>
      <c r="H537" s="18" t="s">
        <v>784</v>
      </c>
      <c r="I537" s="19" t="s">
        <v>63</v>
      </c>
      <c r="J537" s="20">
        <v>46006</v>
      </c>
      <c r="K537" s="20">
        <v>46045</v>
      </c>
      <c r="L537" s="21">
        <v>300000</v>
      </c>
      <c r="M537" s="22">
        <f t="shared" si="41"/>
        <v>314000</v>
      </c>
      <c r="N537" s="23">
        <v>314000</v>
      </c>
      <c r="O537" s="23">
        <v>0</v>
      </c>
      <c r="P537" s="24">
        <f t="shared" si="42"/>
        <v>-14000</v>
      </c>
      <c r="Q537" s="25">
        <v>0</v>
      </c>
      <c r="R537" s="26">
        <v>84000</v>
      </c>
      <c r="S537" s="91">
        <f t="shared" si="44"/>
        <v>0</v>
      </c>
      <c r="T537" s="91">
        <f t="shared" si="45"/>
        <v>0</v>
      </c>
      <c r="U537" s="27" t="s">
        <v>50</v>
      </c>
      <c r="V537" s="19" t="s">
        <v>51</v>
      </c>
      <c r="W537" s="20">
        <v>46037</v>
      </c>
      <c r="X537" s="22" t="s">
        <v>251</v>
      </c>
      <c r="Y537" s="19" t="s">
        <v>52</v>
      </c>
      <c r="Z537" s="19" t="s">
        <v>52</v>
      </c>
      <c r="AA537" s="19" t="s">
        <v>52</v>
      </c>
      <c r="AB537" s="28"/>
    </row>
    <row r="538" spans="1:28" s="29" customFormat="1" ht="15" customHeight="1" x14ac:dyDescent="0.25">
      <c r="A538" s="14">
        <v>51</v>
      </c>
      <c r="B538" s="15">
        <v>46042</v>
      </c>
      <c r="C538" s="15">
        <f t="shared" si="46"/>
        <v>46050</v>
      </c>
      <c r="D538" s="14">
        <v>14233</v>
      </c>
      <c r="E538" s="16" t="s">
        <v>1046</v>
      </c>
      <c r="F538" s="17" t="s">
        <v>598</v>
      </c>
      <c r="G538" s="17" t="s">
        <v>102</v>
      </c>
      <c r="H538" s="18" t="s">
        <v>57</v>
      </c>
      <c r="I538" s="19" t="s">
        <v>58</v>
      </c>
      <c r="J538" s="20">
        <v>46013</v>
      </c>
      <c r="K538" s="20">
        <v>46055</v>
      </c>
      <c r="L538" s="21">
        <v>500000</v>
      </c>
      <c r="M538" s="22">
        <f t="shared" si="41"/>
        <v>523000</v>
      </c>
      <c r="N538" s="23">
        <v>523000</v>
      </c>
      <c r="O538" s="23">
        <v>0</v>
      </c>
      <c r="P538" s="24">
        <f t="shared" si="42"/>
        <v>-23000</v>
      </c>
      <c r="Q538" s="25">
        <v>0</v>
      </c>
      <c r="R538" s="26">
        <v>50000</v>
      </c>
      <c r="S538" s="91">
        <f t="shared" si="44"/>
        <v>0</v>
      </c>
      <c r="T538" s="91">
        <f t="shared" si="45"/>
        <v>0</v>
      </c>
      <c r="U538" s="27" t="s">
        <v>50</v>
      </c>
      <c r="V538" s="19" t="s">
        <v>51</v>
      </c>
      <c r="W538" s="20">
        <v>46033</v>
      </c>
      <c r="X538" s="22" t="s">
        <v>251</v>
      </c>
      <c r="Y538" s="19" t="s">
        <v>52</v>
      </c>
      <c r="Z538" s="19" t="s">
        <v>52</v>
      </c>
      <c r="AA538" s="19" t="s">
        <v>52</v>
      </c>
      <c r="AB538" s="28"/>
    </row>
    <row r="539" spans="1:28" s="29" customFormat="1" ht="15" customHeight="1" x14ac:dyDescent="0.25">
      <c r="A539" s="14">
        <v>42</v>
      </c>
      <c r="B539" s="15" t="s">
        <v>68</v>
      </c>
      <c r="C539" s="15" t="s">
        <v>68</v>
      </c>
      <c r="D539" s="14">
        <v>14038</v>
      </c>
      <c r="E539" s="16" t="s">
        <v>1014</v>
      </c>
      <c r="F539" s="17" t="s">
        <v>1015</v>
      </c>
      <c r="G539" s="17" t="s">
        <v>102</v>
      </c>
      <c r="H539" s="18" t="s">
        <v>54</v>
      </c>
      <c r="I539" s="19" t="s">
        <v>135</v>
      </c>
      <c r="J539" s="20">
        <v>45982</v>
      </c>
      <c r="K539" s="20">
        <v>45662</v>
      </c>
      <c r="L539" s="21">
        <v>80000</v>
      </c>
      <c r="M539" s="22">
        <f t="shared" si="41"/>
        <v>0</v>
      </c>
      <c r="N539" s="23">
        <v>0</v>
      </c>
      <c r="O539" s="23">
        <v>0</v>
      </c>
      <c r="P539" s="24">
        <f t="shared" si="42"/>
        <v>80000</v>
      </c>
      <c r="Q539" s="25">
        <v>0</v>
      </c>
      <c r="R539" s="26">
        <v>42000</v>
      </c>
      <c r="S539" s="91">
        <f t="shared" si="44"/>
        <v>1.9047619047619047</v>
      </c>
      <c r="T539" s="91">
        <f t="shared" si="45"/>
        <v>0</v>
      </c>
      <c r="U539" s="27" t="s">
        <v>56</v>
      </c>
      <c r="V539" s="19" t="s">
        <v>68</v>
      </c>
      <c r="W539" s="20" t="s">
        <v>68</v>
      </c>
      <c r="X539" s="22" t="s">
        <v>275</v>
      </c>
      <c r="Y539" s="19" t="s">
        <v>82</v>
      </c>
      <c r="Z539" s="19" t="s">
        <v>82</v>
      </c>
      <c r="AA539" s="19" t="s">
        <v>82</v>
      </c>
      <c r="AB539" s="28"/>
    </row>
    <row r="540" spans="1:28" s="29" customFormat="1" ht="15" customHeight="1" x14ac:dyDescent="0.25">
      <c r="A540" s="14">
        <v>1</v>
      </c>
      <c r="B540" s="15">
        <v>46046</v>
      </c>
      <c r="C540" s="15">
        <f t="shared" ref="C540:C546" si="47">B540+8</f>
        <v>46054</v>
      </c>
      <c r="D540" s="14">
        <v>14263</v>
      </c>
      <c r="E540" s="16" t="s">
        <v>919</v>
      </c>
      <c r="F540" s="17" t="s">
        <v>405</v>
      </c>
      <c r="G540" s="17" t="s">
        <v>47</v>
      </c>
      <c r="H540" s="18" t="s">
        <v>57</v>
      </c>
      <c r="I540" s="19" t="s">
        <v>58</v>
      </c>
      <c r="J540" s="20">
        <v>46024</v>
      </c>
      <c r="K540" s="20">
        <v>46050</v>
      </c>
      <c r="L540" s="21">
        <v>300000</v>
      </c>
      <c r="M540" s="22">
        <f t="shared" ref="M540:M548" si="48">SUM(N540:O540)</f>
        <v>326000</v>
      </c>
      <c r="N540" s="23">
        <v>326000</v>
      </c>
      <c r="O540" s="23">
        <v>0</v>
      </c>
      <c r="P540" s="24">
        <f t="shared" ref="P540:P548" si="49">L540-N540</f>
        <v>-26000</v>
      </c>
      <c r="Q540" s="25">
        <v>0</v>
      </c>
      <c r="R540" s="26">
        <v>100000</v>
      </c>
      <c r="S540" s="91">
        <f t="shared" si="44"/>
        <v>0</v>
      </c>
      <c r="T540" s="91">
        <f t="shared" si="45"/>
        <v>0</v>
      </c>
      <c r="U540" s="27" t="s">
        <v>50</v>
      </c>
      <c r="V540" s="19" t="s">
        <v>51</v>
      </c>
      <c r="W540" s="20">
        <v>46043</v>
      </c>
      <c r="X540" s="22" t="s">
        <v>251</v>
      </c>
      <c r="Y540" s="19" t="s">
        <v>52</v>
      </c>
      <c r="Z540" s="19" t="s">
        <v>52</v>
      </c>
      <c r="AA540" s="19" t="s">
        <v>52</v>
      </c>
      <c r="AB540" s="42"/>
    </row>
    <row r="541" spans="1:28" s="29" customFormat="1" ht="15" customHeight="1" x14ac:dyDescent="0.25">
      <c r="A541" s="14">
        <v>1</v>
      </c>
      <c r="B541" s="15">
        <v>46046</v>
      </c>
      <c r="C541" s="15">
        <f t="shared" si="47"/>
        <v>46054</v>
      </c>
      <c r="D541" s="14">
        <v>14134</v>
      </c>
      <c r="E541" s="16" t="s">
        <v>303</v>
      </c>
      <c r="F541" s="40" t="s">
        <v>304</v>
      </c>
      <c r="G541" s="17" t="s">
        <v>75</v>
      </c>
      <c r="H541" s="18" t="s">
        <v>57</v>
      </c>
      <c r="I541" s="19" t="s">
        <v>64</v>
      </c>
      <c r="J541" s="20">
        <v>45995</v>
      </c>
      <c r="K541" s="20">
        <v>46022</v>
      </c>
      <c r="L541" s="21">
        <v>500000</v>
      </c>
      <c r="M541" s="22">
        <f t="shared" si="48"/>
        <v>390000</v>
      </c>
      <c r="N541" s="23">
        <v>390000</v>
      </c>
      <c r="O541" s="23">
        <v>0</v>
      </c>
      <c r="P541" s="24">
        <f t="shared" si="49"/>
        <v>110000</v>
      </c>
      <c r="Q541" s="25">
        <v>0</v>
      </c>
      <c r="R541" s="26">
        <v>48000</v>
      </c>
      <c r="S541" s="91">
        <f t="shared" si="44"/>
        <v>2.2916666666666665</v>
      </c>
      <c r="T541" s="91">
        <f t="shared" si="45"/>
        <v>0</v>
      </c>
      <c r="U541" s="27" t="s">
        <v>50</v>
      </c>
      <c r="V541" s="19" t="s">
        <v>51</v>
      </c>
      <c r="W541" s="20">
        <v>45999</v>
      </c>
      <c r="X541" s="22" t="s">
        <v>251</v>
      </c>
      <c r="Y541" s="19" t="s">
        <v>52</v>
      </c>
      <c r="Z541" s="19" t="s">
        <v>52</v>
      </c>
      <c r="AA541" s="19" t="s">
        <v>52</v>
      </c>
      <c r="AB541" s="28"/>
    </row>
    <row r="542" spans="1:28" s="29" customFormat="1" ht="15" customHeight="1" x14ac:dyDescent="0.25">
      <c r="A542" s="14">
        <v>4</v>
      </c>
      <c r="B542" s="15">
        <v>46046</v>
      </c>
      <c r="C542" s="15">
        <f t="shared" si="47"/>
        <v>46054</v>
      </c>
      <c r="D542" s="14">
        <v>14219</v>
      </c>
      <c r="E542" s="16" t="s">
        <v>87</v>
      </c>
      <c r="F542" s="40" t="s">
        <v>88</v>
      </c>
      <c r="G542" s="17" t="s">
        <v>75</v>
      </c>
      <c r="H542" s="18" t="s">
        <v>542</v>
      </c>
      <c r="I542" s="19" t="s">
        <v>49</v>
      </c>
      <c r="J542" s="20">
        <v>46009</v>
      </c>
      <c r="K542" s="20">
        <v>46050</v>
      </c>
      <c r="L542" s="21">
        <v>1500000</v>
      </c>
      <c r="M542" s="22">
        <f t="shared" si="48"/>
        <v>1530000</v>
      </c>
      <c r="N542" s="23">
        <v>1530000</v>
      </c>
      <c r="O542" s="23">
        <v>0</v>
      </c>
      <c r="P542" s="24">
        <f t="shared" si="49"/>
        <v>-30000</v>
      </c>
      <c r="Q542" s="25">
        <v>0</v>
      </c>
      <c r="R542" s="26">
        <v>150000</v>
      </c>
      <c r="S542" s="91">
        <f t="shared" si="44"/>
        <v>0</v>
      </c>
      <c r="T542" s="91">
        <f t="shared" si="45"/>
        <v>0</v>
      </c>
      <c r="U542" s="27" t="s">
        <v>50</v>
      </c>
      <c r="V542" s="19" t="s">
        <v>51</v>
      </c>
      <c r="W542" s="20">
        <v>46035</v>
      </c>
      <c r="X542" s="22" t="s">
        <v>251</v>
      </c>
      <c r="Y542" s="19" t="s">
        <v>52</v>
      </c>
      <c r="Z542" s="19" t="s">
        <v>52</v>
      </c>
      <c r="AA542" s="19" t="s">
        <v>52</v>
      </c>
      <c r="AB542" s="28"/>
    </row>
    <row r="543" spans="1:28" s="29" customFormat="1" ht="15" customHeight="1" x14ac:dyDescent="0.25">
      <c r="A543" s="14">
        <v>8</v>
      </c>
      <c r="B543" s="15">
        <v>46046</v>
      </c>
      <c r="C543" s="15">
        <f t="shared" si="47"/>
        <v>46054</v>
      </c>
      <c r="D543" s="14">
        <v>14131</v>
      </c>
      <c r="E543" s="16" t="s">
        <v>436</v>
      </c>
      <c r="F543" s="40" t="s">
        <v>437</v>
      </c>
      <c r="G543" s="17" t="s">
        <v>75</v>
      </c>
      <c r="H543" s="18" t="s">
        <v>57</v>
      </c>
      <c r="I543" s="19" t="s">
        <v>94</v>
      </c>
      <c r="J543" s="20">
        <v>45995</v>
      </c>
      <c r="K543" s="20">
        <v>46036</v>
      </c>
      <c r="L543" s="21">
        <v>600000</v>
      </c>
      <c r="M543" s="22">
        <f t="shared" si="48"/>
        <v>624000</v>
      </c>
      <c r="N543" s="23">
        <v>624000</v>
      </c>
      <c r="O543" s="23">
        <v>0</v>
      </c>
      <c r="P543" s="24">
        <f t="shared" si="49"/>
        <v>-24000</v>
      </c>
      <c r="Q543" s="25">
        <v>0</v>
      </c>
      <c r="R543" s="26">
        <v>150000</v>
      </c>
      <c r="S543" s="91">
        <f t="shared" si="44"/>
        <v>0</v>
      </c>
      <c r="T543" s="91">
        <f t="shared" si="45"/>
        <v>0</v>
      </c>
      <c r="U543" s="27" t="s">
        <v>50</v>
      </c>
      <c r="V543" s="19" t="s">
        <v>51</v>
      </c>
      <c r="W543" s="20">
        <v>46387</v>
      </c>
      <c r="X543" s="22" t="s">
        <v>251</v>
      </c>
      <c r="Y543" s="19" t="s">
        <v>52</v>
      </c>
      <c r="Z543" s="19" t="s">
        <v>52</v>
      </c>
      <c r="AA543" s="19" t="s">
        <v>52</v>
      </c>
      <c r="AB543" s="28"/>
    </row>
    <row r="544" spans="1:28" s="29" customFormat="1" ht="15" customHeight="1" x14ac:dyDescent="0.25">
      <c r="A544" s="14">
        <v>9</v>
      </c>
      <c r="B544" s="15">
        <v>46046</v>
      </c>
      <c r="C544" s="15">
        <f t="shared" si="47"/>
        <v>46054</v>
      </c>
      <c r="D544" s="14">
        <v>14188</v>
      </c>
      <c r="E544" s="16" t="s">
        <v>422</v>
      </c>
      <c r="F544" s="40" t="s">
        <v>476</v>
      </c>
      <c r="G544" s="17" t="s">
        <v>75</v>
      </c>
      <c r="H544" s="18" t="s">
        <v>78</v>
      </c>
      <c r="I544" s="19" t="s">
        <v>79</v>
      </c>
      <c r="J544" s="20">
        <v>46006</v>
      </c>
      <c r="K544" s="20">
        <v>46038</v>
      </c>
      <c r="L544" s="21">
        <v>550000</v>
      </c>
      <c r="M544" s="22">
        <f t="shared" si="48"/>
        <v>595000</v>
      </c>
      <c r="N544" s="23">
        <v>595000</v>
      </c>
      <c r="O544" s="23">
        <v>0</v>
      </c>
      <c r="P544" s="24">
        <f t="shared" si="49"/>
        <v>-45000</v>
      </c>
      <c r="Q544" s="25">
        <v>0</v>
      </c>
      <c r="R544" s="26">
        <v>150000</v>
      </c>
      <c r="S544" s="91">
        <f t="shared" si="44"/>
        <v>0</v>
      </c>
      <c r="T544" s="91">
        <f t="shared" si="45"/>
        <v>0</v>
      </c>
      <c r="U544" s="27" t="s">
        <v>56</v>
      </c>
      <c r="V544" s="19" t="s">
        <v>51</v>
      </c>
      <c r="W544" s="20">
        <v>46017</v>
      </c>
      <c r="X544" s="22" t="s">
        <v>251</v>
      </c>
      <c r="Y544" s="19" t="s">
        <v>52</v>
      </c>
      <c r="Z544" s="19" t="s">
        <v>52</v>
      </c>
      <c r="AA544" s="19" t="s">
        <v>52</v>
      </c>
      <c r="AB544" s="28"/>
    </row>
    <row r="545" spans="1:28" s="29" customFormat="1" ht="15" customHeight="1" x14ac:dyDescent="0.25">
      <c r="A545" s="14">
        <v>10</v>
      </c>
      <c r="B545" s="15">
        <v>46046</v>
      </c>
      <c r="C545" s="15">
        <f t="shared" si="47"/>
        <v>46054</v>
      </c>
      <c r="D545" s="14">
        <v>14379</v>
      </c>
      <c r="E545" s="16" t="s">
        <v>295</v>
      </c>
      <c r="F545" s="40" t="s">
        <v>296</v>
      </c>
      <c r="G545" s="17" t="s">
        <v>75</v>
      </c>
      <c r="H545" s="18" t="s">
        <v>542</v>
      </c>
      <c r="I545" s="19" t="s">
        <v>1049</v>
      </c>
      <c r="J545" s="20">
        <v>46038</v>
      </c>
      <c r="K545" s="20">
        <v>46043</v>
      </c>
      <c r="L545" s="21">
        <v>150000</v>
      </c>
      <c r="M545" s="22">
        <f t="shared" si="48"/>
        <v>150000</v>
      </c>
      <c r="N545" s="23">
        <v>150000</v>
      </c>
      <c r="O545" s="23">
        <v>0</v>
      </c>
      <c r="P545" s="24">
        <f t="shared" si="49"/>
        <v>0</v>
      </c>
      <c r="Q545" s="25">
        <v>0</v>
      </c>
      <c r="R545" s="26">
        <v>150000</v>
      </c>
      <c r="S545" s="91">
        <f t="shared" si="44"/>
        <v>0</v>
      </c>
      <c r="T545" s="91">
        <f t="shared" si="45"/>
        <v>0</v>
      </c>
      <c r="U545" s="27" t="s">
        <v>50</v>
      </c>
      <c r="V545" s="19" t="s">
        <v>51</v>
      </c>
      <c r="W545" s="20">
        <v>46042</v>
      </c>
      <c r="X545" s="22" t="s">
        <v>251</v>
      </c>
      <c r="Y545" s="19" t="s">
        <v>52</v>
      </c>
      <c r="Z545" s="19" t="s">
        <v>52</v>
      </c>
      <c r="AA545" s="19" t="s">
        <v>52</v>
      </c>
      <c r="AB545" s="28"/>
    </row>
    <row r="546" spans="1:28" s="29" customFormat="1" ht="15" customHeight="1" x14ac:dyDescent="0.25">
      <c r="A546" s="14">
        <v>11</v>
      </c>
      <c r="B546" s="15">
        <v>46046</v>
      </c>
      <c r="C546" s="15">
        <f t="shared" si="47"/>
        <v>46054</v>
      </c>
      <c r="D546" s="14">
        <v>14250</v>
      </c>
      <c r="E546" s="16" t="s">
        <v>663</v>
      </c>
      <c r="F546" s="40" t="s">
        <v>664</v>
      </c>
      <c r="G546" s="17" t="s">
        <v>75</v>
      </c>
      <c r="H546" s="18" t="s">
        <v>133</v>
      </c>
      <c r="I546" s="19" t="s">
        <v>198</v>
      </c>
      <c r="J546" s="20">
        <v>46020</v>
      </c>
      <c r="K546" s="20">
        <v>46054</v>
      </c>
      <c r="L546" s="21">
        <v>170000</v>
      </c>
      <c r="M546" s="22">
        <f t="shared" si="48"/>
        <v>168000</v>
      </c>
      <c r="N546" s="23">
        <v>168000</v>
      </c>
      <c r="O546" s="23">
        <v>0</v>
      </c>
      <c r="P546" s="24">
        <f t="shared" si="49"/>
        <v>2000</v>
      </c>
      <c r="Q546" s="25">
        <v>0</v>
      </c>
      <c r="R546" s="26">
        <v>150000</v>
      </c>
      <c r="S546" s="91">
        <f t="shared" si="44"/>
        <v>1.3333333333333334E-2</v>
      </c>
      <c r="T546" s="91">
        <f t="shared" si="45"/>
        <v>0</v>
      </c>
      <c r="U546" s="27" t="s">
        <v>56</v>
      </c>
      <c r="V546" s="19" t="s">
        <v>51</v>
      </c>
      <c r="W546" s="20">
        <v>46043</v>
      </c>
      <c r="X546" s="22" t="s">
        <v>251</v>
      </c>
      <c r="Y546" s="19" t="s">
        <v>52</v>
      </c>
      <c r="Z546" s="19" t="s">
        <v>52</v>
      </c>
      <c r="AA546" s="19" t="s">
        <v>52</v>
      </c>
      <c r="AB546" s="28"/>
    </row>
    <row r="547" spans="1:28" s="29" customFormat="1" ht="15" customHeight="1" x14ac:dyDescent="0.25">
      <c r="A547" s="14">
        <v>34</v>
      </c>
      <c r="B547" s="15" t="s">
        <v>68</v>
      </c>
      <c r="C547" s="15" t="s">
        <v>68</v>
      </c>
      <c r="D547" s="14">
        <v>14019</v>
      </c>
      <c r="E547" s="16" t="s">
        <v>995</v>
      </c>
      <c r="F547" s="17" t="s">
        <v>996</v>
      </c>
      <c r="G547" s="17" t="s">
        <v>102</v>
      </c>
      <c r="H547" s="18" t="s">
        <v>54</v>
      </c>
      <c r="I547" s="19" t="s">
        <v>135</v>
      </c>
      <c r="J547" s="20">
        <v>45981</v>
      </c>
      <c r="K547" s="20">
        <v>46023</v>
      </c>
      <c r="L547" s="21">
        <v>30000</v>
      </c>
      <c r="M547" s="22">
        <f t="shared" si="48"/>
        <v>0</v>
      </c>
      <c r="N547" s="23">
        <v>0</v>
      </c>
      <c r="O547" s="23">
        <v>0</v>
      </c>
      <c r="P547" s="24">
        <f t="shared" si="49"/>
        <v>30000</v>
      </c>
      <c r="Q547" s="25">
        <v>0</v>
      </c>
      <c r="R547" s="26">
        <v>42000</v>
      </c>
      <c r="S547" s="91">
        <f t="shared" si="44"/>
        <v>0.7142857142857143</v>
      </c>
      <c r="T547" s="91">
        <f t="shared" si="45"/>
        <v>0</v>
      </c>
      <c r="U547" s="27" t="s">
        <v>56</v>
      </c>
      <c r="V547" s="19" t="s">
        <v>68</v>
      </c>
      <c r="W547" s="20" t="s">
        <v>68</v>
      </c>
      <c r="X547" s="22" t="s">
        <v>275</v>
      </c>
      <c r="Y547" s="19" t="s">
        <v>82</v>
      </c>
      <c r="Z547" s="19" t="s">
        <v>82</v>
      </c>
      <c r="AA547" s="19" t="s">
        <v>82</v>
      </c>
      <c r="AB547" s="28"/>
    </row>
    <row r="548" spans="1:28" s="29" customFormat="1" ht="15" customHeight="1" x14ac:dyDescent="0.25">
      <c r="A548" s="14">
        <v>10</v>
      </c>
      <c r="B548" s="15">
        <v>46046</v>
      </c>
      <c r="C548" s="15">
        <f>B548+8</f>
        <v>46054</v>
      </c>
      <c r="D548" s="14">
        <v>14184</v>
      </c>
      <c r="E548" s="16" t="s">
        <v>156</v>
      </c>
      <c r="F548" s="17" t="s">
        <v>157</v>
      </c>
      <c r="G548" s="17" t="s">
        <v>132</v>
      </c>
      <c r="H548" s="18" t="s">
        <v>775</v>
      </c>
      <c r="I548" s="19" t="s">
        <v>135</v>
      </c>
      <c r="J548" s="20">
        <v>46006</v>
      </c>
      <c r="K548" s="20">
        <v>46057</v>
      </c>
      <c r="L548" s="21">
        <v>310000</v>
      </c>
      <c r="M548" s="22">
        <f t="shared" si="48"/>
        <v>340800</v>
      </c>
      <c r="N548" s="23">
        <v>340800</v>
      </c>
      <c r="O548" s="23">
        <v>0</v>
      </c>
      <c r="P548" s="24">
        <f t="shared" si="49"/>
        <v>-30800</v>
      </c>
      <c r="Q548" s="25">
        <v>0</v>
      </c>
      <c r="R548" s="26">
        <v>57330</v>
      </c>
      <c r="S548" s="91">
        <f t="shared" si="44"/>
        <v>0</v>
      </c>
      <c r="T548" s="91">
        <f t="shared" si="45"/>
        <v>0</v>
      </c>
      <c r="U548" s="27" t="s">
        <v>56</v>
      </c>
      <c r="V548" s="19" t="s">
        <v>51</v>
      </c>
      <c r="W548" s="20">
        <v>46043</v>
      </c>
      <c r="X548" s="22" t="s">
        <v>251</v>
      </c>
      <c r="Y548" s="19" t="s">
        <v>52</v>
      </c>
      <c r="Z548" s="19" t="s">
        <v>52</v>
      </c>
      <c r="AA548" s="19" t="s">
        <v>52</v>
      </c>
      <c r="AB548" s="28"/>
    </row>
    <row r="549" spans="1:28" s="29" customFormat="1" ht="15" customHeight="1" x14ac:dyDescent="0.25">
      <c r="A549" s="14">
        <v>25</v>
      </c>
      <c r="B549" s="15" t="s">
        <v>68</v>
      </c>
      <c r="C549" s="15" t="s">
        <v>68</v>
      </c>
      <c r="D549" s="14">
        <v>13748</v>
      </c>
      <c r="E549" s="16" t="s">
        <v>911</v>
      </c>
      <c r="F549" s="17" t="s">
        <v>912</v>
      </c>
      <c r="G549" s="17" t="s">
        <v>102</v>
      </c>
      <c r="H549" s="18" t="s">
        <v>54</v>
      </c>
      <c r="I549" s="19" t="s">
        <v>135</v>
      </c>
      <c r="J549" s="20">
        <v>45944</v>
      </c>
      <c r="K549" s="20">
        <v>45980</v>
      </c>
      <c r="L549" s="21">
        <v>30000</v>
      </c>
      <c r="M549" s="22">
        <f t="shared" ref="M549:M561" si="50">SUM(N549:O549)</f>
        <v>0</v>
      </c>
      <c r="N549" s="23">
        <v>0</v>
      </c>
      <c r="O549" s="23">
        <v>0</v>
      </c>
      <c r="P549" s="24">
        <f t="shared" ref="P549:P561" si="51">L549-N549</f>
        <v>30000</v>
      </c>
      <c r="Q549" s="25">
        <v>0</v>
      </c>
      <c r="R549" s="26">
        <v>24000</v>
      </c>
      <c r="S549" s="91">
        <f t="shared" si="44"/>
        <v>1.25</v>
      </c>
      <c r="T549" s="91">
        <f t="shared" si="45"/>
        <v>0</v>
      </c>
      <c r="U549" s="27" t="s">
        <v>56</v>
      </c>
      <c r="V549" s="19" t="s">
        <v>68</v>
      </c>
      <c r="W549" s="20" t="s">
        <v>68</v>
      </c>
      <c r="X549" s="22" t="s">
        <v>275</v>
      </c>
      <c r="Y549" s="19" t="s">
        <v>82</v>
      </c>
      <c r="Z549" s="19" t="s">
        <v>82</v>
      </c>
      <c r="AA549" s="19" t="s">
        <v>82</v>
      </c>
      <c r="AB549" s="28"/>
    </row>
    <row r="550" spans="1:28" s="29" customFormat="1" ht="15" customHeight="1" x14ac:dyDescent="0.25">
      <c r="A550" s="14">
        <v>38</v>
      </c>
      <c r="B550" s="15" t="s">
        <v>68</v>
      </c>
      <c r="C550" s="15" t="s">
        <v>68</v>
      </c>
      <c r="D550" s="14">
        <v>14039</v>
      </c>
      <c r="E550" s="16" t="s">
        <v>975</v>
      </c>
      <c r="F550" s="17" t="s">
        <v>976</v>
      </c>
      <c r="G550" s="17" t="s">
        <v>102</v>
      </c>
      <c r="H550" s="18" t="s">
        <v>54</v>
      </c>
      <c r="I550" s="19" t="s">
        <v>135</v>
      </c>
      <c r="J550" s="20">
        <v>45981</v>
      </c>
      <c r="K550" s="20">
        <v>46027</v>
      </c>
      <c r="L550" s="21">
        <v>145000</v>
      </c>
      <c r="M550" s="22">
        <f t="shared" si="50"/>
        <v>0</v>
      </c>
      <c r="N550" s="23">
        <v>0</v>
      </c>
      <c r="O550" s="23">
        <v>0</v>
      </c>
      <c r="P550" s="24">
        <f t="shared" si="51"/>
        <v>145000</v>
      </c>
      <c r="Q550" s="25">
        <v>0</v>
      </c>
      <c r="R550" s="26">
        <v>42000</v>
      </c>
      <c r="S550" s="91">
        <f t="shared" si="44"/>
        <v>3.4523809523809526</v>
      </c>
      <c r="T550" s="91">
        <f t="shared" si="45"/>
        <v>0</v>
      </c>
      <c r="U550" s="27" t="s">
        <v>56</v>
      </c>
      <c r="V550" s="19" t="s">
        <v>68</v>
      </c>
      <c r="W550" s="20" t="s">
        <v>68</v>
      </c>
      <c r="X550" s="22" t="s">
        <v>275</v>
      </c>
      <c r="Y550" s="19" t="s">
        <v>82</v>
      </c>
      <c r="Z550" s="19" t="s">
        <v>82</v>
      </c>
      <c r="AA550" s="19" t="s">
        <v>82</v>
      </c>
      <c r="AB550" s="28"/>
    </row>
    <row r="551" spans="1:28" s="29" customFormat="1" ht="15" customHeight="1" x14ac:dyDescent="0.25">
      <c r="A551" s="14">
        <v>32</v>
      </c>
      <c r="B551" s="15" t="s">
        <v>68</v>
      </c>
      <c r="C551" s="15" t="s">
        <v>68</v>
      </c>
      <c r="D551" s="14">
        <v>14020</v>
      </c>
      <c r="E551" s="16" t="s">
        <v>993</v>
      </c>
      <c r="F551" s="17" t="s">
        <v>994</v>
      </c>
      <c r="G551" s="17" t="s">
        <v>102</v>
      </c>
      <c r="H551" s="18" t="s">
        <v>54</v>
      </c>
      <c r="I551" s="19" t="s">
        <v>135</v>
      </c>
      <c r="J551" s="20">
        <v>45981</v>
      </c>
      <c r="K551" s="20">
        <v>46023</v>
      </c>
      <c r="L551" s="21">
        <v>30000</v>
      </c>
      <c r="M551" s="22">
        <f t="shared" si="50"/>
        <v>0</v>
      </c>
      <c r="N551" s="23">
        <v>0</v>
      </c>
      <c r="O551" s="23">
        <v>0</v>
      </c>
      <c r="P551" s="24">
        <f t="shared" si="51"/>
        <v>30000</v>
      </c>
      <c r="Q551" s="25">
        <v>0</v>
      </c>
      <c r="R551" s="26">
        <v>42000</v>
      </c>
      <c r="S551" s="91">
        <f t="shared" si="44"/>
        <v>0.7142857142857143</v>
      </c>
      <c r="T551" s="91">
        <f t="shared" si="45"/>
        <v>0</v>
      </c>
      <c r="U551" s="27" t="s">
        <v>56</v>
      </c>
      <c r="V551" s="19" t="s">
        <v>68</v>
      </c>
      <c r="W551" s="20" t="s">
        <v>68</v>
      </c>
      <c r="X551" s="22" t="s">
        <v>275</v>
      </c>
      <c r="Y551" s="19" t="s">
        <v>82</v>
      </c>
      <c r="Z551" s="19" t="s">
        <v>82</v>
      </c>
      <c r="AA551" s="19" t="s">
        <v>82</v>
      </c>
      <c r="AB551" s="28"/>
    </row>
    <row r="552" spans="1:28" s="29" customFormat="1" ht="15" customHeight="1" x14ac:dyDescent="0.25">
      <c r="A552" s="14">
        <v>28</v>
      </c>
      <c r="B552" s="15" t="s">
        <v>68</v>
      </c>
      <c r="C552" s="15" t="s">
        <v>68</v>
      </c>
      <c r="D552" s="14">
        <v>14024</v>
      </c>
      <c r="E552" s="16" t="s">
        <v>985</v>
      </c>
      <c r="F552" s="17" t="s">
        <v>986</v>
      </c>
      <c r="G552" s="17" t="s">
        <v>102</v>
      </c>
      <c r="H552" s="18" t="s">
        <v>54</v>
      </c>
      <c r="I552" s="19" t="s">
        <v>135</v>
      </c>
      <c r="J552" s="20">
        <v>45981</v>
      </c>
      <c r="K552" s="20">
        <v>46023</v>
      </c>
      <c r="L552" s="21">
        <v>30000</v>
      </c>
      <c r="M552" s="22">
        <f t="shared" si="50"/>
        <v>0</v>
      </c>
      <c r="N552" s="23">
        <v>0</v>
      </c>
      <c r="O552" s="23">
        <v>0</v>
      </c>
      <c r="P552" s="24">
        <f t="shared" si="51"/>
        <v>30000</v>
      </c>
      <c r="Q552" s="25">
        <v>0</v>
      </c>
      <c r="R552" s="26">
        <v>42000</v>
      </c>
      <c r="S552" s="91">
        <f t="shared" si="44"/>
        <v>0.7142857142857143</v>
      </c>
      <c r="T552" s="91">
        <f t="shared" si="45"/>
        <v>0</v>
      </c>
      <c r="U552" s="27" t="s">
        <v>56</v>
      </c>
      <c r="V552" s="19" t="s">
        <v>68</v>
      </c>
      <c r="W552" s="20" t="s">
        <v>68</v>
      </c>
      <c r="X552" s="22" t="s">
        <v>275</v>
      </c>
      <c r="Y552" s="19" t="s">
        <v>82</v>
      </c>
      <c r="Z552" s="19" t="s">
        <v>82</v>
      </c>
      <c r="AA552" s="19" t="s">
        <v>82</v>
      </c>
      <c r="AB552" s="28"/>
    </row>
    <row r="553" spans="1:28" s="29" customFormat="1" ht="15" customHeight="1" x14ac:dyDescent="0.25">
      <c r="A553" s="14">
        <v>1</v>
      </c>
      <c r="B553" s="15">
        <v>46062</v>
      </c>
      <c r="C553" s="15">
        <f t="shared" ref="C553:C561" si="52">B553+8</f>
        <v>46070</v>
      </c>
      <c r="D553" s="14">
        <v>14280</v>
      </c>
      <c r="E553" s="16" t="s">
        <v>944</v>
      </c>
      <c r="F553" s="17" t="s">
        <v>710</v>
      </c>
      <c r="G553" s="17" t="s">
        <v>47</v>
      </c>
      <c r="H553" s="18" t="s">
        <v>542</v>
      </c>
      <c r="I553" s="19" t="s">
        <v>49</v>
      </c>
      <c r="J553" s="20">
        <v>46028</v>
      </c>
      <c r="K553" s="20">
        <v>46055</v>
      </c>
      <c r="L553" s="21">
        <v>100000</v>
      </c>
      <c r="M553" s="22">
        <f t="shared" si="50"/>
        <v>102000</v>
      </c>
      <c r="N553" s="23">
        <v>102000</v>
      </c>
      <c r="O553" s="23">
        <v>0</v>
      </c>
      <c r="P553" s="24">
        <f t="shared" si="51"/>
        <v>-2000</v>
      </c>
      <c r="Q553" s="25">
        <v>0</v>
      </c>
      <c r="R553" s="26">
        <v>72000</v>
      </c>
      <c r="S553" s="91">
        <f t="shared" si="44"/>
        <v>0</v>
      </c>
      <c r="T553" s="91">
        <f t="shared" si="45"/>
        <v>0</v>
      </c>
      <c r="U553" s="27" t="s">
        <v>50</v>
      </c>
      <c r="V553" s="19" t="s">
        <v>51</v>
      </c>
      <c r="W553" s="20">
        <v>46035</v>
      </c>
      <c r="X553" s="22" t="s">
        <v>251</v>
      </c>
      <c r="Y553" s="19" t="s">
        <v>52</v>
      </c>
      <c r="Z553" s="19" t="s">
        <v>52</v>
      </c>
      <c r="AA553" s="19" t="s">
        <v>52</v>
      </c>
      <c r="AB553" s="42"/>
    </row>
    <row r="554" spans="1:28" s="29" customFormat="1" ht="15" customHeight="1" x14ac:dyDescent="0.25">
      <c r="A554" s="14">
        <v>1</v>
      </c>
      <c r="B554" s="15">
        <v>46052</v>
      </c>
      <c r="C554" s="15">
        <f t="shared" si="52"/>
        <v>46060</v>
      </c>
      <c r="D554" s="14">
        <v>14215</v>
      </c>
      <c r="E554" s="16" t="s">
        <v>684</v>
      </c>
      <c r="F554" s="40" t="s">
        <v>720</v>
      </c>
      <c r="G554" s="17" t="s">
        <v>75</v>
      </c>
      <c r="H554" s="18" t="s">
        <v>57</v>
      </c>
      <c r="I554" s="19" t="s">
        <v>94</v>
      </c>
      <c r="J554" s="20">
        <v>46009</v>
      </c>
      <c r="K554" s="20">
        <v>46043</v>
      </c>
      <c r="L554" s="21">
        <v>250000</v>
      </c>
      <c r="M554" s="22">
        <f t="shared" si="50"/>
        <v>250000</v>
      </c>
      <c r="N554" s="23">
        <v>250000</v>
      </c>
      <c r="O554" s="23">
        <v>0</v>
      </c>
      <c r="P554" s="24">
        <f t="shared" si="51"/>
        <v>0</v>
      </c>
      <c r="Q554" s="25">
        <v>0</v>
      </c>
      <c r="R554" s="26">
        <v>100000</v>
      </c>
      <c r="S554" s="91">
        <f t="shared" si="44"/>
        <v>0</v>
      </c>
      <c r="T554" s="91">
        <f t="shared" si="45"/>
        <v>0</v>
      </c>
      <c r="U554" s="27" t="s">
        <v>50</v>
      </c>
      <c r="V554" s="19" t="s">
        <v>51</v>
      </c>
      <c r="W554" s="20">
        <v>46043</v>
      </c>
      <c r="X554" s="22" t="s">
        <v>251</v>
      </c>
      <c r="Y554" s="19" t="s">
        <v>52</v>
      </c>
      <c r="Z554" s="19" t="s">
        <v>52</v>
      </c>
      <c r="AA554" s="19" t="s">
        <v>52</v>
      </c>
      <c r="AB554" s="28"/>
    </row>
    <row r="555" spans="1:28" s="29" customFormat="1" ht="15" customHeight="1" x14ac:dyDescent="0.25">
      <c r="A555" s="14">
        <v>7</v>
      </c>
      <c r="B555" s="15">
        <v>46058</v>
      </c>
      <c r="C555" s="15">
        <f t="shared" si="52"/>
        <v>46066</v>
      </c>
      <c r="D555" s="14">
        <v>14257</v>
      </c>
      <c r="E555" s="16" t="s">
        <v>385</v>
      </c>
      <c r="F555" s="40" t="s">
        <v>386</v>
      </c>
      <c r="G555" s="17" t="s">
        <v>75</v>
      </c>
      <c r="H555" s="18" t="s">
        <v>542</v>
      </c>
      <c r="I555" s="19" t="s">
        <v>70</v>
      </c>
      <c r="J555" s="20">
        <v>46021</v>
      </c>
      <c r="K555" s="20">
        <v>46055</v>
      </c>
      <c r="L555" s="21">
        <v>1000000</v>
      </c>
      <c r="M555" s="22">
        <f t="shared" si="50"/>
        <v>990000</v>
      </c>
      <c r="N555" s="23">
        <v>990000</v>
      </c>
      <c r="O555" s="23">
        <v>0</v>
      </c>
      <c r="P555" s="24">
        <f t="shared" si="51"/>
        <v>10000</v>
      </c>
      <c r="Q555" s="25">
        <v>0</v>
      </c>
      <c r="R555" s="26">
        <v>150000</v>
      </c>
      <c r="S555" s="91">
        <f t="shared" si="44"/>
        <v>6.6666666666666666E-2</v>
      </c>
      <c r="T555" s="91">
        <f t="shared" si="45"/>
        <v>0</v>
      </c>
      <c r="U555" s="27" t="s">
        <v>50</v>
      </c>
      <c r="V555" s="19" t="s">
        <v>51</v>
      </c>
      <c r="W555" s="20">
        <v>46043</v>
      </c>
      <c r="X555" s="22" t="s">
        <v>251</v>
      </c>
      <c r="Y555" s="19" t="s">
        <v>52</v>
      </c>
      <c r="Z555" s="19" t="s">
        <v>52</v>
      </c>
      <c r="AA555" s="19" t="s">
        <v>52</v>
      </c>
      <c r="AB555" s="28"/>
    </row>
    <row r="556" spans="1:28" s="29" customFormat="1" ht="15" customHeight="1" x14ac:dyDescent="0.25">
      <c r="A556" s="14">
        <v>40</v>
      </c>
      <c r="B556" s="15">
        <v>46051</v>
      </c>
      <c r="C556" s="15">
        <f t="shared" si="52"/>
        <v>46059</v>
      </c>
      <c r="D556" s="14">
        <v>14052</v>
      </c>
      <c r="E556" s="16" t="s">
        <v>841</v>
      </c>
      <c r="F556" s="17" t="s">
        <v>842</v>
      </c>
      <c r="G556" s="17" t="s">
        <v>102</v>
      </c>
      <c r="H556" s="18" t="s">
        <v>54</v>
      </c>
      <c r="I556" s="19" t="s">
        <v>135</v>
      </c>
      <c r="J556" s="20">
        <v>45981</v>
      </c>
      <c r="K556" s="20">
        <v>46036</v>
      </c>
      <c r="L556" s="21">
        <v>75000</v>
      </c>
      <c r="M556" s="22">
        <f t="shared" si="50"/>
        <v>84000</v>
      </c>
      <c r="N556" s="23">
        <v>84000</v>
      </c>
      <c r="O556" s="23">
        <v>0</v>
      </c>
      <c r="P556" s="24">
        <f t="shared" si="51"/>
        <v>-9000</v>
      </c>
      <c r="Q556" s="25">
        <v>0</v>
      </c>
      <c r="R556" s="26">
        <v>42000</v>
      </c>
      <c r="S556" s="91">
        <f t="shared" si="44"/>
        <v>0</v>
      </c>
      <c r="T556" s="91">
        <f t="shared" si="45"/>
        <v>0</v>
      </c>
      <c r="U556" s="27" t="s">
        <v>56</v>
      </c>
      <c r="V556" s="19" t="s">
        <v>51</v>
      </c>
      <c r="W556" s="20">
        <v>46037</v>
      </c>
      <c r="X556" s="22" t="s">
        <v>251</v>
      </c>
      <c r="Y556" s="19" t="s">
        <v>52</v>
      </c>
      <c r="Z556" s="19" t="s">
        <v>52</v>
      </c>
      <c r="AA556" s="19" t="s">
        <v>52</v>
      </c>
      <c r="AB556" s="28"/>
    </row>
    <row r="557" spans="1:28" s="29" customFormat="1" ht="15" customHeight="1" x14ac:dyDescent="0.25">
      <c r="A557" s="14">
        <v>5</v>
      </c>
      <c r="B557" s="15">
        <v>46050</v>
      </c>
      <c r="C557" s="15">
        <f t="shared" si="52"/>
        <v>46058</v>
      </c>
      <c r="D557" s="14">
        <v>14179</v>
      </c>
      <c r="E557" s="16" t="s">
        <v>665</v>
      </c>
      <c r="F557" s="17" t="s">
        <v>666</v>
      </c>
      <c r="G557" s="17" t="s">
        <v>132</v>
      </c>
      <c r="H557" s="18" t="s">
        <v>775</v>
      </c>
      <c r="I557" s="19" t="s">
        <v>135</v>
      </c>
      <c r="J557" s="20">
        <v>46006</v>
      </c>
      <c r="K557" s="20">
        <v>46057</v>
      </c>
      <c r="L557" s="21">
        <v>25000</v>
      </c>
      <c r="M557" s="22">
        <f t="shared" si="50"/>
        <v>30880</v>
      </c>
      <c r="N557" s="23">
        <v>30880</v>
      </c>
      <c r="O557" s="23">
        <v>0</v>
      </c>
      <c r="P557" s="24">
        <f t="shared" si="51"/>
        <v>-5880</v>
      </c>
      <c r="Q557" s="25">
        <v>0</v>
      </c>
      <c r="R557" s="26">
        <v>57330</v>
      </c>
      <c r="S557" s="91">
        <f t="shared" si="44"/>
        <v>0</v>
      </c>
      <c r="T557" s="91">
        <f t="shared" si="45"/>
        <v>0</v>
      </c>
      <c r="U557" s="27" t="s">
        <v>56</v>
      </c>
      <c r="V557" s="19" t="s">
        <v>51</v>
      </c>
      <c r="W557" s="20">
        <v>46043</v>
      </c>
      <c r="X557" s="22" t="s">
        <v>251</v>
      </c>
      <c r="Y557" s="19" t="s">
        <v>52</v>
      </c>
      <c r="Z557" s="19" t="s">
        <v>52</v>
      </c>
      <c r="AA557" s="19" t="s">
        <v>52</v>
      </c>
      <c r="AB557" s="28"/>
    </row>
    <row r="558" spans="1:28" s="29" customFormat="1" ht="15" customHeight="1" x14ac:dyDescent="0.25">
      <c r="A558" s="14">
        <v>6</v>
      </c>
      <c r="B558" s="15">
        <v>46050</v>
      </c>
      <c r="C558" s="15">
        <f t="shared" si="52"/>
        <v>46058</v>
      </c>
      <c r="D558" s="14">
        <v>14180</v>
      </c>
      <c r="E558" s="16" t="s">
        <v>152</v>
      </c>
      <c r="F558" s="17" t="s">
        <v>153</v>
      </c>
      <c r="G558" s="17" t="s">
        <v>132</v>
      </c>
      <c r="H558" s="18" t="s">
        <v>775</v>
      </c>
      <c r="I558" s="19" t="s">
        <v>135</v>
      </c>
      <c r="J558" s="20">
        <v>46006</v>
      </c>
      <c r="K558" s="20">
        <v>46057</v>
      </c>
      <c r="L558" s="21">
        <v>110000</v>
      </c>
      <c r="M558" s="22">
        <f t="shared" si="50"/>
        <v>82010</v>
      </c>
      <c r="N558" s="23">
        <v>82010</v>
      </c>
      <c r="O558" s="23">
        <v>0</v>
      </c>
      <c r="P558" s="24">
        <f t="shared" si="51"/>
        <v>27990</v>
      </c>
      <c r="Q558" s="25">
        <v>0</v>
      </c>
      <c r="R558" s="26">
        <v>57330</v>
      </c>
      <c r="S558" s="91">
        <f t="shared" si="44"/>
        <v>0.48822605965463106</v>
      </c>
      <c r="T558" s="91">
        <f t="shared" si="45"/>
        <v>0</v>
      </c>
      <c r="U558" s="27" t="s">
        <v>56</v>
      </c>
      <c r="V558" s="19" t="s">
        <v>51</v>
      </c>
      <c r="W558" s="20">
        <v>46043</v>
      </c>
      <c r="X558" s="22" t="s">
        <v>251</v>
      </c>
      <c r="Y558" s="19" t="s">
        <v>52</v>
      </c>
      <c r="Z558" s="19" t="s">
        <v>52</v>
      </c>
      <c r="AA558" s="19" t="s">
        <v>52</v>
      </c>
      <c r="AB558" s="28"/>
    </row>
    <row r="559" spans="1:28" s="29" customFormat="1" ht="15" customHeight="1" x14ac:dyDescent="0.25">
      <c r="A559" s="14">
        <v>7</v>
      </c>
      <c r="B559" s="15">
        <v>46050</v>
      </c>
      <c r="C559" s="15">
        <f t="shared" si="52"/>
        <v>46058</v>
      </c>
      <c r="D559" s="14">
        <v>14181</v>
      </c>
      <c r="E559" s="16" t="s">
        <v>228</v>
      </c>
      <c r="F559" s="17" t="s">
        <v>229</v>
      </c>
      <c r="G559" s="17" t="s">
        <v>132</v>
      </c>
      <c r="H559" s="18" t="s">
        <v>775</v>
      </c>
      <c r="I559" s="19" t="s">
        <v>135</v>
      </c>
      <c r="J559" s="20">
        <v>46006</v>
      </c>
      <c r="K559" s="20">
        <v>46057</v>
      </c>
      <c r="L559" s="21">
        <v>100000</v>
      </c>
      <c r="M559" s="22">
        <f t="shared" si="50"/>
        <v>114660</v>
      </c>
      <c r="N559" s="23">
        <v>114660</v>
      </c>
      <c r="O559" s="23">
        <v>0</v>
      </c>
      <c r="P559" s="24">
        <f t="shared" si="51"/>
        <v>-14660</v>
      </c>
      <c r="Q559" s="25">
        <v>0</v>
      </c>
      <c r="R559" s="26">
        <v>57330</v>
      </c>
      <c r="S559" s="91">
        <f t="shared" si="44"/>
        <v>0</v>
      </c>
      <c r="T559" s="91">
        <f t="shared" si="45"/>
        <v>0</v>
      </c>
      <c r="U559" s="27" t="s">
        <v>56</v>
      </c>
      <c r="V559" s="19" t="s">
        <v>51</v>
      </c>
      <c r="W559" s="20">
        <v>46043</v>
      </c>
      <c r="X559" s="22" t="s">
        <v>251</v>
      </c>
      <c r="Y559" s="19" t="s">
        <v>52</v>
      </c>
      <c r="Z559" s="19" t="s">
        <v>52</v>
      </c>
      <c r="AA559" s="19" t="s">
        <v>52</v>
      </c>
      <c r="AB559" s="28"/>
    </row>
    <row r="560" spans="1:28" s="29" customFormat="1" ht="15" customHeight="1" x14ac:dyDescent="0.25">
      <c r="A560" s="14">
        <v>8</v>
      </c>
      <c r="B560" s="15">
        <v>46050</v>
      </c>
      <c r="C560" s="15">
        <f t="shared" si="52"/>
        <v>46058</v>
      </c>
      <c r="D560" s="14">
        <v>14182</v>
      </c>
      <c r="E560" s="16" t="s">
        <v>258</v>
      </c>
      <c r="F560" s="17" t="s">
        <v>259</v>
      </c>
      <c r="G560" s="17" t="s">
        <v>132</v>
      </c>
      <c r="H560" s="18" t="s">
        <v>775</v>
      </c>
      <c r="I560" s="19" t="s">
        <v>135</v>
      </c>
      <c r="J560" s="20">
        <v>46006</v>
      </c>
      <c r="K560" s="20">
        <v>46057</v>
      </c>
      <c r="L560" s="21">
        <v>25000</v>
      </c>
      <c r="M560" s="22">
        <f t="shared" si="50"/>
        <v>32960</v>
      </c>
      <c r="N560" s="23">
        <v>32960</v>
      </c>
      <c r="O560" s="23">
        <v>0</v>
      </c>
      <c r="P560" s="24">
        <f t="shared" si="51"/>
        <v>-7960</v>
      </c>
      <c r="Q560" s="25">
        <v>0</v>
      </c>
      <c r="R560" s="26">
        <v>57330</v>
      </c>
      <c r="S560" s="91">
        <f t="shared" si="44"/>
        <v>0</v>
      </c>
      <c r="T560" s="91">
        <f t="shared" si="45"/>
        <v>0</v>
      </c>
      <c r="U560" s="27" t="s">
        <v>56</v>
      </c>
      <c r="V560" s="19" t="s">
        <v>51</v>
      </c>
      <c r="W560" s="20">
        <v>46043</v>
      </c>
      <c r="X560" s="22" t="s">
        <v>251</v>
      </c>
      <c r="Y560" s="19" t="s">
        <v>52</v>
      </c>
      <c r="Z560" s="19" t="s">
        <v>52</v>
      </c>
      <c r="AA560" s="19" t="s">
        <v>52</v>
      </c>
      <c r="AB560" s="28"/>
    </row>
    <row r="561" spans="1:28" s="29" customFormat="1" ht="15" customHeight="1" x14ac:dyDescent="0.25">
      <c r="A561" s="14">
        <v>9</v>
      </c>
      <c r="B561" s="15">
        <v>46050</v>
      </c>
      <c r="C561" s="15">
        <f t="shared" si="52"/>
        <v>46058</v>
      </c>
      <c r="D561" s="14">
        <v>14183</v>
      </c>
      <c r="E561" s="16" t="s">
        <v>245</v>
      </c>
      <c r="F561" s="17" t="s">
        <v>246</v>
      </c>
      <c r="G561" s="17" t="s">
        <v>132</v>
      </c>
      <c r="H561" s="18" t="s">
        <v>775</v>
      </c>
      <c r="I561" s="19" t="s">
        <v>135</v>
      </c>
      <c r="J561" s="20">
        <v>46006</v>
      </c>
      <c r="K561" s="20">
        <v>46057</v>
      </c>
      <c r="L561" s="21">
        <v>25000</v>
      </c>
      <c r="M561" s="22">
        <f t="shared" si="50"/>
        <v>28670</v>
      </c>
      <c r="N561" s="23">
        <v>28670</v>
      </c>
      <c r="O561" s="23">
        <v>0</v>
      </c>
      <c r="P561" s="24">
        <f t="shared" si="51"/>
        <v>-3670</v>
      </c>
      <c r="Q561" s="25">
        <v>0</v>
      </c>
      <c r="R561" s="26">
        <v>53442</v>
      </c>
      <c r="S561" s="91">
        <f t="shared" si="44"/>
        <v>0</v>
      </c>
      <c r="T561" s="91">
        <f t="shared" si="45"/>
        <v>0</v>
      </c>
      <c r="U561" s="27" t="s">
        <v>56</v>
      </c>
      <c r="V561" s="19" t="s">
        <v>51</v>
      </c>
      <c r="W561" s="20">
        <v>46043</v>
      </c>
      <c r="X561" s="22" t="s">
        <v>251</v>
      </c>
      <c r="Y561" s="19" t="s">
        <v>52</v>
      </c>
      <c r="Z561" s="19" t="s">
        <v>52</v>
      </c>
      <c r="AA561" s="19" t="s">
        <v>52</v>
      </c>
      <c r="AB561" s="28"/>
    </row>
    <row r="562" spans="1:28" s="29" customFormat="1" ht="15" customHeight="1" x14ac:dyDescent="0.25">
      <c r="A562" s="14">
        <v>5</v>
      </c>
      <c r="B562" s="15">
        <v>46062</v>
      </c>
      <c r="C562" s="15">
        <f>B562+8</f>
        <v>46070</v>
      </c>
      <c r="D562" s="14">
        <v>14201</v>
      </c>
      <c r="E562" s="16" t="s">
        <v>1042</v>
      </c>
      <c r="F562" s="40" t="s">
        <v>1043</v>
      </c>
      <c r="G562" s="17" t="s">
        <v>75</v>
      </c>
      <c r="H562" s="18" t="s">
        <v>57</v>
      </c>
      <c r="I562" s="19" t="s">
        <v>64</v>
      </c>
      <c r="J562" s="20">
        <v>46007</v>
      </c>
      <c r="K562" s="20">
        <v>46034</v>
      </c>
      <c r="L562" s="21">
        <v>500000</v>
      </c>
      <c r="M562" s="22">
        <f t="shared" ref="M562:M569" si="53">SUM(N562:O562)</f>
        <v>485000</v>
      </c>
      <c r="N562" s="23">
        <v>485000</v>
      </c>
      <c r="O562" s="23">
        <v>0</v>
      </c>
      <c r="P562" s="24">
        <f t="shared" ref="P562:P569" si="54">L562-N562</f>
        <v>15000</v>
      </c>
      <c r="Q562" s="25">
        <v>0</v>
      </c>
      <c r="R562" s="26">
        <v>50000</v>
      </c>
      <c r="S562" s="91">
        <f t="shared" si="44"/>
        <v>0.3</v>
      </c>
      <c r="T562" s="91">
        <f t="shared" si="45"/>
        <v>0</v>
      </c>
      <c r="U562" s="27" t="s">
        <v>50</v>
      </c>
      <c r="V562" s="19" t="s">
        <v>51</v>
      </c>
      <c r="W562" s="20">
        <v>46035</v>
      </c>
      <c r="X562" s="22" t="s">
        <v>251</v>
      </c>
      <c r="Y562" s="19" t="s">
        <v>52</v>
      </c>
      <c r="Z562" s="19" t="s">
        <v>52</v>
      </c>
      <c r="AA562" s="19" t="s">
        <v>52</v>
      </c>
      <c r="AB562" s="28"/>
    </row>
    <row r="563" spans="1:28" s="29" customFormat="1" ht="15" customHeight="1" x14ac:dyDescent="0.25">
      <c r="A563" s="14">
        <v>8</v>
      </c>
      <c r="B563" s="15">
        <v>46062</v>
      </c>
      <c r="C563" s="15">
        <f>B563+8</f>
        <v>46070</v>
      </c>
      <c r="D563" s="14">
        <v>14270</v>
      </c>
      <c r="E563" s="16" t="s">
        <v>303</v>
      </c>
      <c r="F563" s="40" t="s">
        <v>304</v>
      </c>
      <c r="G563" s="17" t="s">
        <v>75</v>
      </c>
      <c r="H563" s="18" t="s">
        <v>57</v>
      </c>
      <c r="I563" s="19" t="s">
        <v>64</v>
      </c>
      <c r="J563" s="20">
        <v>46024</v>
      </c>
      <c r="K563" s="20">
        <v>46059</v>
      </c>
      <c r="L563" s="21">
        <v>400000</v>
      </c>
      <c r="M563" s="22">
        <f t="shared" si="53"/>
        <v>407000</v>
      </c>
      <c r="N563" s="23">
        <v>407000</v>
      </c>
      <c r="O563" s="23">
        <v>0</v>
      </c>
      <c r="P563" s="24">
        <f t="shared" si="54"/>
        <v>-7000</v>
      </c>
      <c r="Q563" s="25">
        <v>0</v>
      </c>
      <c r="R563" s="26">
        <v>48000</v>
      </c>
      <c r="S563" s="91">
        <f t="shared" si="44"/>
        <v>0</v>
      </c>
      <c r="T563" s="91">
        <f t="shared" si="45"/>
        <v>0</v>
      </c>
      <c r="U563" s="27" t="s">
        <v>50</v>
      </c>
      <c r="V563" s="19" t="s">
        <v>51</v>
      </c>
      <c r="W563" s="20">
        <v>46043</v>
      </c>
      <c r="X563" s="22" t="s">
        <v>251</v>
      </c>
      <c r="Y563" s="19" t="s">
        <v>52</v>
      </c>
      <c r="Z563" s="19" t="s">
        <v>52</v>
      </c>
      <c r="AA563" s="19" t="s">
        <v>52</v>
      </c>
      <c r="AB563" s="28"/>
    </row>
    <row r="564" spans="1:28" s="29" customFormat="1" ht="15" customHeight="1" x14ac:dyDescent="0.25">
      <c r="A564" s="14">
        <v>16</v>
      </c>
      <c r="B564" s="15">
        <v>46060</v>
      </c>
      <c r="C564" s="15">
        <f>B564+8</f>
        <v>46068</v>
      </c>
      <c r="D564" s="14">
        <v>14366</v>
      </c>
      <c r="E564" s="16" t="s">
        <v>1075</v>
      </c>
      <c r="F564" s="17" t="s">
        <v>826</v>
      </c>
      <c r="G564" s="17" t="s">
        <v>102</v>
      </c>
      <c r="H564" s="18" t="s">
        <v>54</v>
      </c>
      <c r="I564" s="19" t="s">
        <v>135</v>
      </c>
      <c r="J564" s="20">
        <v>46040</v>
      </c>
      <c r="K564" s="20">
        <v>46069</v>
      </c>
      <c r="L564" s="21">
        <v>30000</v>
      </c>
      <c r="M564" s="22">
        <f t="shared" si="53"/>
        <v>38000</v>
      </c>
      <c r="N564" s="23">
        <v>38000</v>
      </c>
      <c r="O564" s="23">
        <v>0</v>
      </c>
      <c r="P564" s="24">
        <f t="shared" si="54"/>
        <v>-8000</v>
      </c>
      <c r="Q564" s="25">
        <v>0</v>
      </c>
      <c r="R564" s="26">
        <v>42000</v>
      </c>
      <c r="S564" s="91">
        <f t="shared" si="44"/>
        <v>0</v>
      </c>
      <c r="T564" s="91">
        <f t="shared" si="45"/>
        <v>0</v>
      </c>
      <c r="U564" s="27" t="s">
        <v>56</v>
      </c>
      <c r="V564" s="19" t="s">
        <v>51</v>
      </c>
      <c r="W564" s="20">
        <v>46059</v>
      </c>
      <c r="X564" s="22" t="s">
        <v>251</v>
      </c>
      <c r="Y564" s="19" t="s">
        <v>52</v>
      </c>
      <c r="Z564" s="19" t="s">
        <v>52</v>
      </c>
      <c r="AA564" s="19" t="s">
        <v>52</v>
      </c>
      <c r="AB564" s="28"/>
    </row>
    <row r="565" spans="1:28" s="29" customFormat="1" ht="15" customHeight="1" x14ac:dyDescent="0.25">
      <c r="A565" s="14">
        <v>17</v>
      </c>
      <c r="B565" s="15">
        <v>46060</v>
      </c>
      <c r="C565" s="15">
        <f>B565+8</f>
        <v>46068</v>
      </c>
      <c r="D565" s="14">
        <v>14367</v>
      </c>
      <c r="E565" s="16" t="s">
        <v>1076</v>
      </c>
      <c r="F565" s="17" t="s">
        <v>1077</v>
      </c>
      <c r="G565" s="17" t="s">
        <v>102</v>
      </c>
      <c r="H565" s="18" t="s">
        <v>54</v>
      </c>
      <c r="I565" s="19" t="s">
        <v>135</v>
      </c>
      <c r="J565" s="20">
        <v>46040</v>
      </c>
      <c r="K565" s="20">
        <v>46069</v>
      </c>
      <c r="L565" s="21">
        <v>25000</v>
      </c>
      <c r="M565" s="22">
        <f t="shared" si="53"/>
        <v>23000</v>
      </c>
      <c r="N565" s="23">
        <v>23000</v>
      </c>
      <c r="O565" s="23">
        <v>0</v>
      </c>
      <c r="P565" s="24">
        <f t="shared" si="54"/>
        <v>2000</v>
      </c>
      <c r="Q565" s="25">
        <v>0</v>
      </c>
      <c r="R565" s="26">
        <v>42000</v>
      </c>
      <c r="S565" s="91">
        <f t="shared" si="44"/>
        <v>4.7619047619047616E-2</v>
      </c>
      <c r="T565" s="91">
        <f t="shared" si="45"/>
        <v>0</v>
      </c>
      <c r="U565" s="27" t="s">
        <v>56</v>
      </c>
      <c r="V565" s="19" t="s">
        <v>51</v>
      </c>
      <c r="W565" s="20">
        <v>46053</v>
      </c>
      <c r="X565" s="22" t="s">
        <v>251</v>
      </c>
      <c r="Y565" s="19" t="s">
        <v>52</v>
      </c>
      <c r="Z565" s="19" t="s">
        <v>52</v>
      </c>
      <c r="AA565" s="19" t="s">
        <v>52</v>
      </c>
      <c r="AB565" s="28"/>
    </row>
    <row r="566" spans="1:28" s="29" customFormat="1" ht="15" customHeight="1" x14ac:dyDescent="0.25">
      <c r="A566" s="14">
        <v>10</v>
      </c>
      <c r="B566" s="15">
        <v>46060</v>
      </c>
      <c r="C566" s="15">
        <f>B566+8</f>
        <v>46068</v>
      </c>
      <c r="D566" s="14">
        <v>14320</v>
      </c>
      <c r="E566" s="16" t="s">
        <v>139</v>
      </c>
      <c r="F566" s="17" t="s">
        <v>265</v>
      </c>
      <c r="G566" s="17" t="s">
        <v>132</v>
      </c>
      <c r="H566" s="18" t="s">
        <v>54</v>
      </c>
      <c r="I566" s="19" t="s">
        <v>135</v>
      </c>
      <c r="J566" s="20">
        <v>46035</v>
      </c>
      <c r="K566" s="20">
        <v>46081</v>
      </c>
      <c r="L566" s="21">
        <v>350000</v>
      </c>
      <c r="M566" s="22">
        <f t="shared" si="53"/>
        <v>377000</v>
      </c>
      <c r="N566" s="23">
        <v>377000</v>
      </c>
      <c r="O566" s="23">
        <v>0</v>
      </c>
      <c r="P566" s="24">
        <f t="shared" si="54"/>
        <v>-27000</v>
      </c>
      <c r="Q566" s="25">
        <v>0</v>
      </c>
      <c r="R566" s="26">
        <v>175500</v>
      </c>
      <c r="S566" s="91">
        <f t="shared" si="44"/>
        <v>0</v>
      </c>
      <c r="T566" s="91">
        <f t="shared" si="45"/>
        <v>0</v>
      </c>
      <c r="U566" s="27" t="s">
        <v>56</v>
      </c>
      <c r="V566" s="19" t="s">
        <v>51</v>
      </c>
      <c r="W566" s="20">
        <v>46059</v>
      </c>
      <c r="X566" s="22" t="s">
        <v>251</v>
      </c>
      <c r="Y566" s="19" t="s">
        <v>52</v>
      </c>
      <c r="Z566" s="19" t="s">
        <v>52</v>
      </c>
      <c r="AA566" s="19" t="s">
        <v>52</v>
      </c>
      <c r="AB566" s="28"/>
    </row>
    <row r="567" spans="1:28" s="29" customFormat="1" ht="15" customHeight="1" x14ac:dyDescent="0.25">
      <c r="A567" s="14">
        <v>37</v>
      </c>
      <c r="B567" s="15" t="s">
        <v>68</v>
      </c>
      <c r="C567" s="15" t="s">
        <v>68</v>
      </c>
      <c r="D567" s="14">
        <v>14037</v>
      </c>
      <c r="E567" s="16" t="s">
        <v>977</v>
      </c>
      <c r="F567" s="17" t="s">
        <v>978</v>
      </c>
      <c r="G567" s="17" t="s">
        <v>102</v>
      </c>
      <c r="H567" s="18" t="s">
        <v>54</v>
      </c>
      <c r="I567" s="19" t="s">
        <v>135</v>
      </c>
      <c r="J567" s="20">
        <v>45981</v>
      </c>
      <c r="K567" s="20">
        <v>46027</v>
      </c>
      <c r="L567" s="21">
        <v>75000</v>
      </c>
      <c r="M567" s="22">
        <f t="shared" si="53"/>
        <v>0</v>
      </c>
      <c r="N567" s="23">
        <v>0</v>
      </c>
      <c r="O567" s="23">
        <v>0</v>
      </c>
      <c r="P567" s="24">
        <f t="shared" si="54"/>
        <v>75000</v>
      </c>
      <c r="Q567" s="25">
        <v>0</v>
      </c>
      <c r="R567" s="26">
        <v>42000</v>
      </c>
      <c r="S567" s="91">
        <f t="shared" si="44"/>
        <v>1.7857142857142858</v>
      </c>
      <c r="T567" s="91">
        <f t="shared" si="45"/>
        <v>0</v>
      </c>
      <c r="U567" s="27" t="s">
        <v>56</v>
      </c>
      <c r="V567" s="19" t="s">
        <v>68</v>
      </c>
      <c r="W567" s="20" t="s">
        <v>68</v>
      </c>
      <c r="X567" s="22" t="s">
        <v>275</v>
      </c>
      <c r="Y567" s="19" t="s">
        <v>82</v>
      </c>
      <c r="Z567" s="19" t="s">
        <v>82</v>
      </c>
      <c r="AA567" s="19" t="s">
        <v>82</v>
      </c>
      <c r="AB567" s="28"/>
    </row>
    <row r="568" spans="1:28" s="29" customFormat="1" ht="15" customHeight="1" x14ac:dyDescent="0.25">
      <c r="A568" s="14">
        <v>43</v>
      </c>
      <c r="B568" s="15" t="s">
        <v>68</v>
      </c>
      <c r="C568" s="15" t="s">
        <v>68</v>
      </c>
      <c r="D568" s="14">
        <v>14031</v>
      </c>
      <c r="E568" s="16" t="s">
        <v>1005</v>
      </c>
      <c r="F568" s="17" t="s">
        <v>1006</v>
      </c>
      <c r="G568" s="17" t="s">
        <v>102</v>
      </c>
      <c r="H568" s="18" t="s">
        <v>54</v>
      </c>
      <c r="I568" s="19" t="s">
        <v>135</v>
      </c>
      <c r="J568" s="20">
        <v>45981</v>
      </c>
      <c r="K568" s="20">
        <v>46036</v>
      </c>
      <c r="L568" s="21">
        <v>30000</v>
      </c>
      <c r="M568" s="22">
        <f t="shared" si="53"/>
        <v>0</v>
      </c>
      <c r="N568" s="23">
        <v>0</v>
      </c>
      <c r="O568" s="23">
        <v>0</v>
      </c>
      <c r="P568" s="24">
        <f t="shared" si="54"/>
        <v>30000</v>
      </c>
      <c r="Q568" s="25">
        <v>0</v>
      </c>
      <c r="R568" s="26">
        <v>42000</v>
      </c>
      <c r="S568" s="91">
        <f t="shared" si="44"/>
        <v>0.7142857142857143</v>
      </c>
      <c r="T568" s="91">
        <f t="shared" si="45"/>
        <v>0</v>
      </c>
      <c r="U568" s="27" t="s">
        <v>56</v>
      </c>
      <c r="V568" s="19" t="s">
        <v>68</v>
      </c>
      <c r="W568" s="20" t="s">
        <v>68</v>
      </c>
      <c r="X568" s="22" t="s">
        <v>275</v>
      </c>
      <c r="Y568" s="19" t="s">
        <v>82</v>
      </c>
      <c r="Z568" s="19" t="s">
        <v>82</v>
      </c>
      <c r="AA568" s="19" t="s">
        <v>82</v>
      </c>
      <c r="AB568" s="28"/>
    </row>
    <row r="569" spans="1:28" s="29" customFormat="1" ht="15" customHeight="1" x14ac:dyDescent="0.25">
      <c r="A569" s="14">
        <v>4</v>
      </c>
      <c r="B569" s="15">
        <v>46060</v>
      </c>
      <c r="C569" s="15">
        <f>B569+8</f>
        <v>46068</v>
      </c>
      <c r="D569" s="14">
        <v>13964</v>
      </c>
      <c r="E569" s="16" t="s">
        <v>358</v>
      </c>
      <c r="F569" s="17" t="s">
        <v>359</v>
      </c>
      <c r="G569" s="17" t="s">
        <v>132</v>
      </c>
      <c r="H569" s="18" t="s">
        <v>162</v>
      </c>
      <c r="I569" s="19" t="s">
        <v>135</v>
      </c>
      <c r="J569" s="20">
        <v>46010</v>
      </c>
      <c r="K569" s="20">
        <v>46007</v>
      </c>
      <c r="L569" s="21">
        <v>484000</v>
      </c>
      <c r="M569" s="22">
        <f t="shared" si="53"/>
        <v>168000</v>
      </c>
      <c r="N569" s="23">
        <v>168000</v>
      </c>
      <c r="O569" s="23">
        <v>0</v>
      </c>
      <c r="P569" s="24">
        <f t="shared" si="54"/>
        <v>316000</v>
      </c>
      <c r="Q569" s="25">
        <v>0</v>
      </c>
      <c r="R569" s="26">
        <v>175500</v>
      </c>
      <c r="S569" s="91">
        <f t="shared" si="44"/>
        <v>1.8005698005698005</v>
      </c>
      <c r="T569" s="91">
        <f t="shared" si="45"/>
        <v>0</v>
      </c>
      <c r="U569" s="27" t="s">
        <v>56</v>
      </c>
      <c r="V569" s="19" t="s">
        <v>51</v>
      </c>
      <c r="W569" s="20">
        <v>46058</v>
      </c>
      <c r="X569" s="22" t="s">
        <v>251</v>
      </c>
      <c r="Y569" s="19" t="s">
        <v>52</v>
      </c>
      <c r="Z569" s="19" t="s">
        <v>52</v>
      </c>
      <c r="AA569" s="19" t="s">
        <v>52</v>
      </c>
      <c r="AB569" s="28"/>
    </row>
    <row r="570" spans="1:28" s="29" customFormat="1" ht="15" customHeight="1" x14ac:dyDescent="0.25">
      <c r="A570" s="14">
        <v>1</v>
      </c>
      <c r="B570" s="15">
        <v>46069</v>
      </c>
      <c r="C570" s="15">
        <f>B570+8</f>
        <v>46077</v>
      </c>
      <c r="D570" s="14">
        <v>14301</v>
      </c>
      <c r="E570" s="16" t="s">
        <v>1070</v>
      </c>
      <c r="F570" s="17" t="s">
        <v>1071</v>
      </c>
      <c r="G570" s="17" t="s">
        <v>47</v>
      </c>
      <c r="H570" s="18" t="s">
        <v>542</v>
      </c>
      <c r="I570" s="19" t="s">
        <v>104</v>
      </c>
      <c r="J570" s="20">
        <v>46037</v>
      </c>
      <c r="K570" s="20">
        <v>46062</v>
      </c>
      <c r="L570" s="21">
        <v>100000</v>
      </c>
      <c r="M570" s="22">
        <f t="shared" ref="M570:M576" si="55">SUM(N570:O570)</f>
        <v>105000</v>
      </c>
      <c r="N570" s="23">
        <v>105000</v>
      </c>
      <c r="O570" s="23">
        <v>0</v>
      </c>
      <c r="P570" s="24">
        <f t="shared" ref="P570:P576" si="56">L570-N570</f>
        <v>-5000</v>
      </c>
      <c r="Q570" s="25">
        <v>0</v>
      </c>
      <c r="R570" s="26">
        <v>50000</v>
      </c>
      <c r="S570" s="91">
        <f t="shared" ref="S570:T574" si="57">IF(P570&gt;0,P570/$R570,0)</f>
        <v>0</v>
      </c>
      <c r="T570" s="91">
        <f t="shared" si="57"/>
        <v>0</v>
      </c>
      <c r="U570" s="27" t="s">
        <v>50</v>
      </c>
      <c r="V570" s="19" t="s">
        <v>51</v>
      </c>
      <c r="W570" s="20">
        <v>46058</v>
      </c>
      <c r="X570" s="22" t="s">
        <v>251</v>
      </c>
      <c r="Y570" s="19" t="s">
        <v>52</v>
      </c>
      <c r="Z570" s="19" t="s">
        <v>52</v>
      </c>
      <c r="AA570" s="19" t="s">
        <v>52</v>
      </c>
      <c r="AB570" s="42"/>
    </row>
    <row r="571" spans="1:28" s="29" customFormat="1" ht="15" customHeight="1" x14ac:dyDescent="0.25">
      <c r="A571" s="14">
        <v>5</v>
      </c>
      <c r="B571" s="15">
        <v>46064</v>
      </c>
      <c r="C571" s="15">
        <f>B571+8</f>
        <v>46072</v>
      </c>
      <c r="D571" s="14">
        <v>14104</v>
      </c>
      <c r="E571" s="16" t="s">
        <v>111</v>
      </c>
      <c r="F571" s="17" t="s">
        <v>481</v>
      </c>
      <c r="G571" s="17" t="s">
        <v>102</v>
      </c>
      <c r="H571" s="18" t="s">
        <v>57</v>
      </c>
      <c r="I571" s="19" t="s">
        <v>94</v>
      </c>
      <c r="J571" s="20">
        <v>45992</v>
      </c>
      <c r="K571" s="20">
        <v>46034</v>
      </c>
      <c r="L571" s="21">
        <v>100000</v>
      </c>
      <c r="M571" s="22">
        <f t="shared" si="55"/>
        <v>101000</v>
      </c>
      <c r="N571" s="23">
        <v>101000</v>
      </c>
      <c r="O571" s="23">
        <v>0</v>
      </c>
      <c r="P571" s="24">
        <f t="shared" si="56"/>
        <v>-1000</v>
      </c>
      <c r="Q571" s="25">
        <v>0</v>
      </c>
      <c r="R571" s="26">
        <v>42000</v>
      </c>
      <c r="S571" s="91">
        <f t="shared" si="57"/>
        <v>0</v>
      </c>
      <c r="T571" s="91">
        <f t="shared" si="57"/>
        <v>0</v>
      </c>
      <c r="U571" s="27" t="s">
        <v>50</v>
      </c>
      <c r="V571" s="19" t="s">
        <v>51</v>
      </c>
      <c r="W571" s="20">
        <v>46059</v>
      </c>
      <c r="X571" s="22" t="s">
        <v>251</v>
      </c>
      <c r="Y571" s="19" t="s">
        <v>52</v>
      </c>
      <c r="Z571" s="19" t="s">
        <v>52</v>
      </c>
      <c r="AA571" s="19" t="s">
        <v>52</v>
      </c>
      <c r="AB571" s="28"/>
    </row>
    <row r="572" spans="1:28" s="29" customFormat="1" ht="15" customHeight="1" x14ac:dyDescent="0.25">
      <c r="A572" s="14">
        <v>35</v>
      </c>
      <c r="B572" s="15" t="s">
        <v>68</v>
      </c>
      <c r="C572" s="15" t="s">
        <v>68</v>
      </c>
      <c r="D572" s="14">
        <v>14021</v>
      </c>
      <c r="E572" s="16" t="s">
        <v>991</v>
      </c>
      <c r="F572" s="17" t="s">
        <v>992</v>
      </c>
      <c r="G572" s="17" t="s">
        <v>102</v>
      </c>
      <c r="H572" s="18" t="s">
        <v>54</v>
      </c>
      <c r="I572" s="19" t="s">
        <v>135</v>
      </c>
      <c r="J572" s="20">
        <v>45981</v>
      </c>
      <c r="K572" s="20">
        <v>46023</v>
      </c>
      <c r="L572" s="21">
        <v>30000</v>
      </c>
      <c r="M572" s="22">
        <f t="shared" si="55"/>
        <v>0</v>
      </c>
      <c r="N572" s="23">
        <v>0</v>
      </c>
      <c r="O572" s="23">
        <v>0</v>
      </c>
      <c r="P572" s="24">
        <f t="shared" si="56"/>
        <v>30000</v>
      </c>
      <c r="Q572" s="25">
        <v>0</v>
      </c>
      <c r="R572" s="26">
        <v>42000</v>
      </c>
      <c r="S572" s="91">
        <f t="shared" si="57"/>
        <v>0.7142857142857143</v>
      </c>
      <c r="T572" s="91">
        <f t="shared" si="57"/>
        <v>0</v>
      </c>
      <c r="U572" s="27" t="s">
        <v>56</v>
      </c>
      <c r="V572" s="19" t="s">
        <v>68</v>
      </c>
      <c r="W572" s="20" t="s">
        <v>68</v>
      </c>
      <c r="X572" s="22" t="s">
        <v>275</v>
      </c>
      <c r="Y572" s="19" t="s">
        <v>82</v>
      </c>
      <c r="Z572" s="19" t="s">
        <v>82</v>
      </c>
      <c r="AA572" s="19" t="s">
        <v>82</v>
      </c>
      <c r="AB572" s="28"/>
    </row>
    <row r="573" spans="1:28" s="29" customFormat="1" ht="15" customHeight="1" x14ac:dyDescent="0.25">
      <c r="A573" s="14">
        <v>39</v>
      </c>
      <c r="B573" s="15" t="s">
        <v>68</v>
      </c>
      <c r="C573" s="15" t="s">
        <v>68</v>
      </c>
      <c r="D573" s="14">
        <v>14041</v>
      </c>
      <c r="E573" s="16" t="s">
        <v>971</v>
      </c>
      <c r="F573" s="17" t="s">
        <v>972</v>
      </c>
      <c r="G573" s="17" t="s">
        <v>102</v>
      </c>
      <c r="H573" s="18" t="s">
        <v>54</v>
      </c>
      <c r="I573" s="19" t="s">
        <v>135</v>
      </c>
      <c r="J573" s="20">
        <v>45981</v>
      </c>
      <c r="K573" s="20">
        <v>46027</v>
      </c>
      <c r="L573" s="21">
        <v>35000</v>
      </c>
      <c r="M573" s="22">
        <f t="shared" si="55"/>
        <v>0</v>
      </c>
      <c r="N573" s="23">
        <v>0</v>
      </c>
      <c r="O573" s="23">
        <v>0</v>
      </c>
      <c r="P573" s="24">
        <f t="shared" si="56"/>
        <v>35000</v>
      </c>
      <c r="Q573" s="25">
        <v>0</v>
      </c>
      <c r="R573" s="26">
        <v>42000</v>
      </c>
      <c r="S573" s="91">
        <f t="shared" si="57"/>
        <v>0.83333333333333337</v>
      </c>
      <c r="T573" s="91">
        <f t="shared" si="57"/>
        <v>0</v>
      </c>
      <c r="U573" s="27" t="s">
        <v>56</v>
      </c>
      <c r="V573" s="19" t="s">
        <v>68</v>
      </c>
      <c r="W573" s="20" t="s">
        <v>68</v>
      </c>
      <c r="X573" s="22" t="s">
        <v>275</v>
      </c>
      <c r="Y573" s="19" t="s">
        <v>82</v>
      </c>
      <c r="Z573" s="19" t="s">
        <v>82</v>
      </c>
      <c r="AA573" s="19" t="s">
        <v>82</v>
      </c>
      <c r="AB573" s="28"/>
    </row>
    <row r="574" spans="1:28" s="29" customFormat="1" ht="15" customHeight="1" x14ac:dyDescent="0.25">
      <c r="A574" s="14">
        <v>54</v>
      </c>
      <c r="B574" s="15">
        <v>46069</v>
      </c>
      <c r="C574" s="15">
        <f>B574+8</f>
        <v>46077</v>
      </c>
      <c r="D574" s="14">
        <v>14313</v>
      </c>
      <c r="E574" s="16" t="s">
        <v>1062</v>
      </c>
      <c r="F574" s="17" t="s">
        <v>1063</v>
      </c>
      <c r="G574" s="17" t="s">
        <v>102</v>
      </c>
      <c r="H574" s="18" t="s">
        <v>542</v>
      </c>
      <c r="I574" s="19" t="s">
        <v>104</v>
      </c>
      <c r="J574" s="20">
        <v>46031</v>
      </c>
      <c r="K574" s="20">
        <v>46070</v>
      </c>
      <c r="L574" s="21">
        <v>100000</v>
      </c>
      <c r="M574" s="22">
        <f t="shared" si="55"/>
        <v>116000</v>
      </c>
      <c r="N574" s="23">
        <v>116000</v>
      </c>
      <c r="O574" s="23"/>
      <c r="P574" s="24">
        <f t="shared" si="56"/>
        <v>-16000</v>
      </c>
      <c r="Q574" s="25">
        <v>0</v>
      </c>
      <c r="R574" s="26">
        <v>18000</v>
      </c>
      <c r="S574" s="91">
        <f t="shared" si="57"/>
        <v>0</v>
      </c>
      <c r="T574" s="91">
        <f t="shared" si="57"/>
        <v>0</v>
      </c>
      <c r="U574" s="27" t="s">
        <v>50</v>
      </c>
      <c r="V574" s="19" t="s">
        <v>51</v>
      </c>
      <c r="W574" s="20">
        <v>46071</v>
      </c>
      <c r="X574" s="22" t="s">
        <v>251</v>
      </c>
      <c r="Y574" s="19" t="s">
        <v>52</v>
      </c>
      <c r="Z574" s="19" t="s">
        <v>52</v>
      </c>
      <c r="AA574" s="19" t="s">
        <v>52</v>
      </c>
      <c r="AB574" s="28"/>
    </row>
    <row r="575" spans="1:28" s="29" customFormat="1" ht="15" customHeight="1" x14ac:dyDescent="0.25">
      <c r="A575" s="14">
        <v>36</v>
      </c>
      <c r="B575" s="15" t="s">
        <v>68</v>
      </c>
      <c r="C575" s="15" t="s">
        <v>68</v>
      </c>
      <c r="D575" s="14">
        <v>14043</v>
      </c>
      <c r="E575" s="16" t="s">
        <v>969</v>
      </c>
      <c r="F575" s="17" t="s">
        <v>970</v>
      </c>
      <c r="G575" s="17" t="s">
        <v>102</v>
      </c>
      <c r="H575" s="18" t="s">
        <v>54</v>
      </c>
      <c r="I575" s="19" t="s">
        <v>135</v>
      </c>
      <c r="J575" s="20">
        <v>45981</v>
      </c>
      <c r="K575" s="20">
        <v>46027</v>
      </c>
      <c r="L575" s="21">
        <v>30000</v>
      </c>
      <c r="M575" s="22">
        <f t="shared" si="55"/>
        <v>0</v>
      </c>
      <c r="N575" s="23">
        <v>0</v>
      </c>
      <c r="O575" s="23">
        <v>0</v>
      </c>
      <c r="P575" s="24">
        <f t="shared" si="56"/>
        <v>30000</v>
      </c>
      <c r="Q575" s="25">
        <v>0</v>
      </c>
      <c r="R575" s="26">
        <v>42000</v>
      </c>
      <c r="S575" s="91">
        <f>IF(P575&gt;0,P575/$R575,0)</f>
        <v>0.7142857142857143</v>
      </c>
      <c r="T575" s="91">
        <f>IF(Q575&gt;0,Q575/$R575,0)</f>
        <v>0</v>
      </c>
      <c r="U575" s="27" t="s">
        <v>56</v>
      </c>
      <c r="V575" s="19" t="s">
        <v>68</v>
      </c>
      <c r="W575" s="20" t="s">
        <v>68</v>
      </c>
      <c r="X575" s="22" t="s">
        <v>275</v>
      </c>
      <c r="Y575" s="19" t="s">
        <v>82</v>
      </c>
      <c r="Z575" s="19" t="s">
        <v>82</v>
      </c>
      <c r="AA575" s="19" t="s">
        <v>82</v>
      </c>
      <c r="AB575" s="28"/>
    </row>
    <row r="576" spans="1:28" s="29" customFormat="1" ht="15" customHeight="1" x14ac:dyDescent="0.25">
      <c r="A576" s="14">
        <v>37</v>
      </c>
      <c r="B576" s="15" t="s">
        <v>68</v>
      </c>
      <c r="C576" s="15" t="s">
        <v>68</v>
      </c>
      <c r="D576" s="14">
        <v>14040</v>
      </c>
      <c r="E576" s="16" t="s">
        <v>973</v>
      </c>
      <c r="F576" s="17" t="s">
        <v>974</v>
      </c>
      <c r="G576" s="17" t="s">
        <v>102</v>
      </c>
      <c r="H576" s="18" t="s">
        <v>54</v>
      </c>
      <c r="I576" s="19" t="s">
        <v>135</v>
      </c>
      <c r="J576" s="20">
        <v>45981</v>
      </c>
      <c r="K576" s="20">
        <v>46027</v>
      </c>
      <c r="L576" s="21">
        <v>30000</v>
      </c>
      <c r="M576" s="22">
        <f t="shared" si="55"/>
        <v>0</v>
      </c>
      <c r="N576" s="23">
        <v>0</v>
      </c>
      <c r="O576" s="23">
        <v>0</v>
      </c>
      <c r="P576" s="24">
        <f t="shared" si="56"/>
        <v>30000</v>
      </c>
      <c r="Q576" s="25">
        <v>0</v>
      </c>
      <c r="R576" s="26">
        <v>42000</v>
      </c>
      <c r="S576" s="91">
        <f>IF(P576&gt;0,P576/$R576,0)</f>
        <v>0.7142857142857143</v>
      </c>
      <c r="T576" s="91">
        <f>IF(Q576&gt;0,Q576/$R576,0)</f>
        <v>0</v>
      </c>
      <c r="U576" s="27" t="s">
        <v>56</v>
      </c>
      <c r="V576" s="19" t="s">
        <v>68</v>
      </c>
      <c r="W576" s="20" t="s">
        <v>68</v>
      </c>
      <c r="X576" s="22" t="s">
        <v>275</v>
      </c>
      <c r="Y576" s="19" t="s">
        <v>82</v>
      </c>
      <c r="Z576" s="19" t="s">
        <v>82</v>
      </c>
      <c r="AA576" s="19" t="s">
        <v>82</v>
      </c>
      <c r="AB576" s="28"/>
    </row>
  </sheetData>
  <autoFilter ref="D4:I584" xr:uid="{00000000-0001-0000-0200-000000000000}"/>
  <mergeCells count="7">
    <mergeCell ref="B3:C3"/>
    <mergeCell ref="J3:K3"/>
    <mergeCell ref="B1:E1"/>
    <mergeCell ref="F1:AA1"/>
    <mergeCell ref="B2:C2"/>
    <mergeCell ref="J2:K2"/>
    <mergeCell ref="S2:T2"/>
  </mergeCells>
  <pageMargins left="0.25" right="0.25" top="0.75" bottom="0.75" header="0.3" footer="0.3"/>
  <pageSetup scale="47" fitToHeight="0" orientation="landscape" verticalDpi="597"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1F70-CB2A-4547-BEE1-6A5E6F84B7E0}">
  <dimension ref="A1:C11"/>
  <sheetViews>
    <sheetView zoomScale="90" zoomScaleNormal="90" workbookViewId="0"/>
  </sheetViews>
  <sheetFormatPr baseColWidth="10" defaultColWidth="9.140625" defaultRowHeight="15" x14ac:dyDescent="0.25"/>
  <cols>
    <col min="1" max="1" width="7.42578125" bestFit="1" customWidth="1"/>
    <col min="2" max="2" width="11.28515625" customWidth="1"/>
    <col min="3" max="3" width="15.7109375" customWidth="1"/>
  </cols>
  <sheetData>
    <row r="1" spans="1:3" x14ac:dyDescent="0.25">
      <c r="A1" s="100" t="s">
        <v>0</v>
      </c>
      <c r="B1" s="170">
        <f>Date</f>
        <v>46078</v>
      </c>
      <c r="C1" s="171"/>
    </row>
    <row r="2" spans="1:3" x14ac:dyDescent="0.25">
      <c r="A2" s="172" t="s">
        <v>558</v>
      </c>
      <c r="B2" s="173"/>
      <c r="C2" s="174"/>
    </row>
    <row r="3" spans="1:3" x14ac:dyDescent="0.25">
      <c r="A3" s="101" t="s">
        <v>559</v>
      </c>
      <c r="B3" s="101" t="s">
        <v>274</v>
      </c>
      <c r="C3" s="101" t="s">
        <v>560</v>
      </c>
    </row>
    <row r="4" spans="1:3" x14ac:dyDescent="0.25">
      <c r="A4" s="103" t="s">
        <v>17</v>
      </c>
      <c r="B4" s="102">
        <v>46097</v>
      </c>
      <c r="C4" s="104" t="s">
        <v>1025</v>
      </c>
    </row>
    <row r="5" spans="1:3" x14ac:dyDescent="0.25">
      <c r="A5" s="103" t="s">
        <v>17</v>
      </c>
      <c r="B5" s="102">
        <v>46114</v>
      </c>
      <c r="C5" s="104" t="s">
        <v>1025</v>
      </c>
    </row>
    <row r="6" spans="1:3" x14ac:dyDescent="0.25">
      <c r="A6" s="103" t="s">
        <v>17</v>
      </c>
      <c r="B6" s="102">
        <v>46115</v>
      </c>
      <c r="C6" s="104" t="s">
        <v>1025</v>
      </c>
    </row>
    <row r="7" spans="1:3" x14ac:dyDescent="0.25">
      <c r="A7" s="103" t="s">
        <v>17</v>
      </c>
      <c r="B7" s="102">
        <v>46143</v>
      </c>
      <c r="C7" s="104" t="s">
        <v>1025</v>
      </c>
    </row>
    <row r="8" spans="1:3" x14ac:dyDescent="0.25">
      <c r="A8" s="103" t="s">
        <v>17</v>
      </c>
      <c r="B8" s="102">
        <v>46281</v>
      </c>
      <c r="C8" s="104" t="s">
        <v>1025</v>
      </c>
    </row>
    <row r="9" spans="1:3" x14ac:dyDescent="0.25">
      <c r="A9" s="103" t="s">
        <v>17</v>
      </c>
      <c r="B9" s="102">
        <v>46342</v>
      </c>
      <c r="C9" s="104" t="s">
        <v>1025</v>
      </c>
    </row>
    <row r="10" spans="1:3" x14ac:dyDescent="0.25">
      <c r="A10" s="103" t="s">
        <v>17</v>
      </c>
      <c r="B10" s="102">
        <v>46368</v>
      </c>
      <c r="C10" s="104" t="s">
        <v>1025</v>
      </c>
    </row>
    <row r="11" spans="1:3" x14ac:dyDescent="0.25">
      <c r="A11" s="103" t="s">
        <v>17</v>
      </c>
      <c r="B11" s="102">
        <v>46381</v>
      </c>
      <c r="C11" s="104" t="s">
        <v>1025</v>
      </c>
    </row>
  </sheetData>
  <mergeCells count="2">
    <mergeCell ref="B1:C1"/>
    <mergeCell ref="A2: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86D9-59B2-441C-904C-4C633779BE2D}">
  <dimension ref="A1:E15"/>
  <sheetViews>
    <sheetView zoomScale="90" zoomScaleNormal="90" workbookViewId="0">
      <selection sqref="A1:E1"/>
    </sheetView>
  </sheetViews>
  <sheetFormatPr baseColWidth="10" defaultColWidth="9.140625" defaultRowHeight="15" x14ac:dyDescent="0.25"/>
  <cols>
    <col min="1" max="5" width="11.140625" bestFit="1" customWidth="1"/>
  </cols>
  <sheetData>
    <row r="1" spans="1:5" x14ac:dyDescent="0.25">
      <c r="A1" s="126" t="s">
        <v>455</v>
      </c>
      <c r="B1" s="126"/>
      <c r="C1" s="126"/>
      <c r="D1" s="126"/>
      <c r="E1" s="126"/>
    </row>
    <row r="3" spans="1:5" x14ac:dyDescent="0.25">
      <c r="A3" s="126" t="s">
        <v>276</v>
      </c>
      <c r="B3" s="126"/>
      <c r="C3" s="126"/>
      <c r="D3" s="126"/>
      <c r="E3" s="126"/>
    </row>
    <row r="4" spans="1:5" x14ac:dyDescent="0.25">
      <c r="A4" s="126" t="s">
        <v>277</v>
      </c>
      <c r="B4" s="126"/>
      <c r="C4" s="126" t="s">
        <v>278</v>
      </c>
      <c r="D4" s="126"/>
      <c r="E4" s="2" t="s">
        <v>279</v>
      </c>
    </row>
    <row r="5" spans="1:5" x14ac:dyDescent="0.25">
      <c r="A5" s="2" t="s">
        <v>280</v>
      </c>
      <c r="B5" s="2" t="s">
        <v>281</v>
      </c>
      <c r="C5" s="2" t="s">
        <v>280</v>
      </c>
      <c r="D5" s="2" t="s">
        <v>281</v>
      </c>
      <c r="E5" s="2" t="s">
        <v>280</v>
      </c>
    </row>
    <row r="6" spans="1:5" x14ac:dyDescent="0.25">
      <c r="A6" s="85">
        <v>4500000</v>
      </c>
      <c r="B6" s="85">
        <v>5500000</v>
      </c>
      <c r="C6" s="85">
        <v>7500000</v>
      </c>
      <c r="D6" s="85">
        <v>8500000</v>
      </c>
      <c r="E6" s="85">
        <v>5000000</v>
      </c>
    </row>
    <row r="8" spans="1:5" x14ac:dyDescent="0.25">
      <c r="A8" s="126" t="s">
        <v>282</v>
      </c>
      <c r="B8" s="126"/>
      <c r="C8" s="126"/>
      <c r="D8" s="126"/>
      <c r="E8" s="126"/>
    </row>
    <row r="9" spans="1:5" x14ac:dyDescent="0.25">
      <c r="A9" s="126" t="s">
        <v>277</v>
      </c>
      <c r="B9" s="126"/>
      <c r="C9" s="126" t="s">
        <v>278</v>
      </c>
      <c r="D9" s="126"/>
      <c r="E9" s="2" t="s">
        <v>279</v>
      </c>
    </row>
    <row r="10" spans="1:5" x14ac:dyDescent="0.25">
      <c r="A10" s="2" t="s">
        <v>280</v>
      </c>
      <c r="B10" s="2" t="s">
        <v>281</v>
      </c>
      <c r="C10" s="2" t="s">
        <v>280</v>
      </c>
      <c r="D10" s="2" t="s">
        <v>281</v>
      </c>
      <c r="E10" s="2" t="s">
        <v>280</v>
      </c>
    </row>
    <row r="11" spans="1:5" x14ac:dyDescent="0.25">
      <c r="A11" s="85">
        <f>A6/4.33</f>
        <v>1039260.9699769053</v>
      </c>
      <c r="B11" s="85">
        <f t="shared" ref="B11:E11" si="0">B6/4.33</f>
        <v>1270207.8521939954</v>
      </c>
      <c r="C11" s="85">
        <f t="shared" si="0"/>
        <v>1732101.6166281756</v>
      </c>
      <c r="D11" s="85">
        <f t="shared" si="0"/>
        <v>1963048.4988452655</v>
      </c>
      <c r="E11" s="85">
        <f t="shared" si="0"/>
        <v>1154734.4110854503</v>
      </c>
    </row>
    <row r="13" spans="1:5" x14ac:dyDescent="0.25">
      <c r="A13" s="29" t="s">
        <v>283</v>
      </c>
    </row>
    <row r="14" spans="1:5" x14ac:dyDescent="0.25">
      <c r="A14" s="29"/>
    </row>
    <row r="15" spans="1:5" x14ac:dyDescent="0.25">
      <c r="A15" s="29" t="s">
        <v>458</v>
      </c>
    </row>
  </sheetData>
  <mergeCells count="7">
    <mergeCell ref="A9:B9"/>
    <mergeCell ref="C9:D9"/>
    <mergeCell ref="A1:E1"/>
    <mergeCell ref="A3:E3"/>
    <mergeCell ref="A4:B4"/>
    <mergeCell ref="C4:D4"/>
    <mergeCell ref="A8:E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BBCCA-287E-42B1-B0D8-22848EBC8279}">
  <sheetPr>
    <pageSetUpPr fitToPage="1"/>
  </sheetPr>
  <dimension ref="B2:K8"/>
  <sheetViews>
    <sheetView showGridLines="0" zoomScaleNormal="100" workbookViewId="0"/>
  </sheetViews>
  <sheetFormatPr baseColWidth="10" defaultColWidth="9.140625" defaultRowHeight="15" x14ac:dyDescent="0.25"/>
  <cols>
    <col min="1" max="1" width="2.85546875" customWidth="1"/>
    <col min="2" max="2" width="7.28515625" bestFit="1" customWidth="1"/>
    <col min="3" max="3" width="7.5703125" bestFit="1" customWidth="1"/>
    <col min="4" max="4" width="7.85546875" bestFit="1" customWidth="1"/>
    <col min="5" max="5" width="7.5703125" bestFit="1" customWidth="1"/>
    <col min="6" max="6" width="8.42578125" bestFit="1" customWidth="1"/>
    <col min="7" max="7" width="8.7109375" bestFit="1" customWidth="1"/>
    <col min="8" max="9" width="11.5703125" style="98" bestFit="1" customWidth="1"/>
    <col min="10" max="10" width="11.7109375" style="98" bestFit="1" customWidth="1"/>
    <col min="11" max="11" width="19.28515625" bestFit="1" customWidth="1"/>
  </cols>
  <sheetData>
    <row r="2" spans="2:11" x14ac:dyDescent="0.25">
      <c r="B2" s="94" t="s">
        <v>0</v>
      </c>
      <c r="C2" s="122">
        <f>Date</f>
        <v>46078</v>
      </c>
      <c r="D2" s="123"/>
      <c r="E2" s="124"/>
      <c r="F2" s="175"/>
      <c r="G2" s="179" t="s">
        <v>509</v>
      </c>
      <c r="H2" s="179"/>
      <c r="I2" s="179"/>
      <c r="J2" s="179"/>
      <c r="K2" s="179"/>
    </row>
    <row r="3" spans="2:11" x14ac:dyDescent="0.25">
      <c r="B3" s="95"/>
      <c r="C3" s="95"/>
      <c r="D3" s="95" t="s">
        <v>501</v>
      </c>
      <c r="E3" s="176" t="s">
        <v>504</v>
      </c>
      <c r="F3" s="177"/>
      <c r="G3" s="178"/>
      <c r="H3" s="99"/>
      <c r="I3" s="95"/>
      <c r="J3" s="95"/>
      <c r="K3" s="95"/>
    </row>
    <row r="4" spans="2:11" x14ac:dyDescent="0.25">
      <c r="B4" s="96"/>
      <c r="C4" s="96" t="s">
        <v>180</v>
      </c>
      <c r="D4" s="96" t="s">
        <v>502</v>
      </c>
      <c r="E4" s="96" t="s">
        <v>505</v>
      </c>
      <c r="F4" s="96" t="s">
        <v>511</v>
      </c>
      <c r="G4" s="96"/>
      <c r="H4" s="96" t="s">
        <v>186</v>
      </c>
      <c r="I4" s="96" t="s">
        <v>506</v>
      </c>
      <c r="J4" s="96"/>
      <c r="K4" s="96"/>
    </row>
    <row r="5" spans="2:11" x14ac:dyDescent="0.25">
      <c r="B5" s="97" t="s">
        <v>507</v>
      </c>
      <c r="C5" s="97" t="s">
        <v>185</v>
      </c>
      <c r="D5" s="97" t="s">
        <v>503</v>
      </c>
      <c r="E5" s="97" t="s">
        <v>506</v>
      </c>
      <c r="F5" s="97" t="s">
        <v>35</v>
      </c>
      <c r="G5" s="97" t="s">
        <v>508</v>
      </c>
      <c r="H5" s="97" t="s">
        <v>189</v>
      </c>
      <c r="I5" s="97" t="s">
        <v>189</v>
      </c>
      <c r="J5" s="97" t="s">
        <v>508</v>
      </c>
      <c r="K5" s="97" t="s">
        <v>510</v>
      </c>
    </row>
    <row r="6" spans="2:11" x14ac:dyDescent="0.25">
      <c r="B6" s="105" t="s">
        <v>1181</v>
      </c>
      <c r="C6" s="105">
        <v>16253</v>
      </c>
      <c r="D6" s="105" t="s">
        <v>644</v>
      </c>
      <c r="E6" s="105">
        <v>24</v>
      </c>
      <c r="F6" s="105">
        <v>24</v>
      </c>
      <c r="G6" s="106">
        <f t="shared" ref="G6" si="0">F6-E6</f>
        <v>0</v>
      </c>
      <c r="H6" s="107">
        <v>5000</v>
      </c>
      <c r="I6" s="108">
        <f t="shared" ref="I6" si="1">(5000/24)*E6</f>
        <v>5000</v>
      </c>
      <c r="J6" s="109">
        <f t="shared" ref="J6" si="2">I6-H6</f>
        <v>0</v>
      </c>
      <c r="K6" s="105"/>
    </row>
    <row r="7" spans="2:11" x14ac:dyDescent="0.25">
      <c r="B7" s="18" t="s">
        <v>1182</v>
      </c>
      <c r="C7" s="18"/>
      <c r="D7" s="18"/>
      <c r="E7" s="18"/>
      <c r="F7" s="18"/>
      <c r="G7" s="110">
        <f t="shared" ref="G7" si="3">F7-E7</f>
        <v>0</v>
      </c>
      <c r="H7" s="114">
        <v>0</v>
      </c>
      <c r="I7" s="115">
        <f t="shared" ref="I7" si="4">(5000/24)*E7</f>
        <v>0</v>
      </c>
      <c r="J7" s="116">
        <f t="shared" ref="J7" si="5">I7-H7</f>
        <v>0</v>
      </c>
      <c r="K7" s="18"/>
    </row>
    <row r="8" spans="2:11" x14ac:dyDescent="0.25">
      <c r="B8" s="18" t="s">
        <v>1183</v>
      </c>
      <c r="C8" s="18"/>
      <c r="D8" s="18"/>
      <c r="E8" s="18"/>
      <c r="F8" s="18"/>
      <c r="G8" s="110">
        <f t="shared" ref="G8" si="6">F8-E8</f>
        <v>0</v>
      </c>
      <c r="H8" s="114">
        <v>0</v>
      </c>
      <c r="I8" s="115">
        <f t="shared" ref="I8" si="7">(5000/24)*E8</f>
        <v>0</v>
      </c>
      <c r="J8" s="116">
        <f t="shared" ref="J8" si="8">I8-H8</f>
        <v>0</v>
      </c>
      <c r="K8" s="18"/>
    </row>
  </sheetData>
  <mergeCells count="3">
    <mergeCell ref="C2:F2"/>
    <mergeCell ref="E3:G3"/>
    <mergeCell ref="G2:K2"/>
  </mergeCells>
  <phoneticPr fontId="9" type="noConversion"/>
  <pageMargins left="0.25" right="0.25" top="0.75" bottom="0.75" header="0.3" footer="0.3"/>
  <pageSetup scale="97" orientation="landscape" verticalDpi="597"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Open POs</vt:lpstr>
      <vt:lpstr>Shipped Orders</vt:lpstr>
      <vt:lpstr>Closed POs</vt:lpstr>
      <vt:lpstr>Scheduled Facility Closures</vt:lpstr>
      <vt:lpstr>Capacity</vt:lpstr>
      <vt:lpstr>Freight Invoices</vt:lpstr>
      <vt:lpstr>'Closed POs'!Área_de_impresión</vt:lpstr>
      <vt:lpstr>'Freight Invoices'!Área_de_impresión</vt:lpstr>
      <vt:lpstr>'Open POs'!Área_de_impresión</vt:lpstr>
      <vt:lpstr>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 Bancale</dc:creator>
  <cp:lastModifiedBy>Rebeca Franco</cp:lastModifiedBy>
  <cp:lastPrinted>2025-04-30T15:57:19Z</cp:lastPrinted>
  <dcterms:created xsi:type="dcterms:W3CDTF">2024-05-01T16:07:28Z</dcterms:created>
  <dcterms:modified xsi:type="dcterms:W3CDTF">2026-02-25T16:39:53Z</dcterms:modified>
</cp:coreProperties>
</file>